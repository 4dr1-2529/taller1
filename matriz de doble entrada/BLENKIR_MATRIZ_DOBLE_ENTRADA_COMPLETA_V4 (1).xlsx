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caf31a9c740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_DOBLE_ENTRADA" sheetId="1" r:id="R49c09bf78ec744fe"/>
    <x:sheet xmlns:r="http://schemas.openxmlformats.org/officeDocument/2006/relationships" name="LECTURA_ISO_Y_MANTENIMIENTO" sheetId="2" r:id="Rf574c24000fb4b3c"/>
    <x:sheet xmlns:r="http://schemas.openxmlformats.org/officeDocument/2006/relationships" name="FUENTES" sheetId="3" r:id="R1fb08a9047e84e25"/>
    <x:sheet xmlns:r="http://schemas.openxmlformats.org/officeDocument/2006/relationships" name="CORTE_TECNICO_V5" sheetId="4" r:id="Rf804f3f33f2d4110"/>
    <x:sheet xmlns:r="http://schemas.openxmlformats.org/officeDocument/2006/relationships" name="MATRIZ_CONTEXTUAL_RACI" sheetId="5" r:id="R4e059a8ff13a42de"/>
    <x:sheet xmlns:r="http://schemas.openxmlformats.org/officeDocument/2006/relationships" name="ARQUITECTURA_X_CALIDAD" sheetId="6" r:id="Rba639690ee1a494a"/>
    <x:sheet xmlns:r="http://schemas.openxmlformats.org/officeDocument/2006/relationships" name="PROCESOS_X_ARTEFACTOS" sheetId="7" r:id="R4e277bb3c6fd41fb"/>
    <x:sheet xmlns:r="http://schemas.openxmlformats.org/officeDocument/2006/relationships" name="BD_52_MODELOS" sheetId="8" r:id="R546eaad802f54a42"/>
    <x:sheet xmlns:r="http://schemas.openxmlformats.org/officeDocument/2006/relationships" name="INDICADORES_X_DASHBOARD" sheetId="9" r:id="R92d93239044d4684"/>
    <x:sheet xmlns:r="http://schemas.openxmlformats.org/officeDocument/2006/relationships" name="SEGURIDAD_Y_RIESGOS" sheetId="10" r:id="Rb62332440d4040ab"/>
    <x:sheet xmlns:r="http://schemas.openxmlformats.org/officeDocument/2006/relationships" name="PRUEBAS_X_COBERTURA" sheetId="11" r:id="Re20e4fc63d9d4010"/>
    <x:sheet xmlns:r="http://schemas.openxmlformats.org/officeDocument/2006/relationships" name="DESPLIEGUE_MONITOREO" sheetId="12" r:id="Rcc7a284ec118462a"/>
    <x:sheet xmlns:r="http://schemas.openxmlformats.org/officeDocument/2006/relationships" name="MANTENIMIENTO_CAMBIOS" sheetId="13" r:id="R9717a8faf2714e9b"/>
    <x:sheet xmlns:r="http://schemas.openxmlformats.org/officeDocument/2006/relationships" name="COBERTURA_ANEXO07" sheetId="14" r:id="R992e57813adc49aa"/>
    <x:sheet xmlns:r="http://schemas.openxmlformats.org/officeDocument/2006/relationships" name="CATALOGO_EVIDENCIAS" sheetId="15" r:id="R050948a71b404548"/>
    <x:sheet xmlns:r="http://schemas.openxmlformats.org/officeDocument/2006/relationships" name="MAPA_MAESTRO" sheetId="16" r:id="Rc57c500e973649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02A43"/>
      <x:name val="Carlito"/>
    </x:font>
    <x:font>
      <x:b/>
      <x:sz val="11"/>
      <x:color rgb="FF334155"/>
      <x:name val="Carlito"/>
    </x:font>
    <x:font>
      <x:b/>
      <x:sz val="10"/>
      <x:color rgb="FFFFFFFF"/>
      <x:name val="Carlito"/>
    </x:font>
    <x:font>
      <x:b/>
      <x:sz val="9"/>
      <x:color rgb="FFFFFFFF"/>
      <x:name val="Carlito"/>
    </x:font>
    <x:font>
      <x:sz val="9"/>
      <x:color rgb="FF102A43"/>
      <x:name val="Carlito"/>
    </x:font>
    <x:font>
      <x:b/>
      <x:sz val="9"/>
      <x:color rgb="FF102A43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</x:fonts>
  <x:fills count="2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9EAF7"/>
      </x:patternFill>
    </x:fill>
    <x:fill>
      <x:patternFill patternType="solid">
        <x:fgColor rgb="FFEEF2F7"/>
      </x:patternFill>
    </x:fill>
    <x:fill>
      <x:patternFill patternType="solid">
        <x:fgColor rgb="FF334E68"/>
      </x:patternFill>
    </x:fill>
    <x:fill>
      <x:patternFill patternType="solid">
        <x:fgColor rgb="FF486581"/>
      </x:patternFill>
    </x:fill>
    <x:fill>
      <x:patternFill patternType="solid">
        <x:fgColor rgb="FF0F766E"/>
      </x:patternFill>
    </x:fill>
    <x:fill>
      <x:patternFill patternType="solid">
        <x:fgColor rgb="FF0B7285"/>
      </x:patternFill>
    </x:fill>
    <x:fill>
      <x:patternFill patternType="solid">
        <x:fgColor rgb="FF6D597A"/>
      </x:patternFill>
    </x:fill>
    <x:fill>
      <x:patternFill patternType="solid">
        <x:fgColor rgb="FF3D5A80"/>
      </x:patternFill>
    </x:fill>
    <x:fill>
      <x:patternFill patternType="solid">
        <x:fgColor rgb="FF2F855A"/>
      </x:patternFill>
    </x:fill>
    <x:fill>
      <x:patternFill patternType="solid">
        <x:fgColor rgb="FF9C6B00"/>
      </x:patternFill>
    </x:fill>
    <x:fill>
      <x:patternFill patternType="solid">
        <x:fgColor rgb="FFA44A3F"/>
      </x:patternFill>
    </x:fill>
    <x:fill>
      <x:patternFill patternType="solid">
        <x:fgColor rgb="FF8B3A3A"/>
      </x:patternFill>
    </x:fill>
    <x:fill>
      <x:patternFill patternType="solid">
        <x:fgColor rgb="FF5B4B8A"/>
      </x:patternFill>
    </x:fill>
    <x:fill>
      <x:patternFill patternType="solid">
        <x:fgColor rgb="FF475569"/>
      </x:patternFill>
    </x:fill>
    <x:fill>
      <x:patternFill patternType="solid">
        <x:fgColor rgb="FFF7FBFF"/>
      </x:patternFill>
    </x:fill>
    <x:fill>
      <x:patternFill patternType="solid">
        <x:fgColor rgb="FFDCEEFF"/>
      </x:patternFill>
    </x:fill>
    <x:fill>
      <x:patternFill patternType="solid">
        <x:fgColor rgb="FFFFF9ED"/>
      </x:patternFill>
    </x:fill>
    <x:fill>
      <x:patternFill patternType="solid">
        <x:fgColor rgb="FFFDECC8"/>
      </x:patternFill>
    </x:fill>
    <x:fill>
      <x:patternFill patternType="solid">
        <x:fgColor rgb="FF102A43"/>
      </x:patternFill>
    </x:fill>
    <x:fill>
      <x:patternFill patternType="solid">
        <x:fgColor rgb="FFD9EAF7"/>
      </x:patternFill>
    </x:fill>
    <x:fill>
      <x:patternFill patternType="solid">
        <x:fgColor rgb="FF334E68"/>
      </x:patternFill>
    </x:fill>
    <x:fill>
      <x:patternFill patternType="solid">
        <x:fgColor rgb="FF0F766E"/>
      </x:patternFill>
    </x:fill>
  </x:fills>
  <x:borders count="26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horizont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horizont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horizontal="center" wrapText="1"/>
    </x:xf>
    <x:xf numFmtId="0" fontId="4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horizont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4" fillId="10" borderId="1" xfId="0" applyNumberFormat="1" applyFont="1" applyFill="1" applyBorder="1"/>
    <x:xf numFmtId="0" fontId="4" fillId="10" borderId="1" xfId="0" applyNumberFormat="1" applyFont="1" applyFill="1" applyBorder="1" applyAlignment="1">
      <x:alignment wrapText="1"/>
    </x:xf>
    <x:xf numFmtId="0" fontId="4" fillId="10" borderId="1" xfId="0" applyNumberFormat="1" applyFont="1" applyFill="1" applyBorder="1" applyAlignment="1">
      <x:alignment horizontal="center" wrapText="1"/>
    </x:xf>
    <x:xf numFmtId="0" fontId="4" fillId="10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horizont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/>
    <x:xf numFmtId="0" fontId="4" fillId="11" borderId="1" xfId="0" applyNumberFormat="1" applyFont="1" applyFill="1" applyBorder="1"/>
    <x:xf numFmtId="0" fontId="4" fillId="11" borderId="1" xfId="0" applyNumberFormat="1" applyFont="1" applyFill="1" applyBorder="1" applyAlignment="1">
      <x:alignment wrapText="1"/>
    </x:xf>
    <x:xf numFmtId="0" fontId="4" fillId="11" borderId="1" xfId="0" applyNumberFormat="1" applyFont="1" applyFill="1" applyBorder="1" applyAlignment="1">
      <x:alignment horizontal="center" wrapText="1"/>
    </x:xf>
    <x:xf numFmtId="0" fontId="4" fillId="11" borderId="1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4" fillId="12" borderId="0" xfId="0" applyNumberFormat="1" applyFont="1" applyFill="1" applyBorder="1"/>
    <x:xf numFmtId="0" fontId="4" fillId="12" borderId="0" xfId="0" applyNumberFormat="1" applyFont="1" applyFill="1" applyBorder="1" applyAlignment="1">
      <x:alignment wrapText="1"/>
    </x:xf>
    <x:xf numFmtId="0" fontId="4" fillId="12" borderId="0" xfId="0" applyNumberFormat="1" applyFont="1" applyFill="1" applyBorder="1" applyAlignment="1">
      <x:alignment horizont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/>
    <x:xf numFmtId="0" fontId="4" fillId="12" borderId="1" xfId="0" applyNumberFormat="1" applyFont="1" applyFill="1" applyBorder="1"/>
    <x:xf numFmtId="0" fontId="4" fillId="12" borderId="1" xfId="0" applyNumberFormat="1" applyFont="1" applyFill="1" applyBorder="1" applyAlignment="1">
      <x:alignment wrapText="1"/>
    </x:xf>
    <x:xf numFmtId="0" fontId="4" fillId="12" borderId="1" xfId="0" applyNumberFormat="1" applyFont="1" applyFill="1" applyBorder="1" applyAlignment="1">
      <x:alignment horizontal="center" wrapText="1"/>
    </x:xf>
    <x:xf numFmtId="0" fontId="4" fillId="12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wrapText="1"/>
    </x:xf>
    <x:xf numFmtId="0" fontId="4" fillId="13" borderId="0" xfId="0" applyNumberFormat="1" applyFont="1" applyFill="1" applyBorder="1" applyAlignment="1">
      <x:alignment horizontal="center" wrapText="1"/>
    </x:xf>
    <x:xf numFmtId="0" fontId="4" fillId="13" borderId="0" xfId="0" applyNumberFormat="1" applyFont="1" applyFill="1" applyBorder="1" applyAlignment="1">
      <x:alignment horizontal="center" vertical="center" wrapText="1"/>
    </x:xf>
    <x:xf numFmtId="0" fontId="0" fillId="13" borderId="1" xfId="0" applyNumberFormat="1" applyFont="1" applyFill="1" applyBorder="1"/>
    <x:xf numFmtId="0" fontId="4" fillId="13" borderId="1" xfId="0" applyNumberFormat="1" applyFont="1" applyFill="1" applyBorder="1"/>
    <x:xf numFmtId="0" fontId="4" fillId="13" borderId="1" xfId="0" applyNumberFormat="1" applyFont="1" applyFill="1" applyBorder="1" applyAlignment="1">
      <x:alignment wrapText="1"/>
    </x:xf>
    <x:xf numFmtId="0" fontId="4" fillId="13" borderId="1" xfId="0" applyNumberFormat="1" applyFont="1" applyFill="1" applyBorder="1" applyAlignment="1">
      <x:alignment horizontal="center" wrapText="1"/>
    </x:xf>
    <x:xf numFmtId="0" fontId="4" fillId="13" borderId="1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wrapText="1"/>
    </x:xf>
    <x:xf numFmtId="0" fontId="4" fillId="14" borderId="0" xfId="0" applyNumberFormat="1" applyFont="1" applyFill="1" applyBorder="1" applyAlignment="1">
      <x:alignment horizont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0" fillId="14" borderId="1" xfId="0" applyNumberFormat="1" applyFont="1" applyFill="1" applyBorder="1"/>
    <x:xf numFmtId="0" fontId="4" fillId="14" borderId="1" xfId="0" applyNumberFormat="1" applyFont="1" applyFill="1" applyBorder="1"/>
    <x:xf numFmtId="0" fontId="4" fillId="14" borderId="1" xfId="0" applyNumberFormat="1" applyFont="1" applyFill="1" applyBorder="1" applyAlignment="1">
      <x:alignment wrapText="1"/>
    </x:xf>
    <x:xf numFmtId="0" fontId="4" fillId="14" borderId="1" xfId="0" applyNumberFormat="1" applyFont="1" applyFill="1" applyBorder="1" applyAlignment="1">
      <x:alignment horizontal="center" wrapText="1"/>
    </x:xf>
    <x:xf numFmtId="0" fontId="4" fillId="14" borderId="1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4" fillId="15" borderId="0" xfId="0" applyNumberFormat="1" applyFont="1" applyFill="1" applyBorder="1"/>
    <x:xf numFmtId="0" fontId="4" fillId="15" borderId="0" xfId="0" applyNumberFormat="1" applyFont="1" applyFill="1" applyBorder="1" applyAlignment="1">
      <x:alignment wrapText="1"/>
    </x:xf>
    <x:xf numFmtId="0" fontId="4" fillId="15" borderId="0" xfId="0" applyNumberFormat="1" applyFont="1" applyFill="1" applyBorder="1" applyAlignment="1">
      <x:alignment horizontal="center" wrapText="1"/>
    </x:xf>
    <x:xf numFmtId="0" fontId="4" fillId="15" borderId="0" xfId="0" applyNumberFormat="1" applyFont="1" applyFill="1" applyBorder="1" applyAlignment="1">
      <x:alignment horizontal="center" vertical="center" wrapText="1"/>
    </x:xf>
    <x:xf numFmtId="0" fontId="0" fillId="15" borderId="1" xfId="0" applyNumberFormat="1" applyFont="1" applyFill="1" applyBorder="1"/>
    <x:xf numFmtId="0" fontId="4" fillId="15" borderId="1" xfId="0" applyNumberFormat="1" applyFont="1" applyFill="1" applyBorder="1"/>
    <x:xf numFmtId="0" fontId="4" fillId="15" borderId="1" xfId="0" applyNumberFormat="1" applyFont="1" applyFill="1" applyBorder="1" applyAlignment="1">
      <x:alignment wrapText="1"/>
    </x:xf>
    <x:xf numFmtId="0" fontId="4" fillId="15" borderId="1" xfId="0" applyNumberFormat="1" applyFont="1" applyFill="1" applyBorder="1" applyAlignment="1">
      <x:alignment horizontal="center" wrapText="1"/>
    </x:xf>
    <x:xf numFmtId="0" fontId="4" fillId="15" borderId="1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wrapText="1"/>
    </x:xf>
    <x:xf numFmtId="0" fontId="4" fillId="16" borderId="0" xfId="0" applyNumberFormat="1" applyFont="1" applyFill="1" applyBorder="1" applyAlignment="1">
      <x:alignment horizontal="center" wrapText="1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0" fillId="16" borderId="1" xfId="0" applyNumberFormat="1" applyFont="1" applyFill="1" applyBorder="1"/>
    <x:xf numFmtId="0" fontId="4" fillId="16" borderId="1" xfId="0" applyNumberFormat="1" applyFont="1" applyFill="1" applyBorder="1"/>
    <x:xf numFmtId="0" fontId="4" fillId="16" borderId="1" xfId="0" applyNumberFormat="1" applyFont="1" applyFill="1" applyBorder="1" applyAlignment="1">
      <x:alignment wrapText="1"/>
    </x:xf>
    <x:xf numFmtId="0" fontId="4" fillId="16" borderId="1" xfId="0" applyNumberFormat="1" applyFont="1" applyFill="1" applyBorder="1" applyAlignment="1">
      <x:alignment horizontal="center" wrapText="1"/>
    </x:xf>
    <x:xf numFmtId="0" fontId="4" fillId="16" borderId="1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horizont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horizont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wrapText="1"/>
    </x:xf>
    <x:xf numFmtId="0" fontId="5" fillId="9" borderId="1" xfId="0" applyNumberFormat="1" applyFont="1" applyFill="1" applyBorder="1" applyAlignment="1">
      <x:alignment horizontal="center" wrapText="1"/>
    </x:xf>
    <x:xf numFmtId="0" fontId="5" fillId="9" borderId="1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5" fillId="10" borderId="1" xfId="0" applyNumberFormat="1" applyFont="1" applyFill="1" applyBorder="1"/>
    <x:xf numFmtId="0" fontId="5" fillId="10" borderId="1" xfId="0" applyNumberFormat="1" applyFont="1" applyFill="1" applyBorder="1" applyAlignment="1">
      <x:alignment wrapText="1"/>
    </x:xf>
    <x:xf numFmtId="0" fontId="5" fillId="10" borderId="1" xfId="0" applyNumberFormat="1" applyFont="1" applyFill="1" applyBorder="1" applyAlignment="1">
      <x:alignment horizontal="center" wrapText="1"/>
    </x:xf>
    <x:xf numFmtId="0" fontId="5" fillId="10" borderId="1" xfId="0" applyNumberFormat="1" applyFont="1" applyFill="1" applyBorder="1" applyAlignment="1">
      <x:alignment horizontal="center" vertical="center" wrapText="1"/>
    </x:xf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horizont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5" fillId="11" borderId="1" xfId="0" applyNumberFormat="1" applyFont="1" applyFill="1" applyBorder="1"/>
    <x:xf numFmtId="0" fontId="5" fillId="11" borderId="1" xfId="0" applyNumberFormat="1" applyFont="1" applyFill="1" applyBorder="1" applyAlignment="1">
      <x:alignment wrapText="1"/>
    </x:xf>
    <x:xf numFmtId="0" fontId="5" fillId="11" borderId="1" xfId="0" applyNumberFormat="1" applyFont="1" applyFill="1" applyBorder="1" applyAlignment="1">
      <x:alignment horizontal="center" wrapText="1"/>
    </x:xf>
    <x:xf numFmtId="0" fontId="5" fillId="11" borderId="1" xfId="0" applyNumberFormat="1" applyFont="1" applyFill="1" applyBorder="1" applyAlignment="1">
      <x:alignment horizontal="center" vertical="center" wrapText="1"/>
    </x:xf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horizontal="center" wrapText="1"/>
    </x:xf>
    <x:xf numFmtId="0" fontId="5" fillId="12" borderId="0" xfId="0" applyNumberFormat="1" applyFont="1" applyFill="1" applyBorder="1" applyAlignment="1">
      <x:alignment horizontal="center" vertical="center" wrapText="1"/>
    </x:xf>
    <x:xf numFmtId="0" fontId="5" fillId="12" borderId="1" xfId="0" applyNumberFormat="1" applyFont="1" applyFill="1" applyBorder="1"/>
    <x:xf numFmtId="0" fontId="5" fillId="12" borderId="1" xfId="0" applyNumberFormat="1" applyFont="1" applyFill="1" applyBorder="1" applyAlignment="1">
      <x:alignment wrapText="1"/>
    </x:xf>
    <x:xf numFmtId="0" fontId="5" fillId="12" borderId="1" xfId="0" applyNumberFormat="1" applyFont="1" applyFill="1" applyBorder="1" applyAlignment="1">
      <x:alignment horizontal="center" wrapText="1"/>
    </x:xf>
    <x:xf numFmtId="0" fontId="5" fillId="12" borderId="1" xfId="0" applyNumberFormat="1" applyFont="1" applyFill="1" applyBorder="1" applyAlignment="1">
      <x:alignment horizontal="center" vertical="center" wrapText="1"/>
    </x:xf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horizontal="center" wrapText="1"/>
    </x:xf>
    <x:xf numFmtId="0" fontId="5" fillId="13" borderId="0" xfId="0" applyNumberFormat="1" applyFont="1" applyFill="1" applyBorder="1" applyAlignment="1">
      <x:alignment horizontal="center" vertical="center" wrapText="1"/>
    </x:xf>
    <x:xf numFmtId="0" fontId="5" fillId="13" borderId="1" xfId="0" applyNumberFormat="1" applyFont="1" applyFill="1" applyBorder="1"/>
    <x:xf numFmtId="0" fontId="5" fillId="13" borderId="1" xfId="0" applyNumberFormat="1" applyFont="1" applyFill="1" applyBorder="1" applyAlignment="1">
      <x:alignment wrapText="1"/>
    </x:xf>
    <x:xf numFmtId="0" fontId="5" fillId="13" borderId="1" xfId="0" applyNumberFormat="1" applyFont="1" applyFill="1" applyBorder="1" applyAlignment="1">
      <x:alignment horizontal="center" wrapText="1"/>
    </x:xf>
    <x:xf numFmtId="0" fontId="5" fillId="13" borderId="1" xfId="0" applyNumberFormat="1" applyFont="1" applyFill="1" applyBorder="1" applyAlignment="1">
      <x:alignment horizontal="center" vertical="center" wrapText="1"/>
    </x:xf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horizontal="center" wrapText="1"/>
    </x:xf>
    <x:xf numFmtId="0" fontId="5" fillId="14" borderId="0" xfId="0" applyNumberFormat="1" applyFont="1" applyFill="1" applyBorder="1" applyAlignment="1">
      <x:alignment horizontal="center" vertical="center" wrapText="1"/>
    </x:xf>
    <x:xf numFmtId="0" fontId="5" fillId="14" borderId="1" xfId="0" applyNumberFormat="1" applyFont="1" applyFill="1" applyBorder="1"/>
    <x:xf numFmtId="0" fontId="5" fillId="14" borderId="1" xfId="0" applyNumberFormat="1" applyFont="1" applyFill="1" applyBorder="1" applyAlignment="1">
      <x:alignment wrapText="1"/>
    </x:xf>
    <x:xf numFmtId="0" fontId="5" fillId="14" borderId="1" xfId="0" applyNumberFormat="1" applyFont="1" applyFill="1" applyBorder="1" applyAlignment="1">
      <x:alignment horizontal="center" wrapText="1"/>
    </x:xf>
    <x:xf numFmtId="0" fontId="5" fillId="14" borderId="1" xfId="0" applyNumberFormat="1" applyFont="1" applyFill="1" applyBorder="1" applyAlignment="1">
      <x:alignment horizontal="center" vertical="center" wrapText="1"/>
    </x:xf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horizontal="center" wrapText="1"/>
    </x:xf>
    <x:xf numFmtId="0" fontId="5" fillId="15" borderId="0" xfId="0" applyNumberFormat="1" applyFont="1" applyFill="1" applyBorder="1" applyAlignment="1">
      <x:alignment horizontal="center" vertical="center" wrapText="1"/>
    </x:xf>
    <x:xf numFmtId="0" fontId="5" fillId="15" borderId="1" xfId="0" applyNumberFormat="1" applyFont="1" applyFill="1" applyBorder="1"/>
    <x:xf numFmtId="0" fontId="5" fillId="15" borderId="1" xfId="0" applyNumberFormat="1" applyFont="1" applyFill="1" applyBorder="1" applyAlignment="1">
      <x:alignment wrapText="1"/>
    </x:xf>
    <x:xf numFmtId="0" fontId="5" fillId="15" borderId="1" xfId="0" applyNumberFormat="1" applyFont="1" applyFill="1" applyBorder="1" applyAlignment="1">
      <x:alignment horizontal="center" wrapText="1"/>
    </x:xf>
    <x:xf numFmtId="0" fontId="5" fillId="15" borderId="1" xfId="0" applyNumberFormat="1" applyFont="1" applyFill="1" applyBorder="1" applyAlignment="1">
      <x:alignment horizontal="center" vertical="center" wrapText="1"/>
    </x:xf>
    <x:xf numFmtId="0" fontId="5" fillId="16" borderId="0" xfId="0" applyNumberFormat="1" applyFont="1" applyFill="1" applyBorder="1"/>
    <x:xf numFmtId="0" fontId="5" fillId="16" borderId="0" xfId="0" applyNumberFormat="1" applyFont="1" applyFill="1" applyBorder="1" applyAlignment="1">
      <x:alignment wrapText="1"/>
    </x:xf>
    <x:xf numFmtId="0" fontId="5" fillId="16" borderId="0" xfId="0" applyNumberFormat="1" applyFont="1" applyFill="1" applyBorder="1" applyAlignment="1">
      <x:alignment horizontal="center" wrapText="1"/>
    </x:xf>
    <x:xf numFmtId="0" fontId="5" fillId="16" borderId="0" xfId="0" applyNumberFormat="1" applyFont="1" applyFill="1" applyBorder="1" applyAlignment="1">
      <x:alignment horizontal="center" vertical="center" wrapText="1"/>
    </x:xf>
    <x:xf numFmtId="0" fontId="5" fillId="16" borderId="1" xfId="0" applyNumberFormat="1" applyFont="1" applyFill="1" applyBorder="1"/>
    <x:xf numFmtId="0" fontId="5" fillId="16" borderId="1" xfId="0" applyNumberFormat="1" applyFont="1" applyFill="1" applyBorder="1" applyAlignment="1">
      <x:alignment wrapText="1"/>
    </x:xf>
    <x:xf numFmtId="0" fontId="5" fillId="16" borderId="1" xfId="0" applyNumberFormat="1" applyFont="1" applyFill="1" applyBorder="1" applyAlignment="1">
      <x:alignment horizontal="center" wrapText="1"/>
    </x:xf>
    <x:xf numFmtId="0" fontId="5" fillId="16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16" xfId="0" applyNumberFormat="1" applyFont="1" applyFill="1" applyBorder="1"/>
    <x:xf numFmtId="0" fontId="6" fillId="0" borderId="17" xfId="0" applyNumberFormat="1" applyFont="1" applyFill="1" applyBorder="1"/>
    <x:xf numFmtId="0" fontId="6" fillId="0" borderId="1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wrapText="1"/>
    </x:xf>
    <x:xf numFmtId="0" fontId="6" fillId="0" borderId="17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 applyAlignment="1">
      <x:alignment vertical="top" wrapText="1"/>
    </x:xf>
    <x:xf numFmtId="0" fontId="6" fillId="0" borderId="17" xfId="0" applyNumberFormat="1" applyFont="1" applyFill="1" applyBorder="1" applyAlignment="1">
      <x:alignment vertical="top" wrapText="1"/>
    </x:xf>
    <x:xf numFmtId="0" fontId="6" fillId="17" borderId="2" xfId="0" applyNumberFormat="1" applyFont="1" applyFill="1" applyBorder="1" applyAlignment="1">
      <x:alignment vertical="top" wrapText="1"/>
    </x:xf>
    <x:xf numFmtId="0" fontId="6" fillId="17" borderId="3" xfId="0" applyNumberFormat="1" applyFont="1" applyFill="1" applyBorder="1" applyAlignment="1">
      <x:alignment vertical="top" wrapText="1"/>
    </x:xf>
    <x:xf numFmtId="0" fontId="6" fillId="17" borderId="4" xfId="0" applyNumberFormat="1" applyFont="1" applyFill="1" applyBorder="1" applyAlignment="1">
      <x:alignment vertical="top" wrapText="1"/>
    </x:xf>
    <x:xf numFmtId="0" fontId="6" fillId="17" borderId="10" xfId="0" applyNumberFormat="1" applyFont="1" applyFill="1" applyBorder="1" applyAlignment="1">
      <x:alignment vertical="top" wrapText="1"/>
    </x:xf>
    <x:xf numFmtId="0" fontId="6" fillId="17" borderId="11" xfId="0" applyNumberFormat="1" applyFont="1" applyFill="1" applyBorder="1" applyAlignment="1">
      <x:alignment vertical="top" wrapText="1"/>
    </x:xf>
    <x:xf numFmtId="0" fontId="6" fillId="17" borderId="12" xfId="0" applyNumberFormat="1" applyFont="1" applyFill="1" applyBorder="1" applyAlignment="1">
      <x:alignment vertical="top" wrapText="1"/>
    </x:xf>
    <x:xf numFmtId="0" fontId="6" fillId="18" borderId="2" xfId="0" applyNumberFormat="1" applyFont="1" applyFill="1" applyBorder="1" applyAlignment="1">
      <x:alignment vertical="top" wrapText="1"/>
    </x:xf>
    <x:xf numFmtId="0" fontId="6" fillId="18" borderId="3" xfId="0" applyNumberFormat="1" applyFont="1" applyFill="1" applyBorder="1" applyAlignment="1">
      <x:alignment vertical="top" wrapText="1"/>
    </x:xf>
    <x:xf numFmtId="0" fontId="6" fillId="18" borderId="10" xfId="0" applyNumberFormat="1" applyFont="1" applyFill="1" applyBorder="1" applyAlignment="1">
      <x:alignment vertical="top" wrapText="1"/>
    </x:xf>
    <x:xf numFmtId="0" fontId="6" fillId="18" borderId="11" xfId="0" applyNumberFormat="1" applyFont="1" applyFill="1" applyBorder="1" applyAlignment="1">
      <x:alignment vertical="top" wrapText="1"/>
    </x:xf>
    <x:xf numFmtId="0" fontId="7" fillId="18" borderId="2" xfId="0" applyNumberFormat="1" applyFont="1" applyFill="1" applyBorder="1" applyAlignment="1">
      <x:alignment vertical="top" wrapText="1"/>
    </x:xf>
    <x:xf numFmtId="0" fontId="7" fillId="18" borderId="3" xfId="0" applyNumberFormat="1" applyFont="1" applyFill="1" applyBorder="1" applyAlignment="1">
      <x:alignment vertical="top" wrapText="1"/>
    </x:xf>
    <x:xf numFmtId="0" fontId="7" fillId="18" borderId="10" xfId="0" applyNumberFormat="1" applyFont="1" applyFill="1" applyBorder="1" applyAlignment="1">
      <x:alignment vertical="top" wrapText="1"/>
    </x:xf>
    <x:xf numFmtId="0" fontId="7" fillId="18" borderId="11" xfId="0" applyNumberFormat="1" applyFont="1" applyFill="1" applyBorder="1" applyAlignment="1">
      <x:alignment vertical="top" wrapText="1"/>
    </x:xf>
    <x:xf numFmtId="0" fontId="7" fillId="18" borderId="2" xfId="0" applyNumberFormat="1" applyFont="1" applyFill="1" applyBorder="1" applyAlignment="1">
      <x:alignment horizontal="center" vertical="top" wrapText="1"/>
    </x:xf>
    <x:xf numFmtId="0" fontId="7" fillId="18" borderId="3" xfId="0" applyNumberFormat="1" applyFont="1" applyFill="1" applyBorder="1" applyAlignment="1">
      <x:alignment horizontal="center" vertical="top" wrapText="1"/>
    </x:xf>
    <x:xf numFmtId="0" fontId="7" fillId="18" borderId="10" xfId="0" applyNumberFormat="1" applyFont="1" applyFill="1" applyBorder="1" applyAlignment="1">
      <x:alignment horizontal="center" vertical="top" wrapText="1"/>
    </x:xf>
    <x:xf numFmtId="0" fontId="7" fillId="18" borderId="11" xfId="0" applyNumberFormat="1" applyFont="1" applyFill="1" applyBorder="1" applyAlignment="1">
      <x:alignment horizontal="center" vertical="top" wrapText="1"/>
    </x:xf>
    <x:xf numFmtId="0" fontId="6" fillId="17" borderId="3" xfId="0" applyNumberFormat="1" applyFont="1" applyFill="1" applyBorder="1" applyAlignment="1">
      <x:alignment horizontal="center" vertical="top" wrapText="1"/>
    </x:xf>
    <x:xf numFmtId="0" fontId="6" fillId="17" borderId="11" xfId="0" applyNumberFormat="1" applyFont="1" applyFill="1" applyBorder="1" applyAlignment="1">
      <x:alignment horizontal="center" vertical="top" wrapText="1"/>
    </x:xf>
    <x:xf numFmtId="0" fontId="6" fillId="17" borderId="5" xfId="0" applyNumberFormat="1" applyFont="1" applyFill="1" applyBorder="1" applyAlignment="1">
      <x:alignment vertical="top" wrapText="1"/>
    </x:xf>
    <x:xf numFmtId="0" fontId="6" fillId="17" borderId="0" xfId="0" applyNumberFormat="1" applyFont="1" applyFill="1" applyBorder="1" applyAlignment="1">
      <x:alignment vertical="top" wrapText="1"/>
    </x:xf>
    <x:xf numFmtId="0" fontId="6" fillId="17" borderId="6" xfId="0" applyNumberFormat="1" applyFont="1" applyFill="1" applyBorder="1" applyAlignment="1">
      <x:alignment vertical="top" wrapText="1"/>
    </x:xf>
    <x:xf numFmtId="0" fontId="6" fillId="17" borderId="13" xfId="0" applyNumberFormat="1" applyFont="1" applyFill="1" applyBorder="1" applyAlignment="1">
      <x:alignment vertical="top" wrapText="1"/>
    </x:xf>
    <x:xf numFmtId="0" fontId="6" fillId="17" borderId="1" xfId="0" applyNumberFormat="1" applyFont="1" applyFill="1" applyBorder="1" applyAlignment="1">
      <x:alignment vertical="top" wrapText="1"/>
    </x:xf>
    <x:xf numFmtId="0" fontId="6" fillId="17" borderId="14" xfId="0" applyNumberFormat="1" applyFont="1" applyFill="1" applyBorder="1" applyAlignment="1">
      <x:alignment vertical="top" wrapText="1"/>
    </x:xf>
    <x:xf numFmtId="0" fontId="6" fillId="18" borderId="5" xfId="0" applyNumberFormat="1" applyFont="1" applyFill="1" applyBorder="1" applyAlignment="1">
      <x:alignment vertical="top" wrapText="1"/>
    </x:xf>
    <x:xf numFmtId="0" fontId="6" fillId="18" borderId="0" xfId="0" applyNumberFormat="1" applyFont="1" applyFill="1" applyBorder="1" applyAlignment="1">
      <x:alignment vertical="top" wrapText="1"/>
    </x:xf>
    <x:xf numFmtId="0" fontId="6" fillId="18" borderId="13" xfId="0" applyNumberFormat="1" applyFont="1" applyFill="1" applyBorder="1" applyAlignment="1">
      <x:alignment vertical="top" wrapText="1"/>
    </x:xf>
    <x:xf numFmtId="0" fontId="6" fillId="18" borderId="1" xfId="0" applyNumberFormat="1" applyFont="1" applyFill="1" applyBorder="1" applyAlignment="1">
      <x:alignment vertical="top" wrapText="1"/>
    </x:xf>
    <x:xf numFmtId="0" fontId="7" fillId="18" borderId="5" xfId="0" applyNumberFormat="1" applyFont="1" applyFill="1" applyBorder="1" applyAlignment="1">
      <x:alignment vertical="top" wrapText="1"/>
    </x:xf>
    <x:xf numFmtId="0" fontId="7" fillId="18" borderId="0" xfId="0" applyNumberFormat="1" applyFont="1" applyFill="1" applyBorder="1" applyAlignment="1">
      <x:alignment vertical="top" wrapText="1"/>
    </x:xf>
    <x:xf numFmtId="0" fontId="7" fillId="18" borderId="13" xfId="0" applyNumberFormat="1" applyFont="1" applyFill="1" applyBorder="1" applyAlignment="1">
      <x:alignment vertical="top" wrapText="1"/>
    </x:xf>
    <x:xf numFmtId="0" fontId="7" fillId="18" borderId="1" xfId="0" applyNumberFormat="1" applyFont="1" applyFill="1" applyBorder="1" applyAlignment="1">
      <x:alignment vertical="top" wrapText="1"/>
    </x:xf>
    <x:xf numFmtId="0" fontId="7" fillId="18" borderId="5" xfId="0" applyNumberFormat="1" applyFont="1" applyFill="1" applyBorder="1" applyAlignment="1">
      <x:alignment horizontal="center" vertical="top" wrapText="1"/>
    </x:xf>
    <x:xf numFmtId="0" fontId="7" fillId="18" borderId="0" xfId="0" applyNumberFormat="1" applyFont="1" applyFill="1" applyBorder="1" applyAlignment="1">
      <x:alignment horizontal="center" vertical="top" wrapText="1"/>
    </x:xf>
    <x:xf numFmtId="0" fontId="7" fillId="18" borderId="13" xfId="0" applyNumberFormat="1" applyFont="1" applyFill="1" applyBorder="1" applyAlignment="1">
      <x:alignment horizontal="center" vertical="top" wrapText="1"/>
    </x:xf>
    <x:xf numFmtId="0" fontId="7" fillId="18" borderId="1" xfId="0" applyNumberFormat="1" applyFont="1" applyFill="1" applyBorder="1" applyAlignment="1">
      <x:alignment horizontal="center" vertical="top" wrapText="1"/>
    </x:xf>
    <x:xf numFmtId="0" fontId="6" fillId="17" borderId="0" xfId="0" applyNumberFormat="1" applyFont="1" applyFill="1" applyBorder="1" applyAlignment="1">
      <x:alignment horizontal="center" vertical="top" wrapText="1"/>
    </x:xf>
    <x:xf numFmtId="0" fontId="6" fillId="17" borderId="1" xfId="0" applyNumberFormat="1" applyFont="1" applyFill="1" applyBorder="1" applyAlignment="1">
      <x:alignment horizontal="center" vertical="top" wrapText="1"/>
    </x:xf>
    <x:xf numFmtId="0" fontId="6" fillId="19" borderId="5" xfId="0" applyNumberFormat="1" applyFont="1" applyFill="1" applyBorder="1" applyAlignment="1">
      <x:alignment vertical="top" wrapText="1"/>
    </x:xf>
    <x:xf numFmtId="0" fontId="6" fillId="19" borderId="0" xfId="0" applyNumberFormat="1" applyFont="1" applyFill="1" applyBorder="1" applyAlignment="1">
      <x:alignment vertical="top" wrapText="1"/>
    </x:xf>
    <x:xf numFmtId="0" fontId="6" fillId="19" borderId="6" xfId="0" applyNumberFormat="1" applyFont="1" applyFill="1" applyBorder="1" applyAlignment="1">
      <x:alignment vertical="top" wrapText="1"/>
    </x:xf>
    <x:xf numFmtId="0" fontId="6" fillId="19" borderId="13" xfId="0" applyNumberFormat="1" applyFont="1" applyFill="1" applyBorder="1" applyAlignment="1">
      <x:alignment vertical="top" wrapText="1"/>
    </x:xf>
    <x:xf numFmtId="0" fontId="6" fillId="19" borderId="1" xfId="0" applyNumberFormat="1" applyFont="1" applyFill="1" applyBorder="1" applyAlignment="1">
      <x:alignment vertical="top" wrapText="1"/>
    </x:xf>
    <x:xf numFmtId="0" fontId="6" fillId="19" borderId="14" xfId="0" applyNumberFormat="1" applyFont="1" applyFill="1" applyBorder="1" applyAlignment="1">
      <x:alignment vertical="top" wrapText="1"/>
    </x:xf>
    <x:xf numFmtId="0" fontId="6" fillId="20" borderId="5" xfId="0" applyNumberFormat="1" applyFont="1" applyFill="1" applyBorder="1" applyAlignment="1">
      <x:alignment vertical="top" wrapText="1"/>
    </x:xf>
    <x:xf numFmtId="0" fontId="6" fillId="20" borderId="0" xfId="0" applyNumberFormat="1" applyFont="1" applyFill="1" applyBorder="1" applyAlignment="1">
      <x:alignment vertical="top" wrapText="1"/>
    </x:xf>
    <x:xf numFmtId="0" fontId="6" fillId="20" borderId="13" xfId="0" applyNumberFormat="1" applyFont="1" applyFill="1" applyBorder="1" applyAlignment="1">
      <x:alignment vertical="top" wrapText="1"/>
    </x:xf>
    <x:xf numFmtId="0" fontId="6" fillId="20" borderId="1" xfId="0" applyNumberFormat="1" applyFont="1" applyFill="1" applyBorder="1" applyAlignment="1">
      <x:alignment vertical="top" wrapText="1"/>
    </x:xf>
    <x:xf numFmtId="0" fontId="7" fillId="20" borderId="5" xfId="0" applyNumberFormat="1" applyFont="1" applyFill="1" applyBorder="1" applyAlignment="1">
      <x:alignment vertical="top" wrapText="1"/>
    </x:xf>
    <x:xf numFmtId="0" fontId="7" fillId="20" borderId="0" xfId="0" applyNumberFormat="1" applyFont="1" applyFill="1" applyBorder="1" applyAlignment="1">
      <x:alignment vertical="top" wrapText="1"/>
    </x:xf>
    <x:xf numFmtId="0" fontId="7" fillId="20" borderId="13" xfId="0" applyNumberFormat="1" applyFont="1" applyFill="1" applyBorder="1" applyAlignment="1">
      <x:alignment vertical="top" wrapText="1"/>
    </x:xf>
    <x:xf numFmtId="0" fontId="7" fillId="20" borderId="1" xfId="0" applyNumberFormat="1" applyFont="1" applyFill="1" applyBorder="1" applyAlignment="1">
      <x:alignment vertical="top" wrapText="1"/>
    </x:xf>
    <x:xf numFmtId="0" fontId="7" fillId="20" borderId="5" xfId="0" applyNumberFormat="1" applyFont="1" applyFill="1" applyBorder="1" applyAlignment="1">
      <x:alignment horizontal="center" vertical="top" wrapText="1"/>
    </x:xf>
    <x:xf numFmtId="0" fontId="7" fillId="20" borderId="0" xfId="0" applyNumberFormat="1" applyFont="1" applyFill="1" applyBorder="1" applyAlignment="1">
      <x:alignment horizontal="center" vertical="top" wrapText="1"/>
    </x:xf>
    <x:xf numFmtId="0" fontId="7" fillId="20" borderId="13" xfId="0" applyNumberFormat="1" applyFont="1" applyFill="1" applyBorder="1" applyAlignment="1">
      <x:alignment horizontal="center" vertical="top" wrapText="1"/>
    </x:xf>
    <x:xf numFmtId="0" fontId="7" fillId="20" borderId="1" xfId="0" applyNumberFormat="1" applyFont="1" applyFill="1" applyBorder="1" applyAlignment="1">
      <x:alignment horizontal="center" vertical="top" wrapText="1"/>
    </x:xf>
    <x:xf numFmtId="0" fontId="6" fillId="19" borderId="0" xfId="0" applyNumberFormat="1" applyFont="1" applyFill="1" applyBorder="1" applyAlignment="1">
      <x:alignment horizontal="center" vertical="top" wrapText="1"/>
    </x:xf>
    <x:xf numFmtId="0" fontId="6" fillId="19" borderId="1" xfId="0" applyNumberFormat="1" applyFont="1" applyFill="1" applyBorder="1" applyAlignment="1">
      <x:alignment horizontal="center" vertical="top" wrapText="1"/>
    </x:xf>
    <x:xf numFmtId="0" fontId="6" fillId="19" borderId="7" xfId="0" applyNumberFormat="1" applyFont="1" applyFill="1" applyBorder="1" applyAlignment="1">
      <x:alignment vertical="top" wrapText="1"/>
    </x:xf>
    <x:xf numFmtId="0" fontId="6" fillId="19" borderId="8" xfId="0" applyNumberFormat="1" applyFont="1" applyFill="1" applyBorder="1" applyAlignment="1">
      <x:alignment vertical="top" wrapText="1"/>
    </x:xf>
    <x:xf numFmtId="0" fontId="6" fillId="19" borderId="9" xfId="0" applyNumberFormat="1" applyFont="1" applyFill="1" applyBorder="1" applyAlignment="1">
      <x:alignment vertical="top" wrapText="1"/>
    </x:xf>
    <x:xf numFmtId="0" fontId="6" fillId="19" borderId="15" xfId="0" applyNumberFormat="1" applyFont="1" applyFill="1" applyBorder="1" applyAlignment="1">
      <x:alignment vertical="top" wrapText="1"/>
    </x:xf>
    <x:xf numFmtId="0" fontId="6" fillId="19" borderId="16" xfId="0" applyNumberFormat="1" applyFont="1" applyFill="1" applyBorder="1" applyAlignment="1">
      <x:alignment vertical="top" wrapText="1"/>
    </x:xf>
    <x:xf numFmtId="0" fontId="6" fillId="19" borderId="17" xfId="0" applyNumberFormat="1" applyFont="1" applyFill="1" applyBorder="1" applyAlignment="1">
      <x:alignment vertical="top" wrapText="1"/>
    </x:xf>
    <x:xf numFmtId="0" fontId="6" fillId="20" borderId="7" xfId="0" applyNumberFormat="1" applyFont="1" applyFill="1" applyBorder="1" applyAlignment="1">
      <x:alignment vertical="top" wrapText="1"/>
    </x:xf>
    <x:xf numFmtId="0" fontId="6" fillId="20" borderId="8" xfId="0" applyNumberFormat="1" applyFont="1" applyFill="1" applyBorder="1" applyAlignment="1">
      <x:alignment vertical="top" wrapText="1"/>
    </x:xf>
    <x:xf numFmtId="0" fontId="6" fillId="20" borderId="15" xfId="0" applyNumberFormat="1" applyFont="1" applyFill="1" applyBorder="1" applyAlignment="1">
      <x:alignment vertical="top" wrapText="1"/>
    </x:xf>
    <x:xf numFmtId="0" fontId="6" fillId="20" borderId="16" xfId="0" applyNumberFormat="1" applyFont="1" applyFill="1" applyBorder="1" applyAlignment="1">
      <x:alignment vertical="top" wrapText="1"/>
    </x:xf>
    <x:xf numFmtId="0" fontId="7" fillId="20" borderId="7" xfId="0" applyNumberFormat="1" applyFont="1" applyFill="1" applyBorder="1" applyAlignment="1">
      <x:alignment vertical="top" wrapText="1"/>
    </x:xf>
    <x:xf numFmtId="0" fontId="7" fillId="20" borderId="8" xfId="0" applyNumberFormat="1" applyFont="1" applyFill="1" applyBorder="1" applyAlignment="1">
      <x:alignment vertical="top" wrapText="1"/>
    </x:xf>
    <x:xf numFmtId="0" fontId="7" fillId="20" borderId="15" xfId="0" applyNumberFormat="1" applyFont="1" applyFill="1" applyBorder="1" applyAlignment="1">
      <x:alignment vertical="top" wrapText="1"/>
    </x:xf>
    <x:xf numFmtId="0" fontId="7" fillId="20" borderId="16" xfId="0" applyNumberFormat="1" applyFont="1" applyFill="1" applyBorder="1" applyAlignment="1">
      <x:alignment vertical="top" wrapText="1"/>
    </x:xf>
    <x:xf numFmtId="0" fontId="7" fillId="20" borderId="7" xfId="0" applyNumberFormat="1" applyFont="1" applyFill="1" applyBorder="1" applyAlignment="1">
      <x:alignment horizontal="center" vertical="top" wrapText="1"/>
    </x:xf>
    <x:xf numFmtId="0" fontId="7" fillId="20" borderId="8" xfId="0" applyNumberFormat="1" applyFont="1" applyFill="1" applyBorder="1" applyAlignment="1">
      <x:alignment horizontal="center" vertical="top" wrapText="1"/>
    </x:xf>
    <x:xf numFmtId="0" fontId="7" fillId="20" borderId="15" xfId="0" applyNumberFormat="1" applyFont="1" applyFill="1" applyBorder="1" applyAlignment="1">
      <x:alignment horizontal="center" vertical="top" wrapText="1"/>
    </x:xf>
    <x:xf numFmtId="0" fontId="7" fillId="20" borderId="16" xfId="0" applyNumberFormat="1" applyFont="1" applyFill="1" applyBorder="1" applyAlignment="1">
      <x:alignment horizontal="center" vertical="top" wrapText="1"/>
    </x:xf>
    <x:xf numFmtId="0" fontId="6" fillId="19" borderId="8" xfId="0" applyNumberFormat="1" applyFont="1" applyFill="1" applyBorder="1" applyAlignment="1">
      <x:alignment horizontal="center" vertical="top" wrapText="1"/>
    </x:xf>
    <x:xf numFmtId="0" fontId="6" fillId="19" borderId="16" xfId="0" applyNumberFormat="1" applyFont="1" applyFill="1" applyBorder="1" applyAlignment="1">
      <x:alignment horizontal="center" vertical="top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horizontal="center" wrapText="1"/>
    </x:xf>
    <x:xf numFmtId="0" fontId="9" fillId="5" borderId="0" xfId="0" applyNumberFormat="1" applyFont="1" applyFill="1" applyBorder="1" applyAlignment="1">
      <x:alignment horizontal="center" vertical="center" wrapText="1"/>
    </x:xf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horizontal="center" wrapText="1"/>
    </x:xf>
    <x:xf numFmtId="0" fontId="9" fillId="5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21" borderId="0" xfId="0" applyNumberFormat="1" applyFont="1" applyFill="1" applyBorder="1"/>
    <x:xf numFmtId="0" fontId="8" fillId="21" borderId="0" xfId="0" applyNumberFormat="1" applyFont="1" applyFill="1" applyBorder="1"/>
    <x:xf numFmtId="0" fontId="8" fillId="21" borderId="0" xfId="0" applyNumberFormat="1" applyFont="1" applyFill="1" applyBorder="1" applyAlignment="1">
      <x:alignment wrapText="1"/>
    </x:xf>
    <x:xf numFmtId="0" fontId="8" fillId="21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2" fillId="22" borderId="0" xfId="0" applyNumberFormat="1" applyFont="1" applyFill="1" applyBorder="1"/>
    <x:xf numFmtId="0" fontId="2" fillId="22" borderId="0" xfId="0" applyNumberFormat="1" applyFont="1" applyFill="1" applyBorder="1" applyAlignment="1">
      <x:alignment wrapText="1"/>
    </x:xf>
    <x:xf numFmtId="0" fontId="2" fillId="22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5" fillId="23" borderId="0" xfId="0" applyNumberFormat="1" applyFont="1" applyFill="1" applyBorder="1"/>
    <x:xf numFmtId="0" fontId="5" fillId="23" borderId="0" xfId="0" applyNumberFormat="1" applyFont="1" applyFill="1" applyBorder="1" applyAlignment="1">
      <x:alignment wrapText="1"/>
    </x:xf>
    <x:xf numFmtId="0" fontId="5" fillId="23" borderId="0" xfId="0" applyNumberFormat="1" applyFont="1" applyFill="1" applyBorder="1" applyAlignment="1">
      <x:alignment horizontal="center" wrapText="1"/>
    </x:xf>
    <x:xf numFmtId="0" fontId="5" fillId="23" borderId="0" xfId="0" applyNumberFormat="1" applyFont="1" applyFill="1" applyBorder="1" applyAlignment="1">
      <x:alignment horizontal="center" vertical="center" wrapText="1"/>
    </x:xf>
    <x:xf numFmtId="0" fontId="6" fillId="0" borderId="18" xfId="0" applyNumberFormat="1" applyFont="1" applyFill="1" applyBorder="1"/>
    <x:xf numFmtId="0" fontId="6" fillId="0" borderId="19" xfId="0" applyNumberFormat="1" applyFont="1" applyFill="1" applyBorder="1"/>
    <x:xf numFmtId="0" fontId="6" fillId="0" borderId="20" xfId="0" applyNumberFormat="1" applyFont="1" applyFill="1" applyBorder="1"/>
    <x:xf numFmtId="0" fontId="6" fillId="0" borderId="21" xfId="0" applyNumberFormat="1" applyFont="1" applyFill="1" applyBorder="1"/>
    <x:xf numFmtId="0" fontId="6" fillId="0" xfId="0" applyNumberFormat="1" applyFont="1" applyFill="1" applyBorder="0"/>
    <x:xf numFmtId="0" fontId="6" fillId="0" borderId="22" xfId="0" applyNumberFormat="1" applyFont="1" applyFill="1" applyBorder="1"/>
    <x:xf numFmtId="0" fontId="6" fillId="0" borderId="23" xfId="0" applyNumberFormat="1" applyFont="1" applyFill="1" applyBorder="1"/>
    <x:xf numFmtId="0" fontId="6" fillId="0" borderId="24" xfId="0" applyNumberFormat="1" applyFont="1" applyFill="1" applyBorder="1"/>
    <x:xf numFmtId="0" fontId="6" fillId="0" borderId="25" xfId="0" applyNumberFormat="1" applyFont="1" applyFill="1" applyBorder="1"/>
    <x:xf numFmtId="0" fontId="6" fillId="0" borderId="18" xfId="0" applyNumberFormat="1" applyFont="1" applyFill="1" applyBorder="1" applyAlignment="1">
      <x:alignment wrapText="1"/>
    </x:xf>
    <x:xf numFmtId="0" fontId="6" fillId="0" borderId="19" xfId="0" applyNumberFormat="1" applyFont="1" applyFill="1" applyBorder="1" applyAlignment="1">
      <x:alignment wrapText="1"/>
    </x:xf>
    <x:xf numFmtId="0" fontId="6" fillId="0" borderId="20" xfId="0" applyNumberFormat="1" applyFont="1" applyFill="1" applyBorder="1" applyAlignment="1">
      <x:alignment wrapText="1"/>
    </x:xf>
    <x:xf numFmtId="0" fontId="6" fillId="0" borderId="21" xfId="0" applyNumberFormat="1" applyFont="1" applyFill="1" applyBorder="1" applyAlignment="1">
      <x:alignment wrapText="1"/>
    </x:xf>
    <x:xf numFmtId="0" fontId="6" fillId="0" xfId="0" applyNumberFormat="1" applyFont="1" applyFill="1" applyBorder="0" applyAlignment="1">
      <x:alignment wrapText="1"/>
    </x:xf>
    <x:xf numFmtId="0" fontId="6" fillId="0" borderId="22" xfId="0" applyNumberFormat="1" applyFont="1" applyFill="1" applyBorder="1" applyAlignment="1">
      <x:alignment wrapText="1"/>
    </x:xf>
    <x:xf numFmtId="0" fontId="6" fillId="0" borderId="23" xfId="0" applyNumberFormat="1" applyFont="1" applyFill="1" applyBorder="1" applyAlignment="1">
      <x:alignment wrapText="1"/>
    </x:xf>
    <x:xf numFmtId="0" fontId="6" fillId="0" borderId="24" xfId="0" applyNumberFormat="1" applyFont="1" applyFill="1" applyBorder="1" applyAlignment="1">
      <x:alignment wrapText="1"/>
    </x:xf>
    <x:xf numFmtId="0" fontId="6" fillId="0" borderId="25" xfId="0" applyNumberFormat="1" applyFont="1" applyFill="1" applyBorder="1" applyAlignment="1">
      <x:alignment wrapText="1"/>
    </x:xf>
    <x:xf numFmtId="0" fontId="6" fillId="0" borderId="18" xfId="0" applyNumberFormat="1" applyFont="1" applyFill="1" applyBorder="1" applyAlignment="1">
      <x:alignment vertical="top" wrapText="1"/>
    </x:xf>
    <x:xf numFmtId="0" fontId="6" fillId="0" borderId="19" xfId="0" applyNumberFormat="1" applyFont="1" applyFill="1" applyBorder="1" applyAlignment="1">
      <x:alignment vertical="top" wrapText="1"/>
    </x:xf>
    <x:xf numFmtId="0" fontId="6" fillId="0" borderId="20" xfId="0" applyNumberFormat="1" applyFont="1" applyFill="1" applyBorder="1" applyAlignment="1">
      <x:alignment vertical="top" wrapText="1"/>
    </x:xf>
    <x:xf numFmtId="0" fontId="6" fillId="0" borderId="21" xfId="0" applyNumberFormat="1" applyFont="1" applyFill="1" applyBorder="1" applyAlignment="1">
      <x:alignment vertical="top" wrapText="1"/>
    </x:xf>
    <x:xf numFmtId="0" fontId="6" fillId="0" xfId="0" applyNumberFormat="1" applyFont="1" applyFill="1" applyBorder="0" applyAlignment="1">
      <x:alignment vertical="top" wrapText="1"/>
    </x:xf>
    <x:xf numFmtId="0" fontId="6" fillId="0" borderId="22" xfId="0" applyNumberFormat="1" applyFont="1" applyFill="1" applyBorder="1" applyAlignment="1">
      <x:alignment vertical="top" wrapText="1"/>
    </x:xf>
    <x:xf numFmtId="0" fontId="6" fillId="0" borderId="23" xfId="0" applyNumberFormat="1" applyFont="1" applyFill="1" applyBorder="1" applyAlignment="1">
      <x:alignment vertical="top" wrapText="1"/>
    </x:xf>
    <x:xf numFmtId="0" fontId="6" fillId="0" borderId="24" xfId="0" applyNumberFormat="1" applyFont="1" applyFill="1" applyBorder="1" applyAlignment="1">
      <x:alignment vertical="top" wrapText="1"/>
    </x:xf>
    <x:xf numFmtId="0" fontId="6" fillId="0" borderId="25" xfId="0" applyNumberFormat="1" applyFont="1" applyFill="1" applyBorder="1" applyAlignment="1">
      <x:alignment vertical="top" wrapText="1"/>
    </x:xf>
    <x:xf numFmtId="0" fontId="0" fillId="24" borderId="0" xfId="0" applyNumberFormat="1" applyFont="1" applyFill="1" applyBorder="1"/>
    <x:xf numFmtId="0" fontId="10" fillId="24" borderId="0" xfId="0" applyNumberFormat="1" applyFont="1" applyFill="1" applyBorder="1"/>
    <x:xf numFmtId="0" fontId="9" fillId="23" borderId="0" xfId="0" applyNumberFormat="1" applyFont="1" applyFill="1" applyBorder="1"/>
    <x:xf numFmtId="0" fontId="9" fillId="23" borderId="0" xfId="0" applyNumberFormat="1" applyFont="1" applyFill="1" applyBorder="1" applyAlignment="1">
      <x:alignment wrapText="1"/>
    </x:xf>
    <x:xf numFmtId="0" fontId="9" fillId="23" borderId="0" xfId="0" applyNumberFormat="1" applyFont="1" applyFill="1" applyBorder="1" applyAlignment="1">
      <x:alignment horizontal="center" wrapText="1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xfId="0" applyNumberFormat="1" applyFont="1" applyFill="1" applyBorder="0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horizontal="center" vertical="top" wrapText="1"/>
    </x:xf>
    <x:xf numFmtId="0" fontId="0" fillId="0" xfId="0" applyNumberFormat="1" applyFont="1" applyFill="1" applyBorder="0" applyAlignment="1">
      <x:alignment horizontal="center" vertical="top" wrapText="1"/>
    </x:xf>
    <x:xf numFmtId="0" fontId="0" fillId="0" borderId="24" xfId="0" applyNumberFormat="1" applyFont="1" applyFill="1" applyBorder="1" applyAlignment="1">
      <x:alignment horizontal="center" vertical="top" wrapText="1"/>
    </x:xf>
    <x:xf numFmtId="0" fontId="1" fillId="21" borderId="0" xfId="0" applyNumberFormat="1" applyFont="1" applyFill="1" applyBorder="1"/>
    <x:xf numFmtId="0" fontId="0" fillId="0" borderId="20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center"/>
    </x:xf>
    <x:xf numFmtId="0" fontId="0" fillId="0" borderId="25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6a4a0689f443d5" /><Relationship Type="http://schemas.openxmlformats.org/officeDocument/2006/relationships/theme" Target="/xl/theme/theme1.xml" Id="R575da302c4104217" /><Relationship Type="http://schemas.openxmlformats.org/officeDocument/2006/relationships/sharedStrings" Target="/xl/sharedStrings.xml" Id="R7f01c359685f4e0e" /><Relationship Type="http://schemas.openxmlformats.org/officeDocument/2006/relationships/worksheet" Target="/xl/worksheets/sheet1.xml" Id="R49c09bf78ec744fe" /><Relationship Type="http://schemas.openxmlformats.org/officeDocument/2006/relationships/worksheet" Target="/xl/worksheets/sheet2.xml" Id="Rf574c24000fb4b3c" /><Relationship Type="http://schemas.openxmlformats.org/officeDocument/2006/relationships/worksheet" Target="/xl/worksheets/sheet3.xml" Id="R1fb08a9047e84e25" /><Relationship Type="http://schemas.openxmlformats.org/officeDocument/2006/relationships/worksheet" Target="/xl/worksheets/sheet4.xml" Id="Rf804f3f33f2d4110" /><Relationship Type="http://schemas.openxmlformats.org/officeDocument/2006/relationships/worksheet" Target="/xl/worksheets/sheet5.xml" Id="R4e059a8ff13a42de" /><Relationship Type="http://schemas.openxmlformats.org/officeDocument/2006/relationships/worksheet" Target="/xl/worksheets/sheet6.xml" Id="Rba639690ee1a494a" /><Relationship Type="http://schemas.openxmlformats.org/officeDocument/2006/relationships/worksheet" Target="/xl/worksheets/sheet7.xml" Id="R4e277bb3c6fd41fb" /><Relationship Type="http://schemas.openxmlformats.org/officeDocument/2006/relationships/worksheet" Target="/xl/worksheets/sheet8.xml" Id="R546eaad802f54a42" /><Relationship Type="http://schemas.openxmlformats.org/officeDocument/2006/relationships/worksheet" Target="/xl/worksheets/sheet9.xml" Id="R92d93239044d4684" /><Relationship Type="http://schemas.openxmlformats.org/officeDocument/2006/relationships/worksheet" Target="/xl/worksheets/sheet10.xml" Id="Rb62332440d4040ab" /><Relationship Type="http://schemas.openxmlformats.org/officeDocument/2006/relationships/worksheet" Target="/xl/worksheets/sheet11.xml" Id="Re20e4fc63d9d4010" /><Relationship Type="http://schemas.openxmlformats.org/officeDocument/2006/relationships/worksheet" Target="/xl/worksheets/sheet12.xml" Id="Rcc7a284ec118462a" /><Relationship Type="http://schemas.openxmlformats.org/officeDocument/2006/relationships/worksheet" Target="/xl/worksheets/sheet13.xml" Id="R9717a8faf2714e9b" /><Relationship Type="http://schemas.openxmlformats.org/officeDocument/2006/relationships/worksheet" Target="/xl/worksheets/sheet14.xml" Id="R992e57813adc49aa" /><Relationship Type="http://schemas.openxmlformats.org/officeDocument/2006/relationships/worksheet" Target="/xl/worksheets/sheet15.xml" Id="R050948a71b404548" /><Relationship Type="http://schemas.openxmlformats.org/officeDocument/2006/relationships/worksheet" Target="/xl/worksheets/sheet16.xml" Id="Rc57c500e973649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e9643417d5f478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Cobertura estructural del libro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Valor</c:v>
          </c:tx>
          <c:cat>
            <c:strRef>
              <c:f>'MAPA_MAESTRO'!$A$5:$A$14</c:f>
              <c:strCache>
                <c:ptCount val="0"/>
              </c:strCache>
            </c:strRef>
          </c:cat>
          <c:val>
            <c:numRef>
              <c:f>'MAPA_MAESTRO'!$B$5:$B$14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9643417d5f478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_matriz_blenkir" displayName="tbl_matriz_blenkir" ref="A5:AW71" headerRowCount="1" totalsRowCount="0" totalsRowShown="0">
  <x:tableColumns count="49">
    <x:tableColumn id="1" name="ID"/>
    <x:tableColumn id="2" name="Tipo"/>
    <x:tableColumn id="3" name="Módulo / categoría"/>
    <x:tableColumn id="4" name="ISO 9001 — enfoque / cláusula aplicada"/>
    <x:tableColumn id="5" name="Macroproceso"/>
    <x:tableColumn id="6" name="Proceso BPMN"/>
    <x:tableColumn id="7" name="Actividad"/>
    <x:tableColumn id="8" name="Función / requerimiento"/>
    <x:tableColumn id="9" name="Utilidad para el software/proyecto"/>
    <x:tableColumn id="10" name="Entrada"/>
    <x:tableColumn id="11" name="Regla de negocio / control"/>
    <x:tableColumn id="12" name="Salida / resultado"/>
    <x:tableColumn id="13" name="Director"/>
    <x:tableColumn id="14" name="Profesor"/>
    <x:tableColumn id="15" name="Estudiante"/>
    <x:tableColumn id="16" name="Frontend / UI / archivo"/>
    <x:tableColumn id="17" name="API / endpoint"/>
    <x:tableColumn id="18" name="Backend / controlador / servicio"/>
    <x:tableColumn id="19" name="BD / modelos-tablas"/>
    <x:tableColumn id="20" name="Stack / herramientas usadas"/>
    <x:tableColumn id="21" name="Arquitectura / flujo técnico"/>
    <x:tableColumn id="22" name="Relación con IA/ML"/>
    <x:tableColumn id="23" name="Regla Data Seed / dataset"/>
    <x:tableColumn id="24" name="Adecuación funcional"/>
    <x:tableColumn id="25" name="Eficiencia de desempeño"/>
    <x:tableColumn id="26" name="Compatibilidad"/>
    <x:tableColumn id="27" name="Usabilidad"/>
    <x:tableColumn id="28" name="Fiabilidad"/>
    <x:tableColumn id="29" name="Seguridad"/>
    <x:tableColumn id="30" name="Mantenibilidad"/>
    <x:tableColumn id="31" name="Portabilidad"/>
    <x:tableColumn id="32" name="ISO/IEC/IEEE 29119 — prueba / evidencia"/>
    <x:tableColumn id="33" name="Tipo de prueba"/>
    <x:tableColumn id="34" name="Criterio de aceptación"/>
    <x:tableColumn id="35" name="Evidencia requerida"/>
    <x:tableColumn id="36" name="ISO/IEC 27000/27001 — seguridad aplicada"/>
    <x:tableColumn id="37" name="SonarQube / SonarCloud"/>
    <x:tableColumn id="38" name="Dónde revisar / mantener"/>
    <x:tableColumn id="39" name="Fallo o causa típica"/>
    <x:tableColumn id="40" name="Ruta de corrección"/>
    <x:tableColumn id="41" name="Regresión obligatoria"/>
    <x:tableColumn id="42" name="Recuperación / rollback / backup"/>
    <x:tableColumn id="43" name="Variable de tesis"/>
    <x:tableColumn id="44" name="Dimensión"/>
    <x:tableColumn id="45" name="Indicador / relación con dashboard"/>
    <x:tableColumn id="46" name="Bizagi / Anexo 07"/>
    <x:tableColumn id="47" name="Despliegue / infraestructura"/>
    <x:tableColumn id="48" name="Puente de trazabilidad extremo a extremo"/>
    <x:tableColumn id="49" name="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590b9a0e29493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.xml" Id="Rdb9192f86a914089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8" hidden="0" customWidth="1"/>
    <x:col min="3" max="3" width="25" hidden="0" customWidth="1"/>
    <x:col min="4" max="4" width="42" hidden="0" customWidth="1"/>
    <x:col min="5" max="5" width="30" hidden="0" customWidth="1"/>
    <x:col min="6" max="6" width="17" hidden="0" customWidth="1"/>
    <x:col min="7" max="7" width="34" hidden="0" customWidth="1"/>
    <x:col min="8" max="8" width="54" hidden="0" customWidth="1"/>
    <x:col min="9" max="9" width="45" hidden="0" customWidth="1"/>
    <x:col min="10" max="10" width="34" hidden="0" customWidth="1"/>
    <x:col min="11" max="11" width="48" hidden="0" customWidth="1"/>
    <x:col min="12" max="12" width="36" hidden="0" customWidth="1"/>
    <x:col min="13" max="13" width="18" hidden="0" customWidth="1"/>
    <x:col min="14" max="14" width="20" hidden="0" customWidth="1"/>
    <x:col min="15" max="15" width="20" hidden="0" customWidth="1"/>
    <x:col min="16" max="16" width="42" hidden="0" customWidth="1"/>
    <x:col min="17" max="17" width="44" hidden="0" customWidth="1"/>
    <x:col min="18" max="18" width="44" hidden="0" customWidth="1"/>
    <x:col min="19" max="19" width="42" hidden="0" customWidth="1"/>
    <x:col min="20" max="20" width="42" hidden="0" customWidth="1"/>
    <x:col min="21" max="21" width="52" hidden="0" customWidth="1"/>
    <x:col min="22" max="22" width="28" hidden="0" customWidth="1"/>
    <x:col min="23" max="23" width="44" hidden="0" customWidth="1"/>
    <x:col min="24" max="24" width="34" hidden="0" customWidth="1"/>
    <x:col min="25" max="25" width="34" hidden="0" customWidth="1"/>
    <x:col min="26" max="26" width="32" hidden="0" customWidth="1"/>
    <x:col min="27" max="27" width="34" hidden="0" customWidth="1"/>
    <x:col min="28" max="28" width="34" hidden="0" customWidth="1"/>
    <x:col min="29" max="29" width="34" hidden="0" customWidth="1"/>
    <x:col min="30" max="30" width="34" hidden="0" customWidth="1"/>
    <x:col min="31" max="31" width="34" hidden="0" customWidth="1"/>
    <x:col min="32" max="32" width="46" hidden="0" customWidth="1"/>
    <x:col min="33" max="33" width="31" hidden="0" customWidth="1"/>
    <x:col min="34" max="34" width="48" hidden="0" customWidth="1"/>
    <x:col min="35" max="35" width="46" hidden="0" customWidth="1"/>
    <x:col min="36" max="36" width="46" hidden="0" customWidth="1"/>
    <x:col min="37" max="37" width="42" hidden="0" customWidth="1"/>
    <x:col min="38" max="38" width="54" hidden="0" customWidth="1"/>
    <x:col min="39" max="39" width="48" hidden="0" customWidth="1"/>
    <x:col min="40" max="40" width="54" hidden="0" customWidth="1"/>
    <x:col min="41" max="41" width="48" hidden="0" customWidth="1"/>
    <x:col min="42" max="42" width="48" hidden="0" customWidth="1"/>
    <x:col min="43" max="43" width="38" hidden="0" customWidth="1"/>
    <x:col min="44" max="44" width="36" hidden="0" customWidth="1"/>
    <x:col min="45" max="45" width="42" hidden="0" customWidth="1"/>
    <x:col min="46" max="46" width="28" hidden="0" customWidth="1"/>
    <x:col min="47" max="47" width="44" hidden="0" customWidth="1"/>
    <x:col min="48" max="48" width="58" hidden="0" customWidth="1"/>
    <x:col min="49" max="49" width="46" hidden="0" customWidth="1"/>
  </x:cols>
  <x:sheetData>
    <x:row r="1" ht="34" customHeight="1">
      <x:c r="A1" s="5" t="str">
        <x:v>BLENKIR — MATRIZ DE DOBLE ENTRADA DEL SOFTWARE | ISO 9001 → PROCESO → ACTIVIDAD → FUNCIÓN → ARQUITECTURA → CALIDAD → PRUEBA → SEGURIDAD → MANTENIMIENTO → TESIS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</x:row>
    <x:row r="2" ht="44" customHeight="1">
      <x:c r="A2" s="13" t="str">
        <x:v>Lectura: cada fila representa un requisito/actividad real del software. Las columnas muestran cómo se conecta con gestión de calidad, proceso, función, roles, código, BD, arquitectura, ISO/IEC 25010, pruebas ISO 29119, seguridad ISO 27001, Sonar, mantenimiento, tesis y evidencia.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  <x:c r="AG2" s="13"/>
      <x:c r="AH2" s="13"/>
      <x:c r="AI2" s="13"/>
      <x:c r="AJ2" s="13"/>
      <x:c r="AK2" s="13"/>
      <x:c r="AL2" s="13"/>
      <x:c r="AM2" s="13"/>
      <x:c r="AN2" s="13"/>
      <x:c r="AO2" s="13"/>
      <x:c r="AP2" s="13"/>
      <x:c r="AQ2" s="13"/>
      <x:c r="AR2" s="13"/>
      <x:c r="AS2" s="13"/>
      <x:c r="AT2" s="13"/>
      <x:c r="AU2" s="13"/>
      <x:c r="AV2" s="13"/>
      <x:c r="AW2" s="13"/>
    </x:row>
    <x:row r="3" ht="36" customHeight="1">
      <x:c r="A3" s="21" t="str">
        <x:v>Cobertura: 66 filas = 46 RF + 20 RNF | 20 procesos BPMN | 52 modelos Prisma | 97 rutas documentadas. Corte técnico vigente 24/09/2026: Data Seed V5 verificado en producción (275 usuarios: 250 estudiantes y 24 profesores), smoke API 67/67, Prediction=0 y métricas ML no disponibles por diseño hasta contar con dataset científico autorizado. Los 86 casos QA del Anexo 07 se conservan como evidencia histórica.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  <x:c r="U3" s="21"/>
      <x:c r="V3" s="21"/>
      <x:c r="W3" s="21"/>
      <x:c r="X3" s="21"/>
      <x:c r="Y3" s="21"/>
      <x:c r="Z3" s="21"/>
      <x:c r="AA3" s="21"/>
      <x:c r="AB3" s="21"/>
      <x:c r="AC3" s="21"/>
      <x:c r="AD3" s="21"/>
      <x:c r="AE3" s="21"/>
      <x:c r="AF3" s="21"/>
      <x:c r="AG3" s="21"/>
      <x:c r="AH3" s="21"/>
      <x:c r="AI3" s="21"/>
      <x:c r="AJ3" s="21"/>
      <x:c r="AK3" s="21"/>
      <x:c r="AL3" s="21"/>
      <x:c r="AM3" s="21"/>
      <x:c r="AN3" s="21"/>
      <x:c r="AO3" s="21"/>
      <x:c r="AP3" s="21"/>
      <x:c r="AQ3" s="21"/>
      <x:c r="AR3" s="21"/>
      <x:c r="AS3" s="21"/>
      <x:c r="AT3" s="21"/>
      <x:c r="AU3" s="21"/>
      <x:c r="AV3" s="21"/>
      <x:c r="AW3" s="21"/>
    </x:row>
    <x:row r="4" ht="32" customHeight="1">
      <x:c r="A4" s="30" t="str">
        <x:v>IDENTIFICACIÓN</x:v>
      </x:c>
      <x:c r="B4" s="30"/>
      <x:c r="C4" s="30"/>
      <x:c r="D4" s="40" t="str">
        <x:v>ISO 9001 — GESTIÓN DE CALIDAD</x:v>
      </x:c>
      <x:c r="E4" s="50" t="str">
        <x:v>PROCESO → ACTIVIDAD → FUNCIÓN</x:v>
      </x:c>
      <x:c r="F4" s="50"/>
      <x:c r="G4" s="50"/>
      <x:c r="H4" s="50"/>
      <x:c r="I4" s="60" t="str">
        <x:v>NEGOCIO / UTILIDAD</x:v>
      </x:c>
      <x:c r="J4" s="60"/>
      <x:c r="K4" s="60"/>
      <x:c r="L4" s="60"/>
      <x:c r="M4" s="70" t="str">
        <x:v>ROLES / PERMISOS</x:v>
      </x:c>
      <x:c r="N4" s="70"/>
      <x:c r="O4" s="70"/>
      <x:c r="P4" s="80" t="str">
        <x:v>ARQUITECTURA / IMPLEMENTACIÓN</x:v>
      </x:c>
      <x:c r="Q4" s="80"/>
      <x:c r="R4" s="80"/>
      <x:c r="S4" s="80"/>
      <x:c r="T4" s="80"/>
      <x:c r="U4" s="80"/>
      <x:c r="V4" s="80"/>
      <x:c r="W4" s="80"/>
      <x:c r="X4" s="90" t="str">
        <x:v>ISO/IEC 25010 — CALIDAD DEL PRODUCTO</x:v>
      </x:c>
      <x:c r="Y4" s="90"/>
      <x:c r="Z4" s="90"/>
      <x:c r="AA4" s="90"/>
      <x:c r="AB4" s="90"/>
      <x:c r="AC4" s="90"/>
      <x:c r="AD4" s="90"/>
      <x:c r="AE4" s="90"/>
      <x:c r="AF4" s="100" t="str">
        <x:v>ISO/IEC/IEEE 29119 — VERIFICACIÓN Y PRUEBAS</x:v>
      </x:c>
      <x:c r="AG4" s="100"/>
      <x:c r="AH4" s="100"/>
      <x:c r="AI4" s="100"/>
      <x:c r="AJ4" s="110" t="str">
        <x:v>SEGURIDAD / CALIDAD DE CÓDIGO</x:v>
      </x:c>
      <x:c r="AK4" s="110"/>
      <x:c r="AL4" s="120" t="str">
        <x:v>MANTENIMIENTO / CORRECCIÓN / RECUPERACIÓN</x:v>
      </x:c>
      <x:c r="AM4" s="120"/>
      <x:c r="AN4" s="120"/>
      <x:c r="AO4" s="120"/>
      <x:c r="AP4" s="120"/>
      <x:c r="AQ4" s="130" t="str">
        <x:v>TESIS / OPERACIONALIZACIÓN</x:v>
      </x:c>
      <x:c r="AR4" s="130"/>
      <x:c r="AS4" s="130"/>
      <x:c r="AT4" s="140" t="str">
        <x:v>BIZAGI / DESPLIEGUE / TRAZABILIDAD</x:v>
      </x:c>
      <x:c r="AU4" s="140"/>
      <x:c r="AV4" s="140"/>
      <x:c r="AW4" s="140"/>
    </x:row>
    <x:row r="5" ht="58" customHeight="1">
      <x:c r="A5" s="149" t="str">
        <x:v>ID</x:v>
      </x:c>
      <x:c r="B5" s="149" t="str">
        <x:v>Tipo</x:v>
      </x:c>
      <x:c r="C5" s="149" t="str">
        <x:v>Módulo / categoría</x:v>
      </x:c>
      <x:c r="D5" s="157" t="str">
        <x:v>ISO 9001 — enfoque / cláusula aplicada</x:v>
      </x:c>
      <x:c r="E5" s="165" t="str">
        <x:v>Macroproceso</x:v>
      </x:c>
      <x:c r="F5" s="165" t="str">
        <x:v>Proceso BPMN</x:v>
      </x:c>
      <x:c r="G5" s="165" t="str">
        <x:v>Actividad</x:v>
      </x:c>
      <x:c r="H5" s="165" t="str">
        <x:v>Función / requerimiento</x:v>
      </x:c>
      <x:c r="I5" s="173" t="str">
        <x:v>Utilidad para el software/proyecto</x:v>
      </x:c>
      <x:c r="J5" s="173" t="str">
        <x:v>Entrada</x:v>
      </x:c>
      <x:c r="K5" s="173" t="str">
        <x:v>Regla de negocio / control</x:v>
      </x:c>
      <x:c r="L5" s="173" t="str">
        <x:v>Salida / resultado</x:v>
      </x:c>
      <x:c r="M5" s="181" t="str">
        <x:v>Director</x:v>
      </x:c>
      <x:c r="N5" s="181" t="str">
        <x:v>Profesor</x:v>
      </x:c>
      <x:c r="O5" s="181" t="str">
        <x:v>Estudiante</x:v>
      </x:c>
      <x:c r="P5" s="189" t="str">
        <x:v>Frontend / UI / archivo</x:v>
      </x:c>
      <x:c r="Q5" s="189" t="str">
        <x:v>API / endpoint</x:v>
      </x:c>
      <x:c r="R5" s="189" t="str">
        <x:v>Backend / controlador / servicio</x:v>
      </x:c>
      <x:c r="S5" s="189" t="str">
        <x:v>BD / modelos-tablas</x:v>
      </x:c>
      <x:c r="T5" s="189" t="str">
        <x:v>Stack / herramientas usadas</x:v>
      </x:c>
      <x:c r="U5" s="189" t="str">
        <x:v>Arquitectura / flujo técnico</x:v>
      </x:c>
      <x:c r="V5" s="189" t="str">
        <x:v>Relación con IA/ML</x:v>
      </x:c>
      <x:c r="W5" s="189" t="str">
        <x:v>Regla Data Seed / dataset</x:v>
      </x:c>
      <x:c r="X5" s="197" t="str">
        <x:v>Adecuación funcional</x:v>
      </x:c>
      <x:c r="Y5" s="197" t="str">
        <x:v>Eficiencia de desempeño</x:v>
      </x:c>
      <x:c r="Z5" s="197" t="str">
        <x:v>Compatibilidad</x:v>
      </x:c>
      <x:c r="AA5" s="197" t="str">
        <x:v>Usabilidad</x:v>
      </x:c>
      <x:c r="AB5" s="197" t="str">
        <x:v>Fiabilidad</x:v>
      </x:c>
      <x:c r="AC5" s="197" t="str">
        <x:v>Seguridad</x:v>
      </x:c>
      <x:c r="AD5" s="197" t="str">
        <x:v>Mantenibilidad</x:v>
      </x:c>
      <x:c r="AE5" s="197" t="str">
        <x:v>Portabilidad</x:v>
      </x:c>
      <x:c r="AF5" s="205" t="str">
        <x:v>ISO/IEC/IEEE 29119 — prueba / evidencia</x:v>
      </x:c>
      <x:c r="AG5" s="205" t="str">
        <x:v>Tipo de prueba</x:v>
      </x:c>
      <x:c r="AH5" s="205" t="str">
        <x:v>Criterio de aceptación</x:v>
      </x:c>
      <x:c r="AI5" s="205" t="str">
        <x:v>Evidencia requerida</x:v>
      </x:c>
      <x:c r="AJ5" s="213" t="str">
        <x:v>ISO/IEC 27000/27001 — seguridad aplicada</x:v>
      </x:c>
      <x:c r="AK5" s="213" t="str">
        <x:v>SonarQube / SonarCloud</x:v>
      </x:c>
      <x:c r="AL5" s="221" t="str">
        <x:v>Dónde revisar / mantener</x:v>
      </x:c>
      <x:c r="AM5" s="221" t="str">
        <x:v>Fallo o causa típica</x:v>
      </x:c>
      <x:c r="AN5" s="221" t="str">
        <x:v>Ruta de corrección</x:v>
      </x:c>
      <x:c r="AO5" s="221" t="str">
        <x:v>Regresión obligatoria</x:v>
      </x:c>
      <x:c r="AP5" s="221" t="str">
        <x:v>Recuperación / rollback / backup</x:v>
      </x:c>
      <x:c r="AQ5" s="229" t="str">
        <x:v>Variable de tesis</x:v>
      </x:c>
      <x:c r="AR5" s="229" t="str">
        <x:v>Dimensión</x:v>
      </x:c>
      <x:c r="AS5" s="229" t="str">
        <x:v>Indicador / relación con dashboard</x:v>
      </x:c>
      <x:c r="AT5" s="237" t="str">
        <x:v>Bizagi / Anexo 07</x:v>
      </x:c>
      <x:c r="AU5" s="237" t="str">
        <x:v>Despliegue / infraestructura</x:v>
      </x:c>
      <x:c r="AV5" s="237" t="str">
        <x:v>Puente de trazabilidad extremo a extremo</x:v>
      </x:c>
      <x:c r="AW5" s="237" t="str">
        <x:v>Fuente</x:v>
      </x:c>
    </x:row>
    <x:row r="6" ht="92" customHeight="1">
      <x:c r="A6" s="310" t="str">
        <x:v>RF-001</x:v>
      </x:c>
      <x:c r="B6" s="311" t="str">
        <x:v>RF</x:v>
      </x:c>
      <x:c r="C6" s="303" t="str">
        <x:v>Autenticación y seguridad</x:v>
      </x:c>
      <x:c r="D6" s="297" t="str">
        <x:v>4.4 enfoque por procesos; 5.3 roles; 7.5 información documentada; 8.1 control operacional; 9.1 seguimiento.</x:v>
      </x:c>
      <x:c r="E6" s="297" t="str">
        <x:v>MP01 Gestión institucional y acceso</x:v>
      </x:c>
      <x:c r="F6" s="297" t="str">
        <x:v>P17</x:v>
      </x:c>
      <x:c r="G6" s="297" t="str">
        <x:v>Validar credenciales y emitir sesión</x:v>
      </x:c>
      <x:c r="H6" s="297" t="str">
        <x:v>El sistema debe permitir inicio de sesión con credenciales institucionales y emitir una sesión autenticada.</x:v>
      </x:c>
      <x:c r="I6" s="297" t="str">
        <x:v>Permite acceso seguro y segmentado al sistema; es la puerta de entrada para aplicar identidad, sesión, rol y trazabilidad.</x:v>
      </x:c>
      <x:c r="J6" s="297" t="str">
        <x:v>Credenciales, token/refresh token, identidad y rol</x:v>
      </x:c>
      <x:c r="K6" s="297" t="str">
        <x:v>Autenticación obligatoria; contraseña con hash; RBAC; sesión revocable; límite de intentos; 401/403/429 controlados.</x:v>
      </x:c>
      <x:c r="L6" s="297" t="str">
        <x:v>Sesión autenticada, autorizada, renovada o revocada</x:v>
      </x:c>
      <x:c r="M6" s="314" t="str">
        <x:v>Director: usa</x:v>
      </x:c>
      <x:c r="N6" s="314" t="str">
        <x:v>Profesor: usa</x:v>
      </x:c>
      <x:c r="O6" s="314" t="str">
        <x:v>Estudiante: usa</x:v>
      </x:c>
      <x:c r="P6" s="297" t="str">
        <x:v>frontend/src/app/(auth)/login/page.tsx; frontend/src/contexts/AuthProvider.tsx</x:v>
      </x:c>
      <x:c r="Q6" s="297" t="str">
        <x:v>/auth/login; /auth/refresh; /auth/logout; /auth/me; /auth/change-password</x:v>
      </x:c>
      <x:c r="R6" s="297" t="str">
        <x:v>backend/src/controllers/auth.controller.ts; backend/src/middleware/auth.ts; backend/src/validators/schemas.ts</x:v>
      </x:c>
      <x:c r="S6" s="297" t="str">
        <x:v>User; Role; RolePermission; Permission; Session; IntentoLogin; AuditLog</x:v>
      </x:c>
      <x:c r="T6" s="297" t="str">
        <x:v>Next.js + React + TypeScript + AuthProvider + Node/Express + bcrypt + JWT + Prisma + MySQL</x:v>
      </x:c>
      <x:c r="U6" s="297" t="str">
        <x:v>Vercel/Next.js → AuthProvider/api client → Express auth routes/controller → Prisma → MySQL</x:v>
      </x:c>
      <x:c r="V6" s="297" t="str">
        <x:v>Sin IA directa / soporte al sistema</x:v>
      </x:c>
      <x:c r="W6" s="297" t="str">
        <x:v>Cuentas demo sirven para QA funcional; credenciales reales/secretos no deben versionarse.</x:v>
      </x:c>
      <x:c r="X6" s="297" t="str">
        <x:v>D — cumple requisito, validación, regla y salida esperada</x:v>
      </x:c>
      <x:c r="Y6" s="297" t="str">
        <x:v>S — operación debe mantenerse dentro de umbrales del entorno</x:v>
      </x:c>
      <x:c r="Z6" s="297" t="str">
        <x:v>D — contrato entre UI/API/BD/ML debe ser compatible</x:v>
      </x:c>
      <x:c r="AA6" s="297" t="str">
        <x:v>D — navegación/formulario/mensaje comprensible por rol</x:v>
      </x:c>
      <x:c r="AB6" s="297" t="str">
        <x:v>D — manejo de error, persistencia y recuperación verificables</x:v>
      </x:c>
      <x:c r="AC6" s="297" t="str">
        <x:v>D — RBAC/privacidad/integridad/secretos aplican directamente</x:v>
      </x:c>
      <x:c r="AD6" s="297" t="str">
        <x:v>D — módulo/capa localizable, testeable y analizable por Sonar</x:v>
      </x:c>
      <x:c r="AE6" s="297" t="str">
        <x:v>S — depende de env, Docker y despliegue estandarizado</x:v>
      </x:c>
      <x:c r="AF6" s="297" t="str">
        <x:v>Caja negra + seguridad + integración + regresión; asociar RF → caso → evidencia dentro de la matriz de 86 casos.</x:v>
      </x:c>
      <x:c r="AG6" s="297" t="str">
        <x:v>Caja negra + seguridad + integración + regresión</x:v>
      </x:c>
      <x:c r="AH6" s="297" t="str">
        <x:v>Dado un usuario/contexto válido, cuando ejecuta la función con datos válidos, entonces completa la operación respetando permisos, validaciones y persistencia; errores deben ser controlados.</x:v>
      </x:c>
      <x:c r="AI6" s="297" t="str">
        <x:v>GitHub/código + respuesta UI/API + persistencia/log; Sonar/QA según riesgo. https://taller1-frontend.vercel.app</x:v>
      </x:c>
      <x:c r="AJ6" s="297" t="str">
        <x:v>Confidencialidad + integridad + disponibilidad: hash bcrypt, JWT, RBAC, rate limit, sesiones, auditoría, secretos por env.</x:v>
      </x:c>
      <x:c r="AK6" s="297" t="str">
        <x:v>sonar-project.properties → frontend/src + backend/src; revisar vulnerabilidades, hotspots, code smells y duplicación.</x:v>
      </x:c>
      <x:c r="AL6" s="297" t="str">
        <x:v>frontend/src/app/(auth)/login/page.tsx; frontend/src/contexts/AuthProvider.tsx | backend/src/controllers/auth.controller.ts; backend/src/middleware/auth.ts; backend/src/validators/schemas.ts | User; Role; RolePermission; Permission; Session; IntentoLogin; AuditLog</x:v>
      </x:c>
      <x:c r="AM6" s="297" t="str">
        <x:v>401/403/429 inesperado; token expirado; sesión no restaurada; rol incorrecto; CORS/env mal configurado.</x:v>
      </x:c>
      <x:c r="AN6" s="297" t="str">
        <x:v>Revisar UI/validación → AuthProvider/api → auth.controller → middleware auth/RBAC → env/JWT → Session/User en Prisma.</x:v>
      </x:c>
      <x:c r="AO6" s="297" t="str">
        <x:v>Login válido/inválido; refresh; logout; restore session; cambio de contraseña; 401/403/429; UAT de 3 roles.</x:v>
      </x:c>
      <x:c r="AP6" s="297" t="str">
        <x:v>Revocar sesiones comprometidas; restaurar configuración/env previa; rollback de deployment; preservar AuditLog.</x:v>
      </x:c>
      <x:c r="AQ6" s="297" t="str">
        <x:v>Variable intermedia — Sistema web inteligente</x:v>
      </x:c>
      <x:c r="AR6" s="297" t="str">
        <x:v>Gestión, trazabilidad y calidad operativa</x:v>
      </x:c>
      <x:c r="AS6" s="297" t="str">
        <x:v>Autenticación/seguridad, trazabilidad de acceso y control por rol</x:v>
      </x:c>
      <x:c r="AT6" s="297" t="str">
        <x:v>P17 / Anexo 07 (requisito RF-001)</x:v>
      </x:c>
      <x:c r="AU6" s="297" t="str">
        <x:v>Frontend Vercel + Backend Railway + MySQL Railway/local; variables NEXT_PUBLIC_API_URL, JWT_SECRET, CORS_ORIGIN.</x:v>
      </x:c>
      <x:c r="AV6" s="297" t="str">
        <x:v>ISO 9001 → ISO/IEC 25010 → P17 → Validar credenciales y emitir sesión → RF-001 → frontend/src/app/(auth)/login/page.tsx; frontend/src/contexts/AuthProvider.tsx → /auth/login; /auth/refresh; /auth/logout; /auth/me; /auth/change-password → User; Role; RolePermission; Permission; Session; IntentoLogin; AuditLog → prueba/evidencia</x:v>
      </x:c>
      <x:c r="AW6" s="298" t="str">
        <x:v>APUNTES · ANEXO07 · TESIS · GITHUB(dataset-definitivo-2026) · VERCEL(ref. evidencia)</x:v>
      </x:c>
    </x:row>
    <x:row r="7" ht="92" customHeight="1">
      <x:c r="A7" s="330" t="str">
        <x:v>RF-002</x:v>
      </x:c>
      <x:c r="B7" s="331" t="str">
        <x:v>RF</x:v>
      </x:c>
      <x:c r="C7" s="323" t="str">
        <x:v>Autenticación y seguridad</x:v>
      </x:c>
      <x:c r="D7" s="317" t="str">
        <x:v>4.4 enfoque por procesos; 5.3 roles; 7.5 información documentada; 8.1 control operacional; 9.1 seguimiento.</x:v>
      </x:c>
      <x:c r="E7" s="317" t="str">
        <x:v>MP01 Gestión institucional y acceso</x:v>
      </x:c>
      <x:c r="F7" s="317" t="str">
        <x:v>P17</x:v>
      </x:c>
      <x:c r="G7" s="317" t="str">
        <x:v>Renovar token</x:v>
      </x:c>
      <x:c r="H7" s="317" t="str">
        <x:v>El sistema debe renovar tokens mediante refresh controlado.</x:v>
      </x:c>
      <x:c r="I7" s="317" t="str">
        <x:v>Permite acceso seguro y segmentado al sistema; es la puerta de entrada para aplicar identidad, sesión, rol y trazabilidad.</x:v>
      </x:c>
      <x:c r="J7" s="317" t="str">
        <x:v>Credenciales, token/refresh token, identidad y rol</x:v>
      </x:c>
      <x:c r="K7" s="317" t="str">
        <x:v>Autenticación obligatoria; contraseña con hash; RBAC; sesión revocable; límite de intentos; 401/403/429 controlados.</x:v>
      </x:c>
      <x:c r="L7" s="317" t="str">
        <x:v>Sesión autenticada, autorizada, renovada o revocada</x:v>
      </x:c>
      <x:c r="M7" s="334" t="str">
        <x:v>Director: usa</x:v>
      </x:c>
      <x:c r="N7" s="334" t="str">
        <x:v>Profesor: usa</x:v>
      </x:c>
      <x:c r="O7" s="334" t="str">
        <x:v>Estudiante: usa</x:v>
      </x:c>
      <x:c r="P7" s="317" t="str">
        <x:v>frontend/src/app/(auth)/login/page.tsx; frontend/src/contexts/AuthProvider.tsx</x:v>
      </x:c>
      <x:c r="Q7" s="317" t="str">
        <x:v>/auth/login; /auth/refresh; /auth/logout; /auth/me; /auth/change-password</x:v>
      </x:c>
      <x:c r="R7" s="317" t="str">
        <x:v>backend/src/controllers/auth.controller.ts; backend/src/middleware/auth.ts; backend/src/validators/schemas.ts</x:v>
      </x:c>
      <x:c r="S7" s="317" t="str">
        <x:v>User; Role; RolePermission; Permission; Session; IntentoLogin; AuditLog</x:v>
      </x:c>
      <x:c r="T7" s="317" t="str">
        <x:v>Next.js + React + TypeScript + AuthProvider + Node/Express + bcrypt + JWT + Prisma + MySQL</x:v>
      </x:c>
      <x:c r="U7" s="317" t="str">
        <x:v>Vercel/Next.js → AuthProvider/api client → Express auth routes/controller → Prisma → MySQL</x:v>
      </x:c>
      <x:c r="V7" s="317" t="str">
        <x:v>Sin IA directa / soporte al sistema</x:v>
      </x:c>
      <x:c r="W7" s="317" t="str">
        <x:v>Cuentas demo sirven para QA funcional; credenciales reales/secretos no deben versionarse.</x:v>
      </x:c>
      <x:c r="X7" s="317" t="str">
        <x:v>D — cumple requisito, validación, regla y salida esperada</x:v>
      </x:c>
      <x:c r="Y7" s="317" t="str">
        <x:v>S — operación debe mantenerse dentro de umbrales del entorno</x:v>
      </x:c>
      <x:c r="Z7" s="317" t="str">
        <x:v>D — contrato entre UI/API/BD/ML debe ser compatible</x:v>
      </x:c>
      <x:c r="AA7" s="317" t="str">
        <x:v>D — navegación/formulario/mensaje comprensible por rol</x:v>
      </x:c>
      <x:c r="AB7" s="317" t="str">
        <x:v>D — manejo de error, persistencia y recuperación verificables</x:v>
      </x:c>
      <x:c r="AC7" s="317" t="str">
        <x:v>D — RBAC/privacidad/integridad/secretos aplican directamente</x:v>
      </x:c>
      <x:c r="AD7" s="317" t="str">
        <x:v>D — módulo/capa localizable, testeable y analizable por Sonar</x:v>
      </x:c>
      <x:c r="AE7" s="317" t="str">
        <x:v>S — depende de env, Docker y despliegue estandarizado</x:v>
      </x:c>
      <x:c r="AF7" s="317" t="str">
        <x:v>Caja negra + seguridad + integración + regresión; asociar RF → caso → evidencia dentro de la matriz de 86 casos.</x:v>
      </x:c>
      <x:c r="AG7" s="317" t="str">
        <x:v>Caja negra + seguridad + integración + regresión</x:v>
      </x:c>
      <x:c r="AH7" s="317" t="str">
        <x:v>Dado un usuario/contexto válido, cuando ejecuta la función con datos válidos, entonces completa la operación respetando permisos, validaciones y persistencia; errores deben ser controlados.</x:v>
      </x:c>
      <x:c r="AI7" s="317" t="str">
        <x:v>GitHub/código + respuesta UI/API + persistencia/log; Sonar/QA según riesgo. https://taller1-frontend.vercel.app</x:v>
      </x:c>
      <x:c r="AJ7" s="317" t="str">
        <x:v>Confidencialidad + integridad + disponibilidad: hash bcrypt, JWT, RBAC, rate limit, sesiones, auditoría, secretos por env.</x:v>
      </x:c>
      <x:c r="AK7" s="317" t="str">
        <x:v>sonar-project.properties → frontend/src + backend/src; revisar vulnerabilidades, hotspots, code smells y duplicación.</x:v>
      </x:c>
      <x:c r="AL7" s="317" t="str">
        <x:v>frontend/src/app/(auth)/login/page.tsx; frontend/src/contexts/AuthProvider.tsx | backend/src/controllers/auth.controller.ts; backend/src/middleware/auth.ts; backend/src/validators/schemas.ts | User; Role; RolePermission; Permission; Session; IntentoLogin; AuditLog</x:v>
      </x:c>
      <x:c r="AM7" s="317" t="str">
        <x:v>401/403/429 inesperado; token expirado; sesión no restaurada; rol incorrecto; CORS/env mal configurado.</x:v>
      </x:c>
      <x:c r="AN7" s="317" t="str">
        <x:v>Revisar UI/validación → AuthProvider/api → auth.controller → middleware auth/RBAC → env/JWT → Session/User en Prisma.</x:v>
      </x:c>
      <x:c r="AO7" s="317" t="str">
        <x:v>Login válido/inválido; refresh; logout; restore session; cambio de contraseña; 401/403/429; UAT de 3 roles.</x:v>
      </x:c>
      <x:c r="AP7" s="317" t="str">
        <x:v>Revocar sesiones comprometidas; restaurar configuración/env previa; rollback de deployment; preservar AuditLog.</x:v>
      </x:c>
      <x:c r="AQ7" s="317" t="str">
        <x:v>Variable intermedia — Sistema web inteligente</x:v>
      </x:c>
      <x:c r="AR7" s="317" t="str">
        <x:v>Gestión, trazabilidad y calidad operativa</x:v>
      </x:c>
      <x:c r="AS7" s="317" t="str">
        <x:v>Autenticación/seguridad, trazabilidad de acceso y control por rol</x:v>
      </x:c>
      <x:c r="AT7" s="317" t="str">
        <x:v>P17 / Anexo 07 (requisito RF-002)</x:v>
      </x:c>
      <x:c r="AU7" s="317" t="str">
        <x:v>Frontend Vercel + Backend Railway + MySQL Railway/local; variables NEXT_PUBLIC_API_URL, JWT_SECRET, CORS_ORIGIN.</x:v>
      </x:c>
      <x:c r="AV7" s="317" t="str">
        <x:v>ISO 9001 → ISO/IEC 25010 → P17 → Renovar token → RF-002 → frontend/src/app/(auth)/login/page.tsx; frontend/src/contexts/AuthProvider.tsx → /auth/login; /auth/refresh; /auth/logout; /auth/me; /auth/change-password → User; Role; RolePermission; Permission; Session; IntentoLogin; AuditLog → prueba/evidencia</x:v>
      </x:c>
      <x:c r="AW7" s="318" t="str">
        <x:v>APUNTES · ANEXO07 · TESIS · GITHUB(dataset-definitivo-2026) · VERCEL(ref. evidencia)</x:v>
      </x:c>
    </x:row>
    <x:row r="8" ht="92" customHeight="1">
      <x:c r="A8" s="330" t="str">
        <x:v>RF-003</x:v>
      </x:c>
      <x:c r="B8" s="331" t="str">
        <x:v>RF</x:v>
      </x:c>
      <x:c r="C8" s="323" t="str">
        <x:v>Autenticación y seguridad</x:v>
      </x:c>
      <x:c r="D8" s="317" t="str">
        <x:v>4.4 enfoque por procesos; 5.3 roles; 7.5 información documentada; 8.1 control operacional; 9.1 seguimiento.</x:v>
      </x:c>
      <x:c r="E8" s="317" t="str">
        <x:v>MP01 Gestión institucional y acceso</x:v>
      </x:c>
      <x:c r="F8" s="317" t="str">
        <x:v>P17</x:v>
      </x:c>
      <x:c r="G8" s="317" t="str">
        <x:v>Cerrar y revocar sesión</x:v>
      </x:c>
      <x:c r="H8" s="317" t="str">
        <x:v>El sistema debe permitir cerrar sesión y revocar la sesión correspondiente.</x:v>
      </x:c>
      <x:c r="I8" s="317" t="str">
        <x:v>Permite acceso seguro y segmentado al sistema; es la puerta de entrada para aplicar identidad, sesión, rol y trazabilidad.</x:v>
      </x:c>
      <x:c r="J8" s="317" t="str">
        <x:v>Credenciales, token/refresh token, identidad y rol</x:v>
      </x:c>
      <x:c r="K8" s="317" t="str">
        <x:v>Autenticación obligatoria; contraseña con hash; RBAC; sesión revocable; límite de intentos; 401/403/429 controlados.</x:v>
      </x:c>
      <x:c r="L8" s="317" t="str">
        <x:v>Sesión autenticada, autorizada, renovada o revocada</x:v>
      </x:c>
      <x:c r="M8" s="334" t="str">
        <x:v>Director: usa</x:v>
      </x:c>
      <x:c r="N8" s="334" t="str">
        <x:v>Profesor: usa</x:v>
      </x:c>
      <x:c r="O8" s="334" t="str">
        <x:v>Estudiante: usa</x:v>
      </x:c>
      <x:c r="P8" s="317" t="str">
        <x:v>frontend/src/app/(auth)/login/page.tsx; frontend/src/contexts/AuthProvider.tsx</x:v>
      </x:c>
      <x:c r="Q8" s="317" t="str">
        <x:v>/auth/login; /auth/refresh; /auth/logout; /auth/me; /auth/change-password</x:v>
      </x:c>
      <x:c r="R8" s="317" t="str">
        <x:v>backend/src/controllers/auth.controller.ts; backend/src/middleware/auth.ts; backend/src/validators/schemas.ts</x:v>
      </x:c>
      <x:c r="S8" s="317" t="str">
        <x:v>User; Role; RolePermission; Permission; Session; IntentoLogin; AuditLog</x:v>
      </x:c>
      <x:c r="T8" s="317" t="str">
        <x:v>Next.js + React + TypeScript + AuthProvider + Node/Express + bcrypt + JWT + Prisma + MySQL</x:v>
      </x:c>
      <x:c r="U8" s="317" t="str">
        <x:v>Vercel/Next.js → AuthProvider/api client → Express auth routes/controller → Prisma → MySQL</x:v>
      </x:c>
      <x:c r="V8" s="317" t="str">
        <x:v>Sin IA directa / soporte al sistema</x:v>
      </x:c>
      <x:c r="W8" s="317" t="str">
        <x:v>Cuentas demo sirven para QA funcional; credenciales reales/secretos no deben versionarse.</x:v>
      </x:c>
      <x:c r="X8" s="317" t="str">
        <x:v>D — cumple requisito, validación, regla y salida esperada</x:v>
      </x:c>
      <x:c r="Y8" s="317" t="str">
        <x:v>S — operación debe mantenerse dentro de umbrales del entorno</x:v>
      </x:c>
      <x:c r="Z8" s="317" t="str">
        <x:v>D — contrato entre UI/API/BD/ML debe ser compatible</x:v>
      </x:c>
      <x:c r="AA8" s="317" t="str">
        <x:v>D — navegación/formulario/mensaje comprensible por rol</x:v>
      </x:c>
      <x:c r="AB8" s="317" t="str">
        <x:v>D — manejo de error, persistencia y recuperación verificables</x:v>
      </x:c>
      <x:c r="AC8" s="317" t="str">
        <x:v>D — RBAC/privacidad/integridad/secretos aplican directamente</x:v>
      </x:c>
      <x:c r="AD8" s="317" t="str">
        <x:v>D — módulo/capa localizable, testeable y analizable por Sonar</x:v>
      </x:c>
      <x:c r="AE8" s="317" t="str">
        <x:v>S — depende de env, Docker y despliegue estandarizado</x:v>
      </x:c>
      <x:c r="AF8" s="317" t="str">
        <x:v>Caja negra + seguridad + integración + regresión; asociar RF → caso → evidencia dentro de la matriz de 86 casos.</x:v>
      </x:c>
      <x:c r="AG8" s="317" t="str">
        <x:v>Caja negra + seguridad + integración + regresión</x:v>
      </x:c>
      <x:c r="AH8" s="317" t="str">
        <x:v>Dado un usuario/contexto válido, cuando ejecuta la función con datos válidos, entonces completa la operación respetando permisos, validaciones y persistencia; errores deben ser controlados.</x:v>
      </x:c>
      <x:c r="AI8" s="317" t="str">
        <x:v>GitHub/código + respuesta UI/API + persistencia/log; Sonar/QA según riesgo. https://taller1-frontend.vercel.app</x:v>
      </x:c>
      <x:c r="AJ8" s="317" t="str">
        <x:v>Confidencialidad + integridad + disponibilidad: hash bcrypt, JWT, RBAC, rate limit, sesiones, auditoría, secretos por env.</x:v>
      </x:c>
      <x:c r="AK8" s="317" t="str">
        <x:v>sonar-project.properties → frontend/src + backend/src; revisar vulnerabilidades, hotspots, code smells y duplicación.</x:v>
      </x:c>
      <x:c r="AL8" s="317" t="str">
        <x:v>frontend/src/app/(auth)/login/page.tsx; frontend/src/contexts/AuthProvider.tsx | backend/src/controllers/auth.controller.ts; backend/src/middleware/auth.ts; backend/src/validators/schemas.ts | User; Role; RolePermission; Permission; Session; IntentoLogin; AuditLog</x:v>
      </x:c>
      <x:c r="AM8" s="317" t="str">
        <x:v>401/403/429 inesperado; token expirado; sesión no restaurada; rol incorrecto; CORS/env mal configurado.</x:v>
      </x:c>
      <x:c r="AN8" s="317" t="str">
        <x:v>Revisar UI/validación → AuthProvider/api → auth.controller → middleware auth/RBAC → env/JWT → Session/User en Prisma.</x:v>
      </x:c>
      <x:c r="AO8" s="317" t="str">
        <x:v>Login válido/inválido; refresh; logout; restore session; cambio de contraseña; 401/403/429; UAT de 3 roles.</x:v>
      </x:c>
      <x:c r="AP8" s="317" t="str">
        <x:v>Revocar sesiones comprometidas; restaurar configuración/env previa; rollback de deployment; preservar AuditLog.</x:v>
      </x:c>
      <x:c r="AQ8" s="317" t="str">
        <x:v>Variable intermedia — Sistema web inteligente</x:v>
      </x:c>
      <x:c r="AR8" s="317" t="str">
        <x:v>Gestión, trazabilidad y calidad operativa</x:v>
      </x:c>
      <x:c r="AS8" s="317" t="str">
        <x:v>Autenticación/seguridad, trazabilidad de acceso y control por rol</x:v>
      </x:c>
      <x:c r="AT8" s="317" t="str">
        <x:v>P17 / Anexo 07 (requisito RF-003)</x:v>
      </x:c>
      <x:c r="AU8" s="317" t="str">
        <x:v>Frontend Vercel + Backend Railway + MySQL Railway/local; variables NEXT_PUBLIC_API_URL, JWT_SECRET, CORS_ORIGIN.</x:v>
      </x:c>
      <x:c r="AV8" s="317" t="str">
        <x:v>ISO 9001 → ISO/IEC 25010 → P17 → Cerrar y revocar sesión → RF-003 → frontend/src/app/(auth)/login/page.tsx; frontend/src/contexts/AuthProvider.tsx → /auth/login; /auth/refresh; /auth/logout; /auth/me; /auth/change-password → User; Role; RolePermission; Permission; Session; IntentoLogin; AuditLog → prueba/evidencia</x:v>
      </x:c>
      <x:c r="AW8" s="318" t="str">
        <x:v>APUNTES · ANEXO07 · TESIS · GITHUB(dataset-definitivo-2026) · VERCEL(ref. evidencia)</x:v>
      </x:c>
    </x:row>
    <x:row r="9" ht="92" customHeight="1">
      <x:c r="A9" s="330" t="str">
        <x:v>RF-004</x:v>
      </x:c>
      <x:c r="B9" s="331" t="str">
        <x:v>RF</x:v>
      </x:c>
      <x:c r="C9" s="323" t="str">
        <x:v>Autenticación y seguridad</x:v>
      </x:c>
      <x:c r="D9" s="317" t="str">
        <x:v>4.4 enfoque por procesos; 5.3 roles; 7.5 información documentada; 8.1 control operacional; 9.1 seguimiento.</x:v>
      </x:c>
      <x:c r="E9" s="317" t="str">
        <x:v>MP01 Gestión institucional y acceso</x:v>
      </x:c>
      <x:c r="F9" s="317" t="str">
        <x:v>P17</x:v>
      </x:c>
      <x:c r="G9" s="317" t="str">
        <x:v>Autorizar por rol</x:v>
      </x:c>
      <x:c r="H9" s="317" t="str">
        <x:v>El sistema debe aplicar autorización por rol Director, Profesor y Estudiante.</x:v>
      </x:c>
      <x:c r="I9" s="317" t="str">
        <x:v>Permite acceso seguro y segmentado al sistema; es la puerta de entrada para aplicar identidad, sesión, rol y trazabilidad.</x:v>
      </x:c>
      <x:c r="J9" s="317" t="str">
        <x:v>Credenciales, token/refresh token, identidad y rol</x:v>
      </x:c>
      <x:c r="K9" s="317" t="str">
        <x:v>Autenticación obligatoria; contraseña con hash; RBAC; sesión revocable; límite de intentos; 401/403/429 controlados.</x:v>
      </x:c>
      <x:c r="L9" s="317" t="str">
        <x:v>Sesión autenticada, autorizada, renovada o revocada</x:v>
      </x:c>
      <x:c r="M9" s="334" t="str">
        <x:v>Administra permisos</x:v>
      </x:c>
      <x:c r="N9" s="334" t="str">
        <x:v>Opera según scope</x:v>
      </x:c>
      <x:c r="O9" s="334" t="str">
        <x:v>Opera solo datos propios</x:v>
      </x:c>
      <x:c r="P9" s="317" t="str">
        <x:v>frontend/src/app/(auth)/login/page.tsx; frontend/src/contexts/AuthProvider.tsx</x:v>
      </x:c>
      <x:c r="Q9" s="317" t="str">
        <x:v>/auth/login; /auth/refresh; /auth/logout; /auth/me; /auth/change-password</x:v>
      </x:c>
      <x:c r="R9" s="317" t="str">
        <x:v>backend/src/controllers/auth.controller.ts; backend/src/middleware/auth.ts; backend/src/validators/schemas.ts</x:v>
      </x:c>
      <x:c r="S9" s="317" t="str">
        <x:v>User; Role; RolePermission; Permission; Session; IntentoLogin; AuditLog</x:v>
      </x:c>
      <x:c r="T9" s="317" t="str">
        <x:v>Next.js + React + TypeScript + AuthProvider + Node/Express + bcrypt + JWT + Prisma + MySQL</x:v>
      </x:c>
      <x:c r="U9" s="317" t="str">
        <x:v>Vercel/Next.js → AuthProvider/api client → Express auth routes/controller → Prisma → MySQL</x:v>
      </x:c>
      <x:c r="V9" s="317" t="str">
        <x:v>Sin IA directa / soporte al sistema</x:v>
      </x:c>
      <x:c r="W9" s="317" t="str">
        <x:v>Cuentas demo sirven para QA funcional; credenciales reales/secretos no deben versionarse.</x:v>
      </x:c>
      <x:c r="X9" s="317" t="str">
        <x:v>D — cumple requisito, validación, regla y salida esperada</x:v>
      </x:c>
      <x:c r="Y9" s="317" t="str">
        <x:v>S — operación debe mantenerse dentro de umbrales del entorno</x:v>
      </x:c>
      <x:c r="Z9" s="317" t="str">
        <x:v>D — contrato entre UI/API/BD/ML debe ser compatible</x:v>
      </x:c>
      <x:c r="AA9" s="317" t="str">
        <x:v>D — navegación/formulario/mensaje comprensible por rol</x:v>
      </x:c>
      <x:c r="AB9" s="317" t="str">
        <x:v>D — manejo de error, persistencia y recuperación verificables</x:v>
      </x:c>
      <x:c r="AC9" s="317" t="str">
        <x:v>D — RBAC/privacidad/integridad/secretos aplican directamente</x:v>
      </x:c>
      <x:c r="AD9" s="317" t="str">
        <x:v>D — módulo/capa localizable, testeable y analizable por Sonar</x:v>
      </x:c>
      <x:c r="AE9" s="317" t="str">
        <x:v>S — depende de env, Docker y despliegue estandarizado</x:v>
      </x:c>
      <x:c r="AF9" s="317" t="str">
        <x:v>Caja negra + seguridad + integración + regresión; asociar RF → caso → evidencia dentro de la matriz de 86 casos.</x:v>
      </x:c>
      <x:c r="AG9" s="317" t="str">
        <x:v>Caja negra + seguridad + integración + regresión</x:v>
      </x:c>
      <x:c r="AH9" s="317" t="str">
        <x:v>Dado un usuario/contexto válido, cuando ejecuta la función con datos válidos, entonces completa la operación respetando permisos, validaciones y persistencia; errores deben ser controlados.</x:v>
      </x:c>
      <x:c r="AI9" s="317" t="str">
        <x:v>GitHub/código + respuesta UI/API + persistencia/log; Sonar/QA según riesgo. https://taller1-frontend.vercel.app</x:v>
      </x:c>
      <x:c r="AJ9" s="317" t="str">
        <x:v>Confidencialidad + integridad + disponibilidad: hash bcrypt, JWT, RBAC, rate limit, sesiones, auditoría, secretos por env.</x:v>
      </x:c>
      <x:c r="AK9" s="317" t="str">
        <x:v>sonar-project.properties → frontend/src + backend/src; revisar vulnerabilidades, hotspots, code smells y duplicación.</x:v>
      </x:c>
      <x:c r="AL9" s="317" t="str">
        <x:v>frontend/src/app/(auth)/login/page.tsx; frontend/src/contexts/AuthProvider.tsx | backend/src/controllers/auth.controller.ts; backend/src/middleware/auth.ts; backend/src/validators/schemas.ts | User; Role; RolePermission; Permission; Session; IntentoLogin; AuditLog</x:v>
      </x:c>
      <x:c r="AM9" s="317" t="str">
        <x:v>401/403/429 inesperado; token expirado; sesión no restaurada; rol incorrecto; CORS/env mal configurado.</x:v>
      </x:c>
      <x:c r="AN9" s="317" t="str">
        <x:v>Revisar UI/validación → AuthProvider/api → auth.controller → middleware auth/RBAC → env/JWT → Session/User en Prisma.</x:v>
      </x:c>
      <x:c r="AO9" s="317" t="str">
        <x:v>Login válido/inválido; refresh; logout; restore session; cambio de contraseña; 401/403/429; UAT de 3 roles.</x:v>
      </x:c>
      <x:c r="AP9" s="317" t="str">
        <x:v>Revocar sesiones comprometidas; restaurar configuración/env previa; rollback de deployment; preservar AuditLog.</x:v>
      </x:c>
      <x:c r="AQ9" s="317" t="str">
        <x:v>Variable intermedia — Sistema web inteligente</x:v>
      </x:c>
      <x:c r="AR9" s="317" t="str">
        <x:v>Gestión, trazabilidad y calidad operativa</x:v>
      </x:c>
      <x:c r="AS9" s="317" t="str">
        <x:v>Autenticación/seguridad, trazabilidad de acceso y control por rol</x:v>
      </x:c>
      <x:c r="AT9" s="317" t="str">
        <x:v>P17 / Anexo 07 (requisito RF-004)</x:v>
      </x:c>
      <x:c r="AU9" s="317" t="str">
        <x:v>Frontend Vercel + Backend Railway + MySQL Railway/local; variables NEXT_PUBLIC_API_URL, JWT_SECRET, CORS_ORIGIN.</x:v>
      </x:c>
      <x:c r="AV9" s="317" t="str">
        <x:v>ISO 9001 → ISO/IEC 25010 → P17 → Autorizar por rol → RF-004 → frontend/src/app/(auth)/login/page.tsx; frontend/src/contexts/AuthProvider.tsx → /auth/login; /auth/refresh; /auth/logout; /auth/me; /auth/change-password → User; Role; RolePermission; Permission; Session; IntentoLogin; AuditLog → prueba/evidencia</x:v>
      </x:c>
      <x:c r="AW9" s="318" t="str">
        <x:v>APUNTES · ANEXO07 · TESIS · GITHUB(dataset-definitivo-2026) · VERCEL(ref. evidencia)</x:v>
      </x:c>
    </x:row>
    <x:row r="10" ht="92" customHeight="1">
      <x:c r="A10" s="330" t="str">
        <x:v>RF-005</x:v>
      </x:c>
      <x:c r="B10" s="331" t="str">
        <x:v>RF</x:v>
      </x:c>
      <x:c r="C10" s="323" t="str">
        <x:v>Autenticación y seguridad</x:v>
      </x:c>
      <x:c r="D10" s="317" t="str">
        <x:v>4.4 enfoque por procesos; 5.3 roles; 7.5 información documentada; 8.1 control operacional; 9.1 seguimiento.</x:v>
      </x:c>
      <x:c r="E10" s="317" t="str">
        <x:v>MP01 Gestión institucional y acceso</x:v>
      </x:c>
      <x:c r="F10" s="317" t="str">
        <x:v>P17</x:v>
      </x:c>
      <x:c r="G10" s="317" t="str">
        <x:v>Aislar información por identidad</x:v>
      </x:c>
      <x:c r="H10" s="317" t="str">
        <x:v>El sistema debe impedir que un estudiante consulte información de otro estudiante.</x:v>
      </x:c>
      <x:c r="I10" s="317" t="str">
        <x:v>Permite acceso seguro y segmentado al sistema; es la puerta de entrada para aplicar identidad, sesión, rol y trazabilidad.</x:v>
      </x:c>
      <x:c r="J10" s="317" t="str">
        <x:v>Credenciales, token/refresh token, identidad y rol</x:v>
      </x:c>
      <x:c r="K10" s="317" t="str">
        <x:v>Autenticación obligatoria; contraseña con hash; RBAC; sesión revocable; límite de intentos; 401/403/429 controlados.</x:v>
      </x:c>
      <x:c r="L10" s="317" t="str">
        <x:v>Sesión autenticada, autorizada, renovada o revocada</x:v>
      </x:c>
      <x:c r="M10" s="334" t="str">
        <x:v>Supervisa</x:v>
      </x:c>
      <x:c r="N10" s="334" t="str">
        <x:v>No aplica directo</x:v>
      </x:c>
      <x:c r="O10" s="334" t="str">
        <x:v>Solo datos propios</x:v>
      </x:c>
      <x:c r="P10" s="317" t="str">
        <x:v>frontend/src/app/(auth)/login/page.tsx; frontend/src/contexts/AuthProvider.tsx</x:v>
      </x:c>
      <x:c r="Q10" s="317" t="str">
        <x:v>/auth/login; /auth/refresh; /auth/logout; /auth/me; /auth/change-password</x:v>
      </x:c>
      <x:c r="R10" s="317" t="str">
        <x:v>backend/src/controllers/auth.controller.ts; backend/src/middleware/auth.ts; backend/src/validators/schemas.ts</x:v>
      </x:c>
      <x:c r="S10" s="317" t="str">
        <x:v>User; Role; RolePermission; Permission; Session; IntentoLogin; AuditLog</x:v>
      </x:c>
      <x:c r="T10" s="317" t="str">
        <x:v>Next.js + React + TypeScript + AuthProvider + Node/Express + bcrypt + JWT + Prisma + MySQL</x:v>
      </x:c>
      <x:c r="U10" s="317" t="str">
        <x:v>Vercel/Next.js → AuthProvider/api client → Express auth routes/controller → Prisma → MySQL</x:v>
      </x:c>
      <x:c r="V10" s="317" t="str">
        <x:v>Sin IA directa / soporte al sistema</x:v>
      </x:c>
      <x:c r="W10" s="317" t="str">
        <x:v>Cuentas demo sirven para QA funcional; credenciales reales/secretos no deben versionarse.</x:v>
      </x:c>
      <x:c r="X10" s="317" t="str">
        <x:v>D — cumple requisito, validación, regla y salida esperada</x:v>
      </x:c>
      <x:c r="Y10" s="317" t="str">
        <x:v>S — operación debe mantenerse dentro de umbrales del entorno</x:v>
      </x:c>
      <x:c r="Z10" s="317" t="str">
        <x:v>D — contrato entre UI/API/BD/ML debe ser compatible</x:v>
      </x:c>
      <x:c r="AA10" s="317" t="str">
        <x:v>D — navegación/formulario/mensaje comprensible por rol</x:v>
      </x:c>
      <x:c r="AB10" s="317" t="str">
        <x:v>D — manejo de error, persistencia y recuperación verificables</x:v>
      </x:c>
      <x:c r="AC10" s="317" t="str">
        <x:v>D — RBAC/privacidad/integridad/secretos aplican directamente</x:v>
      </x:c>
      <x:c r="AD10" s="317" t="str">
        <x:v>D — módulo/capa localizable, testeable y analizable por Sonar</x:v>
      </x:c>
      <x:c r="AE10" s="317" t="str">
        <x:v>S — depende de env, Docker y despliegue estandarizado</x:v>
      </x:c>
      <x:c r="AF10" s="317" t="str">
        <x:v>Caja negra + seguridad + integración + regresión; asociar RF → caso → evidencia dentro de la matriz de 86 casos.</x:v>
      </x:c>
      <x:c r="AG10" s="317" t="str">
        <x:v>Caja negra + seguridad + integración + regresión</x:v>
      </x:c>
      <x:c r="AH10" s="317" t="str">
        <x:v>Dado un usuario/contexto válido, cuando ejecuta la función con datos válidos, entonces completa la operación respetando permisos, validaciones y persistencia; errores deben ser controlados.</x:v>
      </x:c>
      <x:c r="AI10" s="317" t="str">
        <x:v>GitHub/código + respuesta UI/API + persistencia/log; Sonar/QA según riesgo. https://taller1-frontend.vercel.app</x:v>
      </x:c>
      <x:c r="AJ10" s="317" t="str">
        <x:v>Confidencialidad + integridad + disponibilidad: hash bcrypt, JWT, RBAC, rate limit, sesiones, auditoría, secretos por env.</x:v>
      </x:c>
      <x:c r="AK10" s="317" t="str">
        <x:v>sonar-project.properties → frontend/src + backend/src; revisar vulnerabilidades, hotspots, code smells y duplicación.</x:v>
      </x:c>
      <x:c r="AL10" s="317" t="str">
        <x:v>frontend/src/app/(auth)/login/page.tsx; frontend/src/contexts/AuthProvider.tsx | backend/src/controllers/auth.controller.ts; backend/src/middleware/auth.ts; backend/src/validators/schemas.ts | User; Role; RolePermission; Permission; Session; IntentoLogin; AuditLog</x:v>
      </x:c>
      <x:c r="AM10" s="317" t="str">
        <x:v>401/403/429 inesperado; token expirado; sesión no restaurada; rol incorrecto; CORS/env mal configurado.</x:v>
      </x:c>
      <x:c r="AN10" s="317" t="str">
        <x:v>Revisar UI/validación → AuthProvider/api → auth.controller → middleware auth/RBAC → env/JWT → Session/User en Prisma.</x:v>
      </x:c>
      <x:c r="AO10" s="317" t="str">
        <x:v>Login válido/inválido; refresh; logout; restore session; cambio de contraseña; 401/403/429; UAT de 3 roles.</x:v>
      </x:c>
      <x:c r="AP10" s="317" t="str">
        <x:v>Revocar sesiones comprometidas; restaurar configuración/env previa; rollback de deployment; preservar AuditLog.</x:v>
      </x:c>
      <x:c r="AQ10" s="317" t="str">
        <x:v>Variable intermedia — Sistema web inteligente</x:v>
      </x:c>
      <x:c r="AR10" s="317" t="str">
        <x:v>Gestión, trazabilidad y calidad operativa</x:v>
      </x:c>
      <x:c r="AS10" s="317" t="str">
        <x:v>Autenticación/seguridad, trazabilidad de acceso y control por rol</x:v>
      </x:c>
      <x:c r="AT10" s="317" t="str">
        <x:v>P17 / Anexo 07 (requisito RF-005)</x:v>
      </x:c>
      <x:c r="AU10" s="317" t="str">
        <x:v>Frontend Vercel + Backend Railway + MySQL Railway/local; variables NEXT_PUBLIC_API_URL, JWT_SECRET, CORS_ORIGIN.</x:v>
      </x:c>
      <x:c r="AV10" s="317" t="str">
        <x:v>ISO 9001 → ISO/IEC 25010 → P17 → Aislar información por identidad → RF-005 → frontend/src/app/(auth)/login/page.tsx; frontend/src/contexts/AuthProvider.tsx → /auth/login; /auth/refresh; /auth/logout; /auth/me; /auth/change-password → User; Role; RolePermission; Permission; Session; IntentoLogin; AuditLog → prueba/evidencia</x:v>
      </x:c>
      <x:c r="AW10" s="318" t="str">
        <x:v>APUNTES · ANEXO07 · TESIS · GITHUB(dataset-definitivo-2026) · VERCEL(ref. evidencia)</x:v>
      </x:c>
    </x:row>
    <x:row r="11" ht="92" customHeight="1">
      <x:c r="A11" s="330" t="str">
        <x:v>RF-006</x:v>
      </x:c>
      <x:c r="B11" s="331" t="str">
        <x:v>RF</x:v>
      </x:c>
      <x:c r="C11" s="323" t="str">
        <x:v>Estructura académica</x:v>
      </x:c>
      <x:c r="D11" s="317" t="str">
        <x:v>4.4 procesos; 7.1 recursos; 7.5 información documentada; 8.1 planificación y control operacional.</x:v>
      </x:c>
      <x:c r="E11" s="317" t="str">
        <x:v>MP01 Gestión institucional y acceso</x:v>
      </x:c>
      <x:c r="F11" s="317" t="str">
        <x:v>P04</x:v>
      </x:c>
      <x:c r="G11" s="317" t="str">
        <x:v>Consultar estructura académica</x:v>
      </x:c>
      <x:c r="H11" s="317" t="str">
        <x:v>El Director debe consultar niveles, grados, secciones y años lectivos.</x:v>
      </x:c>
      <x:c r="I11" s="317" t="str">
        <x:v>Sostiene la estructura académica sobre la que funcionan cursos, matrículas, asignaciones, filtros y scopes.</x:v>
      </x:c>
      <x:c r="J11" s="317" t="str">
        <x:v>Año lectivo, nivel, grado, sección, curso, docente</x:v>
      </x:c>
      <x:c r="K11" s="317" t="str">
        <x:v>Referencias válidas; duplicidades controladas; alcance administrativo; consistencia grado–sección–curso–año.</x:v>
      </x:c>
      <x:c r="L11" s="317" t="str">
        <x:v>Estructura académica y oferta consistente</x:v>
      </x:c>
      <x:c r="M11" s="334" t="str">
        <x:v>Consulta/administra</x:v>
      </x:c>
      <x:c r="N11" s="334" t="str">
        <x:v>Consulta asignada</x:v>
      </x:c>
      <x:c r="O11" s="334" t="str">
        <x:v>Consulta indirecta</x:v>
      </x:c>
      <x:c r="P11" s="317" t="str">
        <x:v>AcademicStructureView; CoursesView; TeacherAssignmentsView</x:v>
      </x:c>
      <x:c r="Q11" s="317" t="str">
        <x:v>/academic/niveles; /academic/secciones; /academic/anios-lectivos; /academic/cursos-catalogo; /courses; /teacher-assignments</x:v>
      </x:c>
      <x:c r="R11" s="317" t="str">
        <x:v>academic-structure.controller.ts; courses.controller.ts; teacher-assignments.controller.ts</x:v>
      </x:c>
      <x:c r="S11" s="317" t="str">
        <x:v>Institucion; AnioLectivo; PeriodoAcademico; NivelEducativo; Grado; Seccion; AreaCurricular; CursoCatalogo; CursoGrado; Course; TeacherCourseAssignment; TutorSeccion</x:v>
      </x:c>
      <x:c r="T11" s="317" t="str">
        <x:v>Next.js/React + Express + Prisma ORM + MySQL</x:v>
      </x:c>
      <x:c r="U11" s="317" t="str">
        <x:v>Next.js vistas de estructura → Express academic/courses/assignments → Prisma → MySQL</x:v>
      </x:c>
      <x:c r="V11" s="317" t="str">
        <x:v>Sin IA directa / soporte al sistema</x:v>
      </x:c>
      <x:c r="W11" s="317" t="str">
        <x:v>La estructura demo debe coincidir con V5/QA; no mezclar datos históricos incompatibles.</x:v>
      </x:c>
      <x:c r="X11" s="317" t="str">
        <x:v>D — cumple requisito, validación, regla y salida esperada</x:v>
      </x:c>
      <x:c r="Y11" s="317" t="str">
        <x:v>S — operación debe mantenerse dentro de umbrales del entorno</x:v>
      </x:c>
      <x:c r="Z11" s="317" t="str">
        <x:v>D — contrato entre UI/API/BD/ML debe ser compatible</x:v>
      </x:c>
      <x:c r="AA11" s="317" t="str">
        <x:v>D — navegación/formulario/mensaje comprensible por rol</x:v>
      </x:c>
      <x:c r="AB11" s="317" t="str">
        <x:v>S — no debe degradar consistencia ni continuidad</x:v>
      </x:c>
      <x:c r="AC11" s="317" t="str">
        <x:v>S — control de acceso y mínimo privilegio</x:v>
      </x:c>
      <x:c r="AD11" s="317" t="str">
        <x:v>D — módulo/capa localizable, testeable y analizable por Sonar</x:v>
      </x:c>
      <x:c r="AE11" s="317" t="str">
        <x:v>S — depende de env, Docker y despliegue estandarizado</x:v>
      </x:c>
      <x:c r="AF11" s="317" t="str">
        <x:v>Funcional + integración + integridad de datos + aceptación; asociar RF → caso → evidencia dentro de la matriz de 86 casos.</x:v>
      </x:c>
      <x:c r="AG11" s="317" t="str">
        <x:v>Funcional + integración + integridad de datos + aceptación</x:v>
      </x:c>
      <x:c r="AH11" s="317" t="str">
        <x:v>Dado un usuario/contexto válido, cuando ejecuta la función con datos válidos, entonces completa la operación respetando permisos, validaciones y persistencia; errores deben ser controlados.</x:v>
      </x:c>
      <x:c r="AI11" s="317" t="str">
        <x:v>GitHub/código + respuesta UI/API + persistencia/log; Sonar/QA según riesgo. https://taller1-frontend.vercel.app</x:v>
      </x:c>
      <x:c r="AJ11" s="317" t="str">
        <x:v>Integridad y control de acceso administrativo; trazabilidad de cambios estructurales.</x:v>
      </x:c>
      <x:c r="AK11" s="317" t="str">
        <x:v>frontend/src/components/views + backend/src/controllers + backend/prisma/schema.prisma</x:v>
      </x:c>
      <x:c r="AL11" s="317" t="str">
        <x:v>AcademicStructureView; CoursesView; TeacherAssignmentsView | academic-structure.controller.ts; courses.controller.ts; teacher-assignments.controller.ts | Institucion; AnioLectivo; PeriodoAcademico; NivelEducativo; Grado; Seccion; AreaCurricular; CursoCatalogo; CursoGrado; Course; TeacherCourseAssignment; TutorSeccion</x:v>
      </x:c>
      <x:c r="AM11" s="317" t="str">
        <x:v>Catálogo inconsistente; sección duplicada; curso sin oferta; asignación huérfana; filtros/scope incorrectos.</x:v>
      </x:c>
      <x:c r="AN11" s="317" t="str">
        <x:v>Revisar AcademicStructure/Courses/Assignments → controllers → reglas de unicidad/relación Prisma → migraciones/datos.</x:v>
      </x:c>
      <x:c r="AO11" s="317" t="str">
        <x:v>CRUD/consulta de estructura; duplicidades; asignación/reasignación; scope docente; integridad referencial.</x:v>
      </x:c>
      <x:c r="AP11" s="317" t="str">
        <x:v>Revertir operación administrativa no destructiva; conservar histórico; restaurar backup/migración si hubo cambio de schema.</x:v>
      </x:c>
      <x:c r="AQ11" s="317" t="str">
        <x:v>Variable intermedia — Sistema web inteligente</x:v>
      </x:c>
      <x:c r="AR11" s="317" t="str">
        <x:v>Gestión, trazabilidad y calidad operativa</x:v>
      </x:c>
      <x:c r="AS11" s="317" t="str">
        <x:v>Consistencia de estructura, alcance por rol y soporte al seguimiento</x:v>
      </x:c>
      <x:c r="AT11" s="317" t="str">
        <x:v>P04 / Anexo 07 (requisito RF-006)</x:v>
      </x:c>
      <x:c r="AU11" s="317" t="str">
        <x:v>Vercel → Railway API → MySQL; docker-compose para MySQL local.</x:v>
      </x:c>
      <x:c r="AV11" s="317" t="str">
        <x:v>ISO 9001 → ISO/IEC 25010 → P04 → Consultar estructura académica → RF-006 → AcademicStructureView; CoursesView; TeacherAssignmentsView → /academic/niveles; /academic/secciones; /academic/anios-lectivos; /academic/cursos-catalogo; /courses; /teacher-assignments → Institucion; AnioLectivo; PeriodoAcademico; NivelEducativo; Grado; Seccion; AreaCurricular; CursoCatalogo; CursoGrado; Course; TeacherCourseAssignment; TutorSeccion → prueba/evidencia</x:v>
      </x:c>
      <x:c r="AW11" s="318" t="str">
        <x:v>APUNTES · ANEXO07 · TESIS · GITHUB(dataset-definitivo-2026) · VERCEL(ref. evidencia)</x:v>
      </x:c>
    </x:row>
    <x:row r="12" ht="92" customHeight="1">
      <x:c r="A12" s="330" t="str">
        <x:v>RF-007</x:v>
      </x:c>
      <x:c r="B12" s="331" t="str">
        <x:v>RF</x:v>
      </x:c>
      <x:c r="C12" s="323" t="str">
        <x:v>Estructura académica</x:v>
      </x:c>
      <x:c r="D12" s="317" t="str">
        <x:v>4.4 procesos; 7.1 recursos; 7.5 información documentada; 8.1 planificación y control operacional.</x:v>
      </x:c>
      <x:c r="E12" s="317" t="str">
        <x:v>MP01 Gestión institucional y acceso</x:v>
      </x:c>
      <x:c r="F12" s="317" t="str">
        <x:v>P04</x:v>
      </x:c>
      <x:c r="G12" s="317" t="str">
        <x:v>Crear sección</x:v>
      </x:c>
      <x:c r="H12" s="317" t="str">
        <x:v>El Director debe crear secciones cuando corresponda.</x:v>
      </x:c>
      <x:c r="I12" s="317" t="str">
        <x:v>Sostiene la estructura académica sobre la que funcionan cursos, matrículas, asignaciones, filtros y scopes.</x:v>
      </x:c>
      <x:c r="J12" s="317" t="str">
        <x:v>Año lectivo, nivel, grado, sección, curso, docente</x:v>
      </x:c>
      <x:c r="K12" s="317" t="str">
        <x:v>Referencias válidas; duplicidades controladas; alcance administrativo; consistencia grado–sección–curso–año.</x:v>
      </x:c>
      <x:c r="L12" s="317" t="str">
        <x:v>Estructura académica y oferta consistente</x:v>
      </x:c>
      <x:c r="M12" s="334" t="str">
        <x:v>Crea</x:v>
      </x:c>
      <x:c r="N12" s="334" t="str">
        <x:v>No</x:v>
      </x:c>
      <x:c r="O12" s="334" t="str">
        <x:v>No</x:v>
      </x:c>
      <x:c r="P12" s="317" t="str">
        <x:v>AcademicStructureView; CoursesView; TeacherAssignmentsView</x:v>
      </x:c>
      <x:c r="Q12" s="317" t="str">
        <x:v>/academic/niveles; /academic/secciones; /academic/anios-lectivos; /academic/cursos-catalogo; /courses; /teacher-assignments</x:v>
      </x:c>
      <x:c r="R12" s="317" t="str">
        <x:v>academic-structure.controller.ts; courses.controller.ts; teacher-assignments.controller.ts</x:v>
      </x:c>
      <x:c r="S12" s="317" t="str">
        <x:v>Institucion; AnioLectivo; PeriodoAcademico; NivelEducativo; Grado; Seccion; AreaCurricular; CursoCatalogo; CursoGrado; Course; TeacherCourseAssignment; TutorSeccion</x:v>
      </x:c>
      <x:c r="T12" s="317" t="str">
        <x:v>Next.js/React + Express + Prisma ORM + MySQL</x:v>
      </x:c>
      <x:c r="U12" s="317" t="str">
        <x:v>Next.js vistas de estructura → Express academic/courses/assignments → Prisma → MySQL</x:v>
      </x:c>
      <x:c r="V12" s="317" t="str">
        <x:v>Sin IA directa / soporte al sistema</x:v>
      </x:c>
      <x:c r="W12" s="317" t="str">
        <x:v>La estructura demo debe coincidir con V5/QA; no mezclar datos históricos incompatibles.</x:v>
      </x:c>
      <x:c r="X12" s="317" t="str">
        <x:v>D — cumple requisito, validación, regla y salida esperada</x:v>
      </x:c>
      <x:c r="Y12" s="317" t="str">
        <x:v>S — operación debe mantenerse dentro de umbrales del entorno</x:v>
      </x:c>
      <x:c r="Z12" s="317" t="str">
        <x:v>D — contrato entre UI/API/BD/ML debe ser compatible</x:v>
      </x:c>
      <x:c r="AA12" s="317" t="str">
        <x:v>D — navegación/formulario/mensaje comprensible por rol</x:v>
      </x:c>
      <x:c r="AB12" s="317" t="str">
        <x:v>S — no debe degradar consistencia ni continuidad</x:v>
      </x:c>
      <x:c r="AC12" s="317" t="str">
        <x:v>S — control de acceso y mínimo privilegio</x:v>
      </x:c>
      <x:c r="AD12" s="317" t="str">
        <x:v>D — módulo/capa localizable, testeable y analizable por Sonar</x:v>
      </x:c>
      <x:c r="AE12" s="317" t="str">
        <x:v>S — depende de env, Docker y despliegue estandarizado</x:v>
      </x:c>
      <x:c r="AF12" s="317" t="str">
        <x:v>Funcional + integración + integridad de datos + aceptación; asociar RF → caso → evidencia dentro de la matriz de 86 casos.</x:v>
      </x:c>
      <x:c r="AG12" s="317" t="str">
        <x:v>Funcional + integración + integridad de datos + aceptación</x:v>
      </x:c>
      <x:c r="AH12" s="317" t="str">
        <x:v>Dado un usuario/contexto válido, cuando ejecuta la función con datos válidos, entonces completa la operación respetando permisos, validaciones y persistencia; errores deben ser controlados.</x:v>
      </x:c>
      <x:c r="AI12" s="317" t="str">
        <x:v>GitHub/código + respuesta UI/API + persistencia/log; Sonar/QA según riesgo. https://taller1-frontend.vercel.app</x:v>
      </x:c>
      <x:c r="AJ12" s="317" t="str">
        <x:v>Integridad y control de acceso administrativo; trazabilidad de cambios estructurales.</x:v>
      </x:c>
      <x:c r="AK12" s="317" t="str">
        <x:v>frontend/src/components/views + backend/src/controllers + backend/prisma/schema.prisma</x:v>
      </x:c>
      <x:c r="AL12" s="317" t="str">
        <x:v>AcademicStructureView; CoursesView; TeacherAssignmentsView | academic-structure.controller.ts; courses.controller.ts; teacher-assignments.controller.ts | Institucion; AnioLectivo; PeriodoAcademico; NivelEducativo; Grado; Seccion; AreaCurricular; CursoCatalogo; CursoGrado; Course; TeacherCourseAssignment; TutorSeccion</x:v>
      </x:c>
      <x:c r="AM12" s="317" t="str">
        <x:v>Catálogo inconsistente; sección duplicada; curso sin oferta; asignación huérfana; filtros/scope incorrectos.</x:v>
      </x:c>
      <x:c r="AN12" s="317" t="str">
        <x:v>Revisar AcademicStructure/Courses/Assignments → controllers → reglas de unicidad/relación Prisma → migraciones/datos.</x:v>
      </x:c>
      <x:c r="AO12" s="317" t="str">
        <x:v>CRUD/consulta de estructura; duplicidades; asignación/reasignación; scope docente; integridad referencial.</x:v>
      </x:c>
      <x:c r="AP12" s="317" t="str">
        <x:v>Revertir operación administrativa no destructiva; conservar histórico; restaurar backup/migración si hubo cambio de schema.</x:v>
      </x:c>
      <x:c r="AQ12" s="317" t="str">
        <x:v>Variable intermedia — Sistema web inteligente</x:v>
      </x:c>
      <x:c r="AR12" s="317" t="str">
        <x:v>Gestión, trazabilidad y calidad operativa</x:v>
      </x:c>
      <x:c r="AS12" s="317" t="str">
        <x:v>Consistencia de estructura, alcance por rol y soporte al seguimiento</x:v>
      </x:c>
      <x:c r="AT12" s="317" t="str">
        <x:v>P04 / Anexo 07 (requisito RF-007)</x:v>
      </x:c>
      <x:c r="AU12" s="317" t="str">
        <x:v>Vercel → Railway API → MySQL; docker-compose para MySQL local.</x:v>
      </x:c>
      <x:c r="AV12" s="317" t="str">
        <x:v>ISO 9001 → ISO/IEC 25010 → P04 → Crear sección → RF-007 → AcademicStructureView; CoursesView; TeacherAssignmentsView → /academic/niveles; /academic/secciones; /academic/anios-lectivos; /academic/cursos-catalogo; /courses; /teacher-assignments → Institucion; AnioLectivo; PeriodoAcademico; NivelEducativo; Grado; Seccion; AreaCurricular; CursoCatalogo; CursoGrado; Course; TeacherCourseAssignment; TutorSeccion → prueba/evidencia</x:v>
      </x:c>
      <x:c r="AW12" s="318" t="str">
        <x:v>APUNTES · ANEXO07 · TESIS · GITHUB(dataset-definitivo-2026) · VERCEL(ref. evidencia)</x:v>
      </x:c>
    </x:row>
    <x:row r="13" ht="92" customHeight="1">
      <x:c r="A13" s="330" t="str">
        <x:v>RF-008</x:v>
      </x:c>
      <x:c r="B13" s="331" t="str">
        <x:v>RF</x:v>
      </x:c>
      <x:c r="C13" s="323" t="str">
        <x:v>Estructura académica</x:v>
      </x:c>
      <x:c r="D13" s="317" t="str">
        <x:v>4.4 procesos; 7.1 recursos; 7.5 información documentada; 8.1 planificación y control operacional.</x:v>
      </x:c>
      <x:c r="E13" s="317" t="str">
        <x:v>MP01 Gestión institucional y acceso</x:v>
      </x:c>
      <x:c r="F13" s="317" t="str">
        <x:v>P04</x:v>
      </x:c>
      <x:c r="G13" s="317" t="str">
        <x:v>Gestionar catálogo y oferta</x:v>
      </x:c>
      <x:c r="H13" s="317" t="str">
        <x:v>El sistema debe gestionar catálogo y oferta de cursos.</x:v>
      </x:c>
      <x:c r="I13" s="317" t="str">
        <x:v>Sostiene la estructura académica sobre la que funcionan cursos, matrículas, asignaciones, filtros y scopes.</x:v>
      </x:c>
      <x:c r="J13" s="317" t="str">
        <x:v>Año lectivo, nivel, grado, sección, curso, docente</x:v>
      </x:c>
      <x:c r="K13" s="317" t="str">
        <x:v>Referencias válidas; duplicidades controladas; alcance administrativo; consistencia grado–sección–curso–año.</x:v>
      </x:c>
      <x:c r="L13" s="317" t="str">
        <x:v>Estructura académica y oferta consistente</x:v>
      </x:c>
      <x:c r="M13" s="334" t="str">
        <x:v>Administra/reasigna</x:v>
      </x:c>
      <x:c r="N13" s="334" t="str">
        <x:v>Consulta propios</x:v>
      </x:c>
      <x:c r="O13" s="334" t="str">
        <x:v>Consulta propios</x:v>
      </x:c>
      <x:c r="P13" s="317" t="str">
        <x:v>AcademicStructureView; CoursesView; TeacherAssignmentsView</x:v>
      </x:c>
      <x:c r="Q13" s="317" t="str">
        <x:v>/academic/niveles; /academic/secciones; /academic/anios-lectivos; /academic/cursos-catalogo; /courses; /teacher-assignments</x:v>
      </x:c>
      <x:c r="R13" s="317" t="str">
        <x:v>academic-structure.controller.ts; courses.controller.ts; teacher-assignments.controller.ts</x:v>
      </x:c>
      <x:c r="S13" s="317" t="str">
        <x:v>Institucion; AnioLectivo; PeriodoAcademico; NivelEducativo; Grado; Seccion; AreaCurricular; CursoCatalogo; CursoGrado; Course; TeacherCourseAssignment; TutorSeccion</x:v>
      </x:c>
      <x:c r="T13" s="317" t="str">
        <x:v>Next.js/React + Express + Prisma ORM + MySQL</x:v>
      </x:c>
      <x:c r="U13" s="317" t="str">
        <x:v>Next.js vistas de estructura → Express academic/courses/assignments → Prisma → MySQL</x:v>
      </x:c>
      <x:c r="V13" s="317" t="str">
        <x:v>Sin IA directa / soporte al sistema</x:v>
      </x:c>
      <x:c r="W13" s="317" t="str">
        <x:v>La estructura demo debe coincidir con V5/QA; no mezclar datos históricos incompatibles.</x:v>
      </x:c>
      <x:c r="X13" s="317" t="str">
        <x:v>D — cumple requisito, validación, regla y salida esperada</x:v>
      </x:c>
      <x:c r="Y13" s="317" t="str">
        <x:v>S — operación debe mantenerse dentro de umbrales del entorno</x:v>
      </x:c>
      <x:c r="Z13" s="317" t="str">
        <x:v>D — contrato entre UI/API/BD/ML debe ser compatible</x:v>
      </x:c>
      <x:c r="AA13" s="317" t="str">
        <x:v>D — navegación/formulario/mensaje comprensible por rol</x:v>
      </x:c>
      <x:c r="AB13" s="317" t="str">
        <x:v>S — no debe degradar consistencia ni continuidad</x:v>
      </x:c>
      <x:c r="AC13" s="317" t="str">
        <x:v>S — control de acceso y mínimo privilegio</x:v>
      </x:c>
      <x:c r="AD13" s="317" t="str">
        <x:v>D — módulo/capa localizable, testeable y analizable por Sonar</x:v>
      </x:c>
      <x:c r="AE13" s="317" t="str">
        <x:v>S — depende de env, Docker y despliegue estandarizado</x:v>
      </x:c>
      <x:c r="AF13" s="317" t="str">
        <x:v>Funcional + integración + integridad de datos + aceptación; asociar RF → caso → evidencia dentro de la matriz de 86 casos.</x:v>
      </x:c>
      <x:c r="AG13" s="317" t="str">
        <x:v>Funcional + integración + integridad de datos + aceptación</x:v>
      </x:c>
      <x:c r="AH13" s="317" t="str">
        <x:v>Dado un usuario/contexto válido, cuando ejecuta la función con datos válidos, entonces completa la operación respetando permisos, validaciones y persistencia; errores deben ser controlados.</x:v>
      </x:c>
      <x:c r="AI13" s="317" t="str">
        <x:v>GitHub/código + respuesta UI/API + persistencia/log; Sonar/QA según riesgo. https://taller1-frontend.vercel.app</x:v>
      </x:c>
      <x:c r="AJ13" s="317" t="str">
        <x:v>Integridad y control de acceso administrativo; trazabilidad de cambios estructurales.</x:v>
      </x:c>
      <x:c r="AK13" s="317" t="str">
        <x:v>frontend/src/components/views + backend/src/controllers + backend/prisma/schema.prisma</x:v>
      </x:c>
      <x:c r="AL13" s="317" t="str">
        <x:v>AcademicStructureView; CoursesView; TeacherAssignmentsView | academic-structure.controller.ts; courses.controller.ts; teacher-assignments.controller.ts | Institucion; AnioLectivo; PeriodoAcademico; NivelEducativo; Grado; Seccion; AreaCurricular; CursoCatalogo; CursoGrado; Course; TeacherCourseAssignment; TutorSeccion</x:v>
      </x:c>
      <x:c r="AM13" s="317" t="str">
        <x:v>Catálogo inconsistente; sección duplicada; curso sin oferta; asignación huérfana; filtros/scope incorrectos.</x:v>
      </x:c>
      <x:c r="AN13" s="317" t="str">
        <x:v>Revisar AcademicStructure/Courses/Assignments → controllers → reglas de unicidad/relación Prisma → migraciones/datos.</x:v>
      </x:c>
      <x:c r="AO13" s="317" t="str">
        <x:v>CRUD/consulta de estructura; duplicidades; asignación/reasignación; scope docente; integridad referencial.</x:v>
      </x:c>
      <x:c r="AP13" s="317" t="str">
        <x:v>Revertir operación administrativa no destructiva; conservar histórico; restaurar backup/migración si hubo cambio de schema.</x:v>
      </x:c>
      <x:c r="AQ13" s="317" t="str">
        <x:v>Variable intermedia — Sistema web inteligente</x:v>
      </x:c>
      <x:c r="AR13" s="317" t="str">
        <x:v>Gestión, trazabilidad y calidad operativa</x:v>
      </x:c>
      <x:c r="AS13" s="317" t="str">
        <x:v>Consistencia de estructura, alcance por rol y soporte al seguimiento</x:v>
      </x:c>
      <x:c r="AT13" s="317" t="str">
        <x:v>P04 / Anexo 07 (requisito RF-008)</x:v>
      </x:c>
      <x:c r="AU13" s="317" t="str">
        <x:v>Vercel → Railway API → MySQL; docker-compose para MySQL local.</x:v>
      </x:c>
      <x:c r="AV13" s="317" t="str">
        <x:v>ISO 9001 → ISO/IEC 25010 → P04 → Gestionar catálogo y oferta → RF-008 → AcademicStructureView; CoursesView; TeacherAssignmentsView → /academic/niveles; /academic/secciones; /academic/anios-lectivos; /academic/cursos-catalogo; /courses; /teacher-assignments → Institucion; AnioLectivo; PeriodoAcademico; NivelEducativo; Grado; Seccion; AreaCurricular; CursoCatalogo; CursoGrado; Course; TeacherCourseAssignment; TutorSeccion → prueba/evidencia</x:v>
      </x:c>
      <x:c r="AW13" s="318" t="str">
        <x:v>APUNTES · ANEXO07 · TESIS · GITHUB(dataset-definitivo-2026) · VERCEL(ref. evidencia)</x:v>
      </x:c>
    </x:row>
    <x:row r="14" ht="92" customHeight="1">
      <x:c r="A14" s="330" t="str">
        <x:v>RF-009</x:v>
      </x:c>
      <x:c r="B14" s="331" t="str">
        <x:v>RF</x:v>
      </x:c>
      <x:c r="C14" s="323" t="str">
        <x:v>Estructura académica</x:v>
      </x:c>
      <x:c r="D14" s="317" t="str">
        <x:v>8.1/8.5 operación del servicio; 7.5 registros; 9.1 seguimiento y medición.</x:v>
      </x:c>
      <x:c r="E14" s="317" t="str">
        <x:v>MP01 Gestión institucional y acceso</x:v>
      </x:c>
      <x:c r="F14" s="317" t="str">
        <x:v>P01</x:v>
      </x:c>
      <x:c r="G14" s="317" t="str">
        <x:v>Registrar matrícula</x:v>
      </x:c>
      <x:c r="H14" s="317" t="str">
        <x:v>El Director debe registrar matrículas por año lectivo y sección.</x:v>
      </x:c>
      <x:c r="I14" s="317" t="str">
        <x:v>Formaliza la permanencia y la relación estudiante–año–sección–curso, habilitando todo el seguimiento posterior.</x:v>
      </x:c>
      <x:c r="J14" s="317" t="str">
        <x:v>Estudiante, año lectivo, sección, estado</x:v>
      </x:c>
      <x:c r="K14" s="317" t="str">
        <x:v>Una matrícula vigente por estudiante/año; retiro/traslado sin borrar trazabilidad; transacción consistente.</x:v>
      </x:c>
      <x:c r="L14" s="317" t="str">
        <x:v>Matrícula e inscripciones vinculadas</x:v>
      </x:c>
      <x:c r="M14" s="334" t="str">
        <x:v>Registra</x:v>
      </x:c>
      <x:c r="N14" s="334" t="str">
        <x:v>Consulta alcance</x:v>
      </x:c>
      <x:c r="O14" s="334" t="str">
        <x:v>Consulta indirecta</x:v>
      </x:c>
      <x:c r="P14" s="317" t="str">
        <x:v>EnrollmentsView</x:v>
      </x:c>
      <x:c r="Q14" s="317" t="str">
        <x:v>/matriculas; /matriculas/stats; PATCH /matriculas/:id</x:v>
      </x:c>
      <x:c r="R14" s="317" t="str">
        <x:v>matriculas.controller.ts; enrollment/registro asociado</x:v>
      </x:c>
      <x:c r="S14" s="317" t="str">
        <x:v>Matricula; Enrollment; Correlativo; Student; Seccion; AnioLectivo; Course</x:v>
      </x:c>
      <x:c r="T14" s="317" t="str">
        <x:v>Next.js/React + Express + Prisma transaccional + MySQL</x:v>
      </x:c>
      <x:c r="U14" s="317" t="str">
        <x:v>Next.js Matrículas → Express matriculas → Prisma transaccional → MySQL</x:v>
      </x:c>
      <x:c r="V14" s="317" t="str">
        <x:v>Sin IA directa / soporte al sistema</x:v>
      </x:c>
      <x:c r="W14" s="317" t="str">
        <x:v>Matrículas demo sirven al dashboard/QA; no inferir permanencia científica.</x:v>
      </x:c>
      <x:c r="X14" s="317" t="str">
        <x:v>D — cumple requisito, validación, regla y salida esperada</x:v>
      </x:c>
      <x:c r="Y14" s="317" t="str">
        <x:v>S — operación debe mantenerse dentro de umbrales del entorno</x:v>
      </x:c>
      <x:c r="Z14" s="317" t="str">
        <x:v>D — contrato entre UI/API/BD/ML debe ser compatible</x:v>
      </x:c>
      <x:c r="AA14" s="317" t="str">
        <x:v>D — navegación/formulario/mensaje comprensible por rol</x:v>
      </x:c>
      <x:c r="AB14" s="317" t="str">
        <x:v>D — manejo de error, persistencia y recuperación verificables</x:v>
      </x:c>
      <x:c r="AC14" s="317" t="str">
        <x:v>S — control de acceso y mínimo privilegio</x:v>
      </x:c>
      <x:c r="AD14" s="317" t="str">
        <x:v>D — módulo/capa localizable, testeable y analizable por Sonar</x:v>
      </x:c>
      <x:c r="AE14" s="317" t="str">
        <x:v>S — depende de env, Docker y despliegue estandarizado</x:v>
      </x:c>
      <x:c r="AF14" s="317" t="str">
        <x:v>Funcional + reglas de negocio + transaccional + regresión; asociar RF → caso → evidencia dentro de la matriz de 86 casos.</x:v>
      </x:c>
      <x:c r="AG14" s="317" t="str">
        <x:v>Funcional + reglas de negocio + transaccional + regresión</x:v>
      </x:c>
      <x:c r="AH14" s="317" t="str">
        <x:v>Dado un usuario/contexto válido, cuando ejecuta la función con datos válidos, entonces completa la operación respetando permisos, validaciones y persistencia; errores deben ser controlados.</x:v>
      </x:c>
      <x:c r="AI14" s="317" t="str">
        <x:v>GitHub/código + respuesta UI/API + persistencia/log; Sonar/QA según riesgo. https://taller1-frontend.vercel.app</x:v>
      </x:c>
      <x:c r="AJ14" s="317" t="str">
        <x:v>Integridad de registro + autorización administrativa + auditoría.</x:v>
      </x:c>
      <x:c r="AK14" s="317" t="str">
        <x:v>EnrollmentsView + matriculas.controller + schema Prisma</x:v>
      </x:c>
      <x:c r="AL14" s="317" t="str">
        <x:v>EnrollmentsView | matriculas.controller.ts; enrollment/registro asociado | Matricula; Enrollment; Correlativo; Student; Seccion; AnioLectivo; Course</x:v>
      </x:c>
      <x:c r="AM14" s="317" t="str">
        <x:v>Duplicidad 409; inscripción faltante; retiro/traslado rompe historial; stats inconsistentes.</x:v>
      </x:c>
      <x:c r="AN14" s="317" t="str">
        <x:v>Revisar EnrollmentsView → matriculas.controller → transacción/constraints Prisma → datos de año/sección/cursos.</x:v>
      </x:c>
      <x:c r="AO14" s="317" t="str">
        <x:v>Alta; duplicidad; stats; retiro; traslado; creación automática de enrollments; integridad referencial.</x:v>
      </x:c>
      <x:c r="AP14" s="317" t="str">
        <x:v>Restaurar estado anterior de matrícula; nunca borrar historial para corregir un cambio de estado.</x:v>
      </x:c>
      <x:c r="AQ14" s="317" t="str">
        <x:v>Variable dependiente — Riesgo de deserción</x:v>
      </x:c>
      <x:c r="AR14" s="317" t="str">
        <x:v>Rendimiento y trayectoria académica</x:v>
      </x:c>
      <x:c r="AS14" s="317" t="str">
        <x:v>Continuidad, progreso y estado observado</x:v>
      </x:c>
      <x:c r="AT14" s="317" t="str">
        <x:v>P01 / Anexo 07 (requisito RF-009)</x:v>
      </x:c>
      <x:c r="AU14" s="317" t="str">
        <x:v>Vercel/Railway/MySQL</x:v>
      </x:c>
      <x:c r="AV14" s="317" t="str">
        <x:v>ISO 9001 → ISO/IEC 25010 → P01 → Registrar matrícula → RF-009 → EnrollmentsView → /matriculas; /matriculas/stats; PATCH /matriculas/:id → Matricula; Enrollment; Correlativo; Student; Seccion; AnioLectivo; Course → prueba/evidencia</x:v>
      </x:c>
      <x:c r="AW14" s="318" t="str">
        <x:v>APUNTES · ANEXO07 · TESIS · GITHUB(dataset-definitivo-2026) · VERCEL(ref. evidencia)</x:v>
      </x:c>
    </x:row>
    <x:row r="15" ht="92" customHeight="1">
      <x:c r="A15" s="330" t="str">
        <x:v>RF-010</x:v>
      </x:c>
      <x:c r="B15" s="331" t="str">
        <x:v>RF</x:v>
      </x:c>
      <x:c r="C15" s="323" t="str">
        <x:v>Estructura académica</x:v>
      </x:c>
      <x:c r="D15" s="317" t="str">
        <x:v>4.4 procesos; 7.1 recursos; 7.5 información documentada; 8.1 planificación y control operacional.</x:v>
      </x:c>
      <x:c r="E15" s="317" t="str">
        <x:v>MP01 Gestión institucional y acceso</x:v>
      </x:c>
      <x:c r="F15" s="317" t="str">
        <x:v>P04</x:v>
      </x:c>
      <x:c r="G15" s="317" t="str">
        <x:v>Asignar docentes y tutores</x:v>
      </x:c>
      <x:c r="H15" s="317" t="str">
        <x:v>El Director debe gestionar asignaciones docentes y tutores.</x:v>
      </x:c>
      <x:c r="I15" s="317" t="str">
        <x:v>Sostiene la estructura académica sobre la que funcionan cursos, matrículas, asignaciones, filtros y scopes.</x:v>
      </x:c>
      <x:c r="J15" s="317" t="str">
        <x:v>Año lectivo, nivel, grado, sección, curso, docente</x:v>
      </x:c>
      <x:c r="K15" s="317" t="str">
        <x:v>Referencias válidas; duplicidades controladas; alcance administrativo; consistencia grado–sección–curso–año.</x:v>
      </x:c>
      <x:c r="L15" s="317" t="str">
        <x:v>Estructura académica y oferta consistente</x:v>
      </x:c>
      <x:c r="M15" s="334" t="str">
        <x:v>Administra</x:v>
      </x:c>
      <x:c r="N15" s="334" t="str">
        <x:v>Consulta propias</x:v>
      </x:c>
      <x:c r="O15" s="334" t="str">
        <x:v>No</x:v>
      </x:c>
      <x:c r="P15" s="317" t="str">
        <x:v>AcademicStructureView; CoursesView; TeacherAssignmentsView</x:v>
      </x:c>
      <x:c r="Q15" s="317" t="str">
        <x:v>/academic/niveles; /academic/secciones; /academic/anios-lectivos; /academic/cursos-catalogo; /courses; /teacher-assignments</x:v>
      </x:c>
      <x:c r="R15" s="317" t="str">
        <x:v>academic-structure.controller.ts; courses.controller.ts; teacher-assignments.controller.ts</x:v>
      </x:c>
      <x:c r="S15" s="317" t="str">
        <x:v>Institucion; AnioLectivo; PeriodoAcademico; NivelEducativo; Grado; Seccion; AreaCurricular; CursoCatalogo; CursoGrado; Course; TeacherCourseAssignment; TutorSeccion</x:v>
      </x:c>
      <x:c r="T15" s="317" t="str">
        <x:v>Next.js/React + Express + Prisma ORM + MySQL</x:v>
      </x:c>
      <x:c r="U15" s="317" t="str">
        <x:v>Next.js vistas de estructura → Express academic/courses/assignments → Prisma → MySQL</x:v>
      </x:c>
      <x:c r="V15" s="317" t="str">
        <x:v>Sin IA directa / soporte al sistema</x:v>
      </x:c>
      <x:c r="W15" s="317" t="str">
        <x:v>La estructura demo debe coincidir con V5/QA; no mezclar datos históricos incompatibles.</x:v>
      </x:c>
      <x:c r="X15" s="317" t="str">
        <x:v>D — cumple requisito, validación, regla y salida esperada</x:v>
      </x:c>
      <x:c r="Y15" s="317" t="str">
        <x:v>S — operación debe mantenerse dentro de umbrales del entorno</x:v>
      </x:c>
      <x:c r="Z15" s="317" t="str">
        <x:v>D — contrato entre UI/API/BD/ML debe ser compatible</x:v>
      </x:c>
      <x:c r="AA15" s="317" t="str">
        <x:v>D — navegación/formulario/mensaje comprensible por rol</x:v>
      </x:c>
      <x:c r="AB15" s="317" t="str">
        <x:v>S — no debe degradar consistencia ni continuidad</x:v>
      </x:c>
      <x:c r="AC15" s="317" t="str">
        <x:v>S — control de acceso y mínimo privilegio</x:v>
      </x:c>
      <x:c r="AD15" s="317" t="str">
        <x:v>D — módulo/capa localizable, testeable y analizable por Sonar</x:v>
      </x:c>
      <x:c r="AE15" s="317" t="str">
        <x:v>S — depende de env, Docker y despliegue estandarizado</x:v>
      </x:c>
      <x:c r="AF15" s="317" t="str">
        <x:v>Funcional + integración + integridad de datos + aceptación; asociar RF → caso → evidencia dentro de la matriz de 86 casos.</x:v>
      </x:c>
      <x:c r="AG15" s="317" t="str">
        <x:v>Funcional + integración + integridad de datos + aceptación</x:v>
      </x:c>
      <x:c r="AH15" s="317" t="str">
        <x:v>Dado un usuario/contexto válido, cuando ejecuta la función con datos válidos, entonces completa la operación respetando permisos, validaciones y persistencia; errores deben ser controlados.</x:v>
      </x:c>
      <x:c r="AI15" s="317" t="str">
        <x:v>GitHub/código + respuesta UI/API + persistencia/log; Sonar/QA según riesgo. https://taller1-frontend.vercel.app</x:v>
      </x:c>
      <x:c r="AJ15" s="317" t="str">
        <x:v>Integridad y control de acceso administrativo; trazabilidad de cambios estructurales.</x:v>
      </x:c>
      <x:c r="AK15" s="317" t="str">
        <x:v>frontend/src/components/views + backend/src/controllers + backend/prisma/schema.prisma</x:v>
      </x:c>
      <x:c r="AL15" s="317" t="str">
        <x:v>AcademicStructureView; CoursesView; TeacherAssignmentsView | academic-structure.controller.ts; courses.controller.ts; teacher-assignments.controller.ts | Institucion; AnioLectivo; PeriodoAcademico; NivelEducativo; Grado; Seccion; AreaCurricular; CursoCatalogo; CursoGrado; Course; TeacherCourseAssignment; TutorSeccion</x:v>
      </x:c>
      <x:c r="AM15" s="317" t="str">
        <x:v>Catálogo inconsistente; sección duplicada; curso sin oferta; asignación huérfana; filtros/scope incorrectos.</x:v>
      </x:c>
      <x:c r="AN15" s="317" t="str">
        <x:v>Revisar AcademicStructure/Courses/Assignments → controllers → reglas de unicidad/relación Prisma → migraciones/datos.</x:v>
      </x:c>
      <x:c r="AO15" s="317" t="str">
        <x:v>CRUD/consulta de estructura; duplicidades; asignación/reasignación; scope docente; integridad referencial.</x:v>
      </x:c>
      <x:c r="AP15" s="317" t="str">
        <x:v>Revertir operación administrativa no destructiva; conservar histórico; restaurar backup/migración si hubo cambio de schema.</x:v>
      </x:c>
      <x:c r="AQ15" s="317" t="str">
        <x:v>Variable intermedia — Sistema web inteligente</x:v>
      </x:c>
      <x:c r="AR15" s="317" t="str">
        <x:v>Gestión, trazabilidad y calidad operativa</x:v>
      </x:c>
      <x:c r="AS15" s="317" t="str">
        <x:v>Consistencia de estructura, alcance por rol y soporte al seguimiento</x:v>
      </x:c>
      <x:c r="AT15" s="317" t="str">
        <x:v>P04 / Anexo 07 (requisito RF-010)</x:v>
      </x:c>
      <x:c r="AU15" s="317" t="str">
        <x:v>Vercel → Railway API → MySQL; docker-compose para MySQL local.</x:v>
      </x:c>
      <x:c r="AV15" s="317" t="str">
        <x:v>ISO 9001 → ISO/IEC 25010 → P04 → Asignar docentes y tutores → RF-010 → AcademicStructureView; CoursesView; TeacherAssignmentsView → /academic/niveles; /academic/secciones; /academic/anios-lectivos; /academic/cursos-catalogo; /courses; /teacher-assignments → Institucion; AnioLectivo; PeriodoAcademico; NivelEducativo; Grado; Seccion; AreaCurricular; CursoCatalogo; CursoGrado; Course; TeacherCourseAssignment; TutorSeccion → prueba/evidencia</x:v>
      </x:c>
      <x:c r="AW15" s="318" t="str">
        <x:v>APUNTES · ANEXO07 · TESIS · GITHUB(dataset-definitivo-2026) · VERCEL(ref. evidencia)</x:v>
      </x:c>
    </x:row>
    <x:row r="16" ht="92" customHeight="1">
      <x:c r="A16" s="330" t="str">
        <x:v>RF-011</x:v>
      </x:c>
      <x:c r="B16" s="331" t="str">
        <x:v>RF</x:v>
      </x:c>
      <x:c r="C16" s="323" t="str">
        <x:v>Personas</x:v>
      </x:c>
      <x:c r="D16" s="317" t="str">
        <x:v>7.5 información documentada; 8.1/8.5 control del servicio; 9.1 seguimiento de registros.</x:v>
      </x:c>
      <x:c r="E16" s="317" t="str">
        <x:v>MP01 Gestión institucional y acceso</x:v>
      </x:c>
      <x:c r="F16" s="317" t="str">
        <x:v>P02</x:v>
      </x:c>
      <x:c r="G16" s="317" t="str">
        <x:v>Gestionar estudiantes</x:v>
      </x:c>
      <x:c r="H16" s="317" t="str">
        <x:v>El Director debe crear, editar, consultar y desactivar estudiantes.</x:v>
      </x:c>
      <x:c r="I16" s="317" t="str">
        <x:v>Centraliza la identidad académica del estudiante y enlaza su información con matrícula, notas, asistencia, LMS, predicción y alertas.</x:v>
      </x:c>
      <x:c r="J16" s="317" t="str">
        <x:v>Datos personales, sección, estado, cuenta</x:v>
      </x:c>
      <x:c r="K16" s="317" t="str">
        <x:v>Director administra; profesor consulta solo su scope; estudiante solo su identidad; desactivación sin pérdida histórica.</x:v>
      </x:c>
      <x:c r="L16" s="317" t="str">
        <x:v>Registro de estudiante disponible para seguimiento</x:v>
      </x:c>
      <x:c r="M16" s="334" t="str">
        <x:v>Administra</x:v>
      </x:c>
      <x:c r="N16" s="334" t="str">
        <x:v>Consulta scope</x:v>
      </x:c>
      <x:c r="O16" s="334" t="str">
        <x:v>Perfil propio</x:v>
      </x:c>
      <x:c r="P16" s="317" t="str">
        <x:v>StudentsView; ProfessorStudentsView; perfil estudiante</x:v>
      </x:c>
      <x:c r="Q16" s="317" t="str">
        <x:v>/students; /profesor/estudiantes; /estudiante/perfil</x:v>
      </x:c>
      <x:c r="R16" s="317" t="str">
        <x:v>students.controller.ts; profesor.controller.ts; estudiante.controller.ts</x:v>
      </x:c>
      <x:c r="S16" s="317" t="str">
        <x:v>Student; User; Seccion; StudentApoderado; Matricula; Enrollment</x:v>
      </x:c>
      <x:c r="T16" s="317" t="str">
        <x:v>Next.js/React + Express + Prisma + MySQL + RBAC/scope</x:v>
      </x:c>
      <x:c r="U16" s="317" t="str">
        <x:v>Next.js estudiantes/perfil → Express por rol → Prisma → MySQL</x:v>
      </x:c>
      <x:c r="V16" s="317" t="str">
        <x:v>Sin IA directa / soporte al sistema</x:v>
      </x:c>
      <x:c r="W16" s="317" t="str">
        <x:v>Seed funcional puede poblar estudiantes para QA; no equivale a población científica.</x:v>
      </x:c>
      <x:c r="X16" s="317" t="str">
        <x:v>D — cumple requisito, validación, regla y salida esperada</x:v>
      </x:c>
      <x:c r="Y16" s="317" t="str">
        <x:v>S — operación debe mantenerse dentro de umbrales del entorno</x:v>
      </x:c>
      <x:c r="Z16" s="317" t="str">
        <x:v>S — compatibilidad interna de datos/tipos</x:v>
      </x:c>
      <x:c r="AA16" s="317" t="str">
        <x:v>D — navegación/formulario/mensaje comprensible por rol</x:v>
      </x:c>
      <x:c r="AB16" s="317" t="str">
        <x:v>S — no debe degradar consistencia ni continuidad</x:v>
      </x:c>
      <x:c r="AC16" s="317" t="str">
        <x:v>S — control de acceso y mínimo privilegio</x:v>
      </x:c>
      <x:c r="AD16" s="317" t="str">
        <x:v>D — módulo/capa localizable, testeable y analizable por Sonar</x:v>
      </x:c>
      <x:c r="AE16" s="317" t="str">
        <x:v>S — depende de env, Docker y despliegue estandarizado</x:v>
      </x:c>
      <x:c r="AF16" s="317" t="str">
        <x:v>Caja negra + RBAC + validación + integración; asociar RF → caso → evidencia dentro de la matriz de 86 casos.</x:v>
      </x:c>
      <x:c r="AG16" s="317" t="str">
        <x:v>Caja negra + RBAC + validación + integración</x:v>
      </x:c>
      <x:c r="AH16" s="317" t="str">
        <x:v>Dado un usuario/contexto válido, cuando ejecuta la función con datos válidos, entonces completa la operación respetando permisos, validaciones y persistencia; errores deben ser controlados.</x:v>
      </x:c>
      <x:c r="AI16" s="317" t="str">
        <x:v>GitHub/código + respuesta UI/API + persistencia/log; Sonar/QA según riesgo. https://taller1-frontend.vercel.app</x:v>
      </x:c>
      <x:c r="AJ16" s="317" t="str">
        <x:v>Privacidad, minimización y RBAC; confidencialidad de datos personales.</x:v>
      </x:c>
      <x:c r="AK16" s="317" t="str">
        <x:v>StudentsView/ProfessorStudentsView + students/profesor/estudiante controllers</x:v>
      </x:c>
      <x:c r="AL16" s="317" t="str">
        <x:v>StudentsView; ProfessorStudentsView; perfil estudiante | students.controller.ts; profesor.controller.ts; estudiante.controller.ts | Student; User; Seccion; StudentApoderado; Matricula; Enrollment</x:v>
      </x:c>
      <x:c r="AM16" s="317" t="str">
        <x:v>Registro duplicado; perfil ajeno; sección inválida; scope docente roto; datos incompletos.</x:v>
      </x:c>
      <x:c r="AN16" s="317" t="str">
        <x:v>Revisar StudentsView/ProfessorStudentsView → students/profesor/estudiante controllers → student-scope → Student/User/Seccion.</x:v>
      </x:c>
      <x:c r="AO16" s="317" t="str">
        <x:v>CRUD Director; scope Profesor; perfil Estudiante; validaciones; duplicidad; desactivación; auditoría.</x:v>
      </x:c>
      <x:c r="AP16" s="317" t="str">
        <x:v>Reactivar registro si fue desactivado por error; no borrar historial académico; restaurar datos desde backup si corresponde.</x:v>
      </x:c>
      <x:c r="AQ16" s="317" t="str">
        <x:v>Variable dependiente — Riesgo de deserción estudiantil</x:v>
      </x:c>
      <x:c r="AR16" s="317" t="str">
        <x:v>Rendimiento y trayectoria académica</x:v>
      </x:c>
      <x:c r="AS16" s="317" t="str">
        <x:v>Identidad, continuidad y contexto del estudiante</x:v>
      </x:c>
      <x:c r="AT16" s="317" t="str">
        <x:v>P02 / Anexo 07 (requisito RF-011)</x:v>
      </x:c>
      <x:c r="AU16" s="317" t="str">
        <x:v>Vercel/Railway/MySQL</x:v>
      </x:c>
      <x:c r="AV16" s="317" t="str">
        <x:v>ISO 9001 → ISO/IEC 25010 → P02 → Gestionar estudiantes → RF-011 → StudentsView; ProfessorStudentsView; perfil estudiante → /students; /profesor/estudiantes; /estudiante/perfil → Student; User; Seccion; StudentApoderado; Matricula; Enrollment → prueba/evidencia</x:v>
      </x:c>
      <x:c r="AW16" s="318" t="str">
        <x:v>APUNTES · ANEXO07 · TESIS · GITHUB(dataset-definitivo-2026) · VERCEL(ref. evidencia)</x:v>
      </x:c>
    </x:row>
    <x:row r="17" ht="92" customHeight="1">
      <x:c r="A17" s="330" t="str">
        <x:v>RF-012</x:v>
      </x:c>
      <x:c r="B17" s="331" t="str">
        <x:v>RF</x:v>
      </x:c>
      <x:c r="C17" s="323" t="str">
        <x:v>Personas</x:v>
      </x:c>
      <x:c r="D17" s="317" t="str">
        <x:v>5.3 responsabilidades; 7.2 competencia; 7.5 información documentada; 8.1 operación.</x:v>
      </x:c>
      <x:c r="E17" s="317" t="str">
        <x:v>MP01 Gestión institucional y acceso</x:v>
      </x:c>
      <x:c r="F17" s="317" t="str">
        <x:v>P03</x:v>
      </x:c>
      <x:c r="G17" s="317" t="str">
        <x:v>Gestionar profesores</x:v>
      </x:c>
      <x:c r="H17" s="317" t="str">
        <x:v>El Director debe crear, editar, consultar y desactivar profesores.</x:v>
      </x:c>
      <x:c r="I17" s="317" t="str">
        <x:v>Administra a los responsables del registro académico, tutoría y seguimiento; vincula docente, cuenta y asignaciones.</x:v>
      </x:c>
      <x:c r="J17" s="317" t="str">
        <x:v>Datos del docente, especialidad, cuenta</x:v>
      </x:c>
      <x:c r="K17" s="317" t="str">
        <x:v>Solo Director administra; cuenta vinculada de forma única; desactivación preserva relaciones históricas.</x:v>
      </x:c>
      <x:c r="L17" s="317" t="str">
        <x:v>Docente y cuenta listos para asignación</x:v>
      </x:c>
      <x:c r="M17" s="334" t="str">
        <x:v>Administra</x:v>
      </x:c>
      <x:c r="N17" s="334" t="str">
        <x:v>Sin gestión global</x:v>
      </x:c>
      <x:c r="O17" s="334" t="str">
        <x:v>No</x:v>
      </x:c>
      <x:c r="P17" s="317" t="str">
        <x:v>TeachersView</x:v>
      </x:c>
      <x:c r="Q17" s="317" t="str">
        <x:v>/teachers; /teachers/:id/detail; /teachers/:id/account</x:v>
      </x:c>
      <x:c r="R17" s="317" t="str">
        <x:v>teachers.controller.ts; servicios de registro/cuenta; auth.controller.ts</x:v>
      </x:c>
      <x:c r="S17" s="317" t="str">
        <x:v>Teacher; User; Role; TeacherCourseAssignment; TutorSeccion</x:v>
      </x:c>
      <x:c r="T17" s="317" t="str">
        <x:v>Next.js/React + Express + Prisma + MySQL + Auth</x:v>
      </x:c>
      <x:c r="U17" s="317" t="str">
        <x:v>Next.js TeachersView → Express teachers/auth → Prisma → MySQL</x:v>
      </x:c>
      <x:c r="V17" s="317" t="str">
        <x:v>Sin IA directa / soporte al sistema</x:v>
      </x:c>
      <x:c r="W17" s="317" t="str">
        <x:v>Docentes demo son evidencia funcional, no muestra científica.</x:v>
      </x:c>
      <x:c r="X17" s="317" t="str">
        <x:v>D — cumple requisito, validación, regla y salida esperada</x:v>
      </x:c>
      <x:c r="Y17" s="317" t="str">
        <x:v>S — operación debe mantenerse dentro de umbrales del entorno</x:v>
      </x:c>
      <x:c r="Z17" s="317" t="str">
        <x:v>S — compatibilidad interna de datos/tipos</x:v>
      </x:c>
      <x:c r="AA17" s="317" t="str">
        <x:v>D — navegación/formulario/mensaje comprensible por rol</x:v>
      </x:c>
      <x:c r="AB17" s="317" t="str">
        <x:v>S — no debe degradar consistencia ni continuidad</x:v>
      </x:c>
      <x:c r="AC17" s="317" t="str">
        <x:v>S — control de acceso y mínimo privilegio</x:v>
      </x:c>
      <x:c r="AD17" s="317" t="str">
        <x:v>D — módulo/capa localizable, testeable y analizable por Sonar</x:v>
      </x:c>
      <x:c r="AE17" s="317" t="str">
        <x:v>S — depende de env, Docker y despliegue estandarizado</x:v>
      </x:c>
      <x:c r="AF17" s="317" t="str">
        <x:v>Funcional + seguridad + integración; asociar RF → caso → evidencia dentro de la matriz de 86 casos.</x:v>
      </x:c>
      <x:c r="AG17" s="317" t="str">
        <x:v>Funcional + seguridad + integración</x:v>
      </x:c>
      <x:c r="AH17" s="317" t="str">
        <x:v>Dado un usuario/contexto válido, cuando ejecuta la función con datos válidos, entonces completa la operación respetando permisos, validaciones y persistencia; errores deben ser controlados.</x:v>
      </x:c>
      <x:c r="AI17" s="317" t="str">
        <x:v>GitHub/código + respuesta UI/API + persistencia/log; Sonar/QA según riesgo. https://taller1-frontend.vercel.app</x:v>
      </x:c>
      <x:c r="AJ17" s="317" t="str">
        <x:v>Gestión de identidades y privilegios; hash de contraseña; mínimo privilegio.</x:v>
      </x:c>
      <x:c r="AK17" s="317" t="str">
        <x:v>TeachersView + teachers.controller + auth.controller</x:v>
      </x:c>
      <x:c r="AL17" s="317" t="str">
        <x:v>TeachersView | teachers.controller.ts; servicios de registro/cuenta; auth.controller.ts | Teacher; User; Role; TeacherCourseAssignment; TutorSeccion</x:v>
      </x:c>
      <x:c r="AM17" s="317" t="str">
        <x:v>Cuenta duplicada; docente sin usuario; asignación inconsistente; password expuesto; estado no sincronizado.</x:v>
      </x:c>
      <x:c r="AN17" s="317" t="str">
        <x:v>Revisar TeachersView → teachers.controller/servicio de registro → User/Teacher → auth si afecta credenciales.</x:v>
      </x:c>
      <x:c r="AO17" s="317" t="str">
        <x:v>CRUD docente; creación de cuenta; unicidad; permisos; desactivación; login docente posterior.</x:v>
      </x:c>
      <x:c r="AP17" s="317" t="str">
        <x:v>Desactivar/reactivar sin borrar; revocar sesión si la cuenta fue comprometida.</x:v>
      </x:c>
      <x:c r="AQ17" s="317" t="str">
        <x:v>Variable intermedia — Sistema web inteligente</x:v>
      </x:c>
      <x:c r="AR17" s="317" t="str">
        <x:v>Gestión, trazabilidad y calidad operativa</x:v>
      </x:c>
      <x:c r="AS17" s="317" t="str">
        <x:v>Gestión de responsables y acceso docente</x:v>
      </x:c>
      <x:c r="AT17" s="317" t="str">
        <x:v>P03 / Anexo 07 (requisito RF-012)</x:v>
      </x:c>
      <x:c r="AU17" s="317" t="str">
        <x:v>Vercel/Railway/MySQL</x:v>
      </x:c>
      <x:c r="AV17" s="317" t="str">
        <x:v>ISO 9001 → ISO/IEC 25010 → P03 → Gestionar profesores → RF-012 → TeachersView → /teachers; /teachers/:id/detail; /teachers/:id/account → Teacher; User; Role; TeacherCourseAssignment; TutorSeccion → prueba/evidencia</x:v>
      </x:c>
      <x:c r="AW17" s="318" t="str">
        <x:v>APUNTES · ANEXO07 · TESIS · GITHUB(dataset-definitivo-2026) · VERCEL(ref. evidencia)</x:v>
      </x:c>
    </x:row>
    <x:row r="18" ht="92" customHeight="1">
      <x:c r="A18" s="330" t="str">
        <x:v>RF-013</x:v>
      </x:c>
      <x:c r="B18" s="331" t="str">
        <x:v>RF</x:v>
      </x:c>
      <x:c r="C18" s="323" t="str">
        <x:v>Personas</x:v>
      </x:c>
      <x:c r="D18" s="317" t="str">
        <x:v>5.3 responsabilidades; 7.2 competencia; 7.5 información documentada; 8.1 operación.</x:v>
      </x:c>
      <x:c r="E18" s="317" t="str">
        <x:v>MP01 Gestión institucional y acceso</x:v>
      </x:c>
      <x:c r="F18" s="317" t="str">
        <x:v>P03</x:v>
      </x:c>
      <x:c r="G18" s="317" t="str">
        <x:v>Crear cuenta docente</x:v>
      </x:c>
      <x:c r="H18" s="317" t="str">
        <x:v>El Director debe crear cuenta de acceso asociada a profesor.</x:v>
      </x:c>
      <x:c r="I18" s="317" t="str">
        <x:v>Administra a los responsables del registro académico, tutoría y seguimiento; vincula docente, cuenta y asignaciones.</x:v>
      </x:c>
      <x:c r="J18" s="317" t="str">
        <x:v>Datos del docente, especialidad, cuenta</x:v>
      </x:c>
      <x:c r="K18" s="317" t="str">
        <x:v>Solo Director administra; cuenta vinculada de forma única; desactivación preserva relaciones históricas.</x:v>
      </x:c>
      <x:c r="L18" s="317" t="str">
        <x:v>Docente y cuenta listos para asignación</x:v>
      </x:c>
      <x:c r="M18" s="334" t="str">
        <x:v>Crea cuenta</x:v>
      </x:c>
      <x:c r="N18" s="334" t="str">
        <x:v>Usa cuenta</x:v>
      </x:c>
      <x:c r="O18" s="334" t="str">
        <x:v>No</x:v>
      </x:c>
      <x:c r="P18" s="317" t="str">
        <x:v>TeachersView</x:v>
      </x:c>
      <x:c r="Q18" s="317" t="str">
        <x:v>/teachers; /teachers/:id/detail; /teachers/:id/account</x:v>
      </x:c>
      <x:c r="R18" s="317" t="str">
        <x:v>teachers.controller.ts; servicios de registro/cuenta; auth.controller.ts</x:v>
      </x:c>
      <x:c r="S18" s="317" t="str">
        <x:v>Teacher; User; Role; TeacherCourseAssignment; TutorSeccion</x:v>
      </x:c>
      <x:c r="T18" s="317" t="str">
        <x:v>Next.js/React + Express + Prisma + MySQL + Auth</x:v>
      </x:c>
      <x:c r="U18" s="317" t="str">
        <x:v>Next.js TeachersView → Express teachers/auth → Prisma → MySQL</x:v>
      </x:c>
      <x:c r="V18" s="317" t="str">
        <x:v>Sin IA directa / soporte al sistema</x:v>
      </x:c>
      <x:c r="W18" s="317" t="str">
        <x:v>Docentes demo son evidencia funcional, no muestra científica.</x:v>
      </x:c>
      <x:c r="X18" s="317" t="str">
        <x:v>D — cumple requisito, validación, regla y salida esperada</x:v>
      </x:c>
      <x:c r="Y18" s="317" t="str">
        <x:v>S — operación debe mantenerse dentro de umbrales del entorno</x:v>
      </x:c>
      <x:c r="Z18" s="317" t="str">
        <x:v>S — compatibilidad interna de datos/tipos</x:v>
      </x:c>
      <x:c r="AA18" s="317" t="str">
        <x:v>D — navegación/formulario/mensaje comprensible por rol</x:v>
      </x:c>
      <x:c r="AB18" s="317" t="str">
        <x:v>S — no debe degradar consistencia ni continuidad</x:v>
      </x:c>
      <x:c r="AC18" s="317" t="str">
        <x:v>S — control de acceso y mínimo privilegio</x:v>
      </x:c>
      <x:c r="AD18" s="317" t="str">
        <x:v>D — módulo/capa localizable, testeable y analizable por Sonar</x:v>
      </x:c>
      <x:c r="AE18" s="317" t="str">
        <x:v>S — depende de env, Docker y despliegue estandarizado</x:v>
      </x:c>
      <x:c r="AF18" s="317" t="str">
        <x:v>Funcional + seguridad + integración; asociar RF → caso → evidencia dentro de la matriz de 86 casos.</x:v>
      </x:c>
      <x:c r="AG18" s="317" t="str">
        <x:v>Funcional + seguridad + integración</x:v>
      </x:c>
      <x:c r="AH18" s="317" t="str">
        <x:v>Dado un usuario/contexto válido, cuando ejecuta la función con datos válidos, entonces completa la operación respetando permisos, validaciones y persistencia; errores deben ser controlados.</x:v>
      </x:c>
      <x:c r="AI18" s="317" t="str">
        <x:v>GitHub/código + respuesta UI/API + persistencia/log; Sonar/QA según riesgo. https://taller1-frontend.vercel.app</x:v>
      </x:c>
      <x:c r="AJ18" s="317" t="str">
        <x:v>Gestión de identidades y privilegios; hash de contraseña; mínimo privilegio.</x:v>
      </x:c>
      <x:c r="AK18" s="317" t="str">
        <x:v>TeachersView + teachers.controller + auth.controller</x:v>
      </x:c>
      <x:c r="AL18" s="317" t="str">
        <x:v>TeachersView | teachers.controller.ts; servicios de registro/cuenta; auth.controller.ts | Teacher; User; Role; TeacherCourseAssignment; TutorSeccion</x:v>
      </x:c>
      <x:c r="AM18" s="317" t="str">
        <x:v>Cuenta duplicada; docente sin usuario; asignación inconsistente; password expuesto; estado no sincronizado.</x:v>
      </x:c>
      <x:c r="AN18" s="317" t="str">
        <x:v>Revisar TeachersView → teachers.controller/servicio de registro → User/Teacher → auth si afecta credenciales.</x:v>
      </x:c>
      <x:c r="AO18" s="317" t="str">
        <x:v>CRUD docente; creación de cuenta; unicidad; permisos; desactivación; login docente posterior.</x:v>
      </x:c>
      <x:c r="AP18" s="317" t="str">
        <x:v>Desactivar/reactivar sin borrar; revocar sesión si la cuenta fue comprometida.</x:v>
      </x:c>
      <x:c r="AQ18" s="317" t="str">
        <x:v>Variable intermedia — Sistema web inteligente</x:v>
      </x:c>
      <x:c r="AR18" s="317" t="str">
        <x:v>Gestión, trazabilidad y calidad operativa</x:v>
      </x:c>
      <x:c r="AS18" s="317" t="str">
        <x:v>Gestión de responsables y acceso docente</x:v>
      </x:c>
      <x:c r="AT18" s="317" t="str">
        <x:v>P03 / Anexo 07 (requisito RF-013)</x:v>
      </x:c>
      <x:c r="AU18" s="317" t="str">
        <x:v>Vercel/Railway/MySQL</x:v>
      </x:c>
      <x:c r="AV18" s="317" t="str">
        <x:v>ISO 9001 → ISO/IEC 25010 → P03 → Crear cuenta docente → RF-013 → TeachersView → /teachers; /teachers/:id/detail; /teachers/:id/account → Teacher; User; Role; TeacherCourseAssignment; TutorSeccion → prueba/evidencia</x:v>
      </x:c>
      <x:c r="AW18" s="318" t="str">
        <x:v>APUNTES · ANEXO07 · TESIS · GITHUB(dataset-definitivo-2026) · VERCEL(ref. evidencia)</x:v>
      </x:c>
    </x:row>
    <x:row r="19" ht="92" customHeight="1">
      <x:c r="A19" s="330" t="str">
        <x:v>RF-014</x:v>
      </x:c>
      <x:c r="B19" s="331" t="str">
        <x:v>RF</x:v>
      </x:c>
      <x:c r="C19" s="323" t="str">
        <x:v>Personas</x:v>
      </x:c>
      <x:c r="D19" s="317" t="str">
        <x:v>4.4 enfoque por procesos; 5.3 roles; 7.5 información documentada; 8.1 control operacional; 9.1 seguimiento.</x:v>
      </x:c>
      <x:c r="E19" s="317" t="str">
        <x:v>MP01 Gestión institucional y acceso</x:v>
      </x:c>
      <x:c r="F19" s="317" t="str">
        <x:v>P17</x:v>
      </x:c>
      <x:c r="G19" s="317" t="str">
        <x:v>Conservar relación identidad–rol</x:v>
      </x:c>
      <x:c r="H19" s="317" t="str">
        <x:v>El sistema debe conservar relaciones entre usuario, estudiante/profesor y rol.</x:v>
      </x:c>
      <x:c r="I19" s="317" t="str">
        <x:v>Permite acceso seguro y segmentado al sistema; es la puerta de entrada para aplicar identidad, sesión, rol y trazabilidad.</x:v>
      </x:c>
      <x:c r="J19" s="317" t="str">
        <x:v>Credenciales, token/refresh token, identidad y rol</x:v>
      </x:c>
      <x:c r="K19" s="317" t="str">
        <x:v>Autenticación obligatoria; contraseña con hash; RBAC; sesión revocable; límite de intentos; 401/403/429 controlados.</x:v>
      </x:c>
      <x:c r="L19" s="317" t="str">
        <x:v>Sesión autenticada, autorizada, renovada o revocada</x:v>
      </x:c>
      <x:c r="M19" s="334" t="str">
        <x:v>Administra</x:v>
      </x:c>
      <x:c r="N19" s="334" t="str">
        <x:v>Identidad docente</x:v>
      </x:c>
      <x:c r="O19" s="334" t="str">
        <x:v>Identidad estudiante</x:v>
      </x:c>
      <x:c r="P19" s="317" t="str">
        <x:v>frontend/src/app/(auth)/login/page.tsx; frontend/src/contexts/AuthProvider.tsx</x:v>
      </x:c>
      <x:c r="Q19" s="317" t="str">
        <x:v>/auth/login; /auth/refresh; /auth/logout; /auth/me; /auth/change-password</x:v>
      </x:c>
      <x:c r="R19" s="317" t="str">
        <x:v>backend/src/controllers/auth.controller.ts; backend/src/middleware/auth.ts; backend/src/validators/schemas.ts</x:v>
      </x:c>
      <x:c r="S19" s="317" t="str">
        <x:v>User; Role; RolePermission; Permission; Session; IntentoLogin; AuditLog</x:v>
      </x:c>
      <x:c r="T19" s="317" t="str">
        <x:v>Next.js + React + TypeScript + AuthProvider + Node/Express + bcrypt + JWT + Prisma + MySQL</x:v>
      </x:c>
      <x:c r="U19" s="317" t="str">
        <x:v>Vercel/Next.js → AuthProvider/api client → Express auth routes/controller → Prisma → MySQL</x:v>
      </x:c>
      <x:c r="V19" s="317" t="str">
        <x:v>Sin IA directa / soporte al sistema</x:v>
      </x:c>
      <x:c r="W19" s="317" t="str">
        <x:v>Cuentas demo sirven para QA funcional; credenciales reales/secretos no deben versionarse.</x:v>
      </x:c>
      <x:c r="X19" s="317" t="str">
        <x:v>D — cumple requisito, validación, regla y salida esperada</x:v>
      </x:c>
      <x:c r="Y19" s="317" t="str">
        <x:v>S — operación debe mantenerse dentro de umbrales del entorno</x:v>
      </x:c>
      <x:c r="Z19" s="317" t="str">
        <x:v>D — contrato entre UI/API/BD/ML debe ser compatible</x:v>
      </x:c>
      <x:c r="AA19" s="317" t="str">
        <x:v>D — navegación/formulario/mensaje comprensible por rol</x:v>
      </x:c>
      <x:c r="AB19" s="317" t="str">
        <x:v>D — manejo de error, persistencia y recuperación verificables</x:v>
      </x:c>
      <x:c r="AC19" s="317" t="str">
        <x:v>D — RBAC/privacidad/integridad/secretos aplican directamente</x:v>
      </x:c>
      <x:c r="AD19" s="317" t="str">
        <x:v>D — módulo/capa localizable, testeable y analizable por Sonar</x:v>
      </x:c>
      <x:c r="AE19" s="317" t="str">
        <x:v>S — depende de env, Docker y despliegue estandarizado</x:v>
      </x:c>
      <x:c r="AF19" s="317" t="str">
        <x:v>Caja negra + seguridad + integración + regresión; asociar RF → caso → evidencia dentro de la matriz de 86 casos.</x:v>
      </x:c>
      <x:c r="AG19" s="317" t="str">
        <x:v>Caja negra + seguridad + integración + regresión</x:v>
      </x:c>
      <x:c r="AH19" s="317" t="str">
        <x:v>Dado un usuario/contexto válido, cuando ejecuta la función con datos válidos, entonces completa la operación respetando permisos, validaciones y persistencia; errores deben ser controlados.</x:v>
      </x:c>
      <x:c r="AI19" s="317" t="str">
        <x:v>GitHub/código + respuesta UI/API + persistencia/log; Sonar/QA según riesgo. https://taller1-frontend.vercel.app</x:v>
      </x:c>
      <x:c r="AJ19" s="317" t="str">
        <x:v>Confidencialidad + integridad + disponibilidad: hash bcrypt, JWT, RBAC, rate limit, sesiones, auditoría, secretos por env.</x:v>
      </x:c>
      <x:c r="AK19" s="317" t="str">
        <x:v>sonar-project.properties → frontend/src + backend/src; revisar vulnerabilidades, hotspots, code smells y duplicación.</x:v>
      </x:c>
      <x:c r="AL19" s="317" t="str">
        <x:v>frontend/src/app/(auth)/login/page.tsx; frontend/src/contexts/AuthProvider.tsx | backend/src/controllers/auth.controller.ts; backend/src/middleware/auth.ts; backend/src/validators/schemas.ts | User; Role; RolePermission; Permission; Session; IntentoLogin; AuditLog</x:v>
      </x:c>
      <x:c r="AM19" s="317" t="str">
        <x:v>401/403/429 inesperado; token expirado; sesión no restaurada; rol incorrecto; CORS/env mal configurado.</x:v>
      </x:c>
      <x:c r="AN19" s="317" t="str">
        <x:v>Revisar UI/validación → AuthProvider/api → auth.controller → middleware auth/RBAC → env/JWT → Session/User en Prisma.</x:v>
      </x:c>
      <x:c r="AO19" s="317" t="str">
        <x:v>Login válido/inválido; refresh; logout; restore session; cambio de contraseña; 401/403/429; UAT de 3 roles.</x:v>
      </x:c>
      <x:c r="AP19" s="317" t="str">
        <x:v>Revocar sesiones comprometidas; restaurar configuración/env previa; rollback de deployment; preservar AuditLog.</x:v>
      </x:c>
      <x:c r="AQ19" s="317" t="str">
        <x:v>Variable intermedia — Sistema web inteligente</x:v>
      </x:c>
      <x:c r="AR19" s="317" t="str">
        <x:v>Gestión, trazabilidad y calidad operativa</x:v>
      </x:c>
      <x:c r="AS19" s="317" t="str">
        <x:v>Autenticación/seguridad, trazabilidad de acceso y control por rol</x:v>
      </x:c>
      <x:c r="AT19" s="317" t="str">
        <x:v>P17 / Anexo 07 (requisito RF-014)</x:v>
      </x:c>
      <x:c r="AU19" s="317" t="str">
        <x:v>Frontend Vercel + Backend Railway + MySQL Railway/local; variables NEXT_PUBLIC_API_URL, JWT_SECRET, CORS_ORIGIN.</x:v>
      </x:c>
      <x:c r="AV19" s="317" t="str">
        <x:v>ISO 9001 → ISO/IEC 25010 → P17 → Conservar relación identidad–rol → RF-014 → frontend/src/app/(auth)/login/page.tsx; frontend/src/contexts/AuthProvider.tsx → /auth/login; /auth/refresh; /auth/logout; /auth/me; /auth/change-password → User; Role; RolePermission; Permission; Session; IntentoLogin; AuditLog → prueba/evidencia</x:v>
      </x:c>
      <x:c r="AW19" s="318" t="str">
        <x:v>APUNTES · ANEXO07 · TESIS · GITHUB(dataset-definitivo-2026) · VERCEL(ref. evidencia)</x:v>
      </x:c>
    </x:row>
    <x:row r="20" ht="92" customHeight="1">
      <x:c r="A20" s="330" t="str">
        <x:v>RF-015</x:v>
      </x:c>
      <x:c r="B20" s="331" t="str">
        <x:v>RF</x:v>
      </x:c>
      <x:c r="C20" s="323" t="str">
        <x:v>Gestión académica</x:v>
      </x:c>
      <x:c r="D20" s="317" t="str">
        <x:v>8.5 control de prestación; 9.1 seguimiento/medición; 7.5 registro de resultados.</x:v>
      </x:c>
      <x:c r="E20" s="317" t="str">
        <x:v>MP02 Gestión académica</x:v>
      </x:c>
      <x:c r="F20" s="317" t="str">
        <x:v>P05</x:v>
      </x:c>
      <x:c r="G20" s="317" t="str">
        <x:v>Registrar notas</x:v>
      </x:c>
      <x:c r="H20" s="317" t="str">
        <x:v>El Profesor debe registrar notas de estudiantes dentro de su alcance.</x:v>
      </x:c>
      <x:c r="I20" s="317" t="str">
        <x:v>Representa el rendimiento académico y aporta señales para seguimiento, dashboard e identificación de riesgo.</x:v>
      </x:c>
      <x:c r="J20" s="317" t="str">
        <x:v>Estudiante, curso, periodo, nota</x:v>
      </x:c>
      <x:c r="K20" s="317" t="str">
        <x:v>Nota 0–20; 0 es válido; profesor solo su scope; estudiante solo sus notas; periodo/inscripción válidos.</x:v>
      </x:c>
      <x:c r="L20" s="317" t="str">
        <x:v>Nota e historial académico consultable</x:v>
      </x:c>
      <x:c r="M20" s="334" t="str">
        <x:v>Consulta</x:v>
      </x:c>
      <x:c r="N20" s="334" t="str">
        <x:v>Registra</x:v>
      </x:c>
      <x:c r="O20" s="334" t="str">
        <x:v>Consulta propia</x:v>
      </x:c>
      <x:c r="P20" s="317" t="str">
        <x:v>ProfessorGradesView; GradesView; StudentGradesView</x:v>
      </x:c>
      <x:c r="Q20" s="317" t="str">
        <x:v>/grades; /profesor/notas; /estudiante/notas</x:v>
      </x:c>
      <x:c r="R20" s="317" t="str">
        <x:v>grades.controller.ts; profesor.controller.ts; estudiante.controller.ts</x:v>
      </x:c>
      <x:c r="S20" s="317" t="str">
        <x:v>Grade; AcademicHistory; Enrollment; PeriodoAcademico; Student; Course</x:v>
      </x:c>
      <x:c r="T20" s="317" t="str">
        <x:v>Next.js/React + Express + Prisma + MySQL</x:v>
      </x:c>
      <x:c r="U20" s="317" t="str">
        <x:v>Next.js por rol → Express grades/profesor/estudiante → Prisma → MySQL</x:v>
      </x:c>
      <x:c r="V20" s="317" t="str">
        <x:v>Sin IA directa / soporte al sistema</x:v>
      </x:c>
      <x:c r="W20" s="317" t="str">
        <x:v>Notas demo alimentan QA/dashboard; resultados científicos usan datos autorizados.</x:v>
      </x:c>
      <x:c r="X20" s="317" t="str">
        <x:v>D — cumple requisito, validación, regla y salida esperada</x:v>
      </x:c>
      <x:c r="Y20" s="317" t="str">
        <x:v>S — operación debe mantenerse dentro de umbrales del entorno</x:v>
      </x:c>
      <x:c r="Z20" s="317" t="str">
        <x:v>D — contrato entre UI/API/BD/ML debe ser compatible</x:v>
      </x:c>
      <x:c r="AA20" s="317" t="str">
        <x:v>D — navegación/formulario/mensaje comprensible por rol</x:v>
      </x:c>
      <x:c r="AB20" s="317" t="str">
        <x:v>S — no debe degradar consistencia ni continuidad</x:v>
      </x:c>
      <x:c r="AC20" s="317" t="str">
        <x:v>S — control de acceso y mínimo privilegio</x:v>
      </x:c>
      <x:c r="AD20" s="317" t="str">
        <x:v>D — módulo/capa localizable, testeable y analizable por Sonar</x:v>
      </x:c>
      <x:c r="AE20" s="317" t="str">
        <x:v>S — depende de env, Docker y despliegue estandarizado</x:v>
      </x:c>
      <x:c r="AF20" s="317" t="str">
        <x:v>Funcional + límites + scope + integración + regresión; asociar RF → caso → evidencia dentro de la matriz de 86 casos.</x:v>
      </x:c>
      <x:c r="AG20" s="317" t="str">
        <x:v>Funcional + límites + scope + integración + regresión</x:v>
      </x:c>
      <x:c r="AH20" s="317" t="str">
        <x:v>Dado un usuario/contexto válido, cuando ejecuta la función con datos válidos, entonces completa la operación respetando permisos, validaciones y persistencia; errores deben ser controlados.</x:v>
      </x:c>
      <x:c r="AI20" s="317" t="str">
        <x:v>GitHub/código + respuesta UI/API + persistencia/log; Sonar/QA según riesgo. https://taller1-frontend.vercel.app</x:v>
      </x:c>
      <x:c r="AJ20" s="317" t="str">
        <x:v>Integridad académica, RBAC y privacidad del estudiante.</x:v>
      </x:c>
      <x:c r="AK20" s="317" t="str">
        <x:v>ProfessorGradesView/GradesView/StudentGradesView + grades/profesor/estudiante controllers</x:v>
      </x:c>
      <x:c r="AL20" s="317" t="str">
        <x:v>ProfessorGradesView; GradesView; StudentGradesView | grades.controller.ts; profesor.controller.ts; estudiante.controller.ts | Grade; AcademicHistory; Enrollment; PeriodoAcademico; Student; Course</x:v>
      </x:c>
      <x:c r="AM20" s="317" t="str">
        <x:v>Rango inválido; nota 0 tratada como vacía; curso fuera de scope; promedio incorrecto; filtros erróneos.</x:v>
      </x:c>
      <x:c r="AN20" s="317" t="str">
        <x:v>Revisar formularios/notas → grades/profesor/estudiante → validadores → Grade/AcademicHistory → agregados dashboard.</x:v>
      </x:c>
      <x:c r="AO20" s="317" t="str">
        <x:v>0, 20, límites; periodo; scope; consulta estudiante; promedios; regresión dashboard.</x:v>
      </x:c>
      <x:c r="AP20" s="317" t="str">
        <x:v>Corregir nota mediante operación autorizada y conservar auditoría/historial; restaurar backup ante daño masivo.</x:v>
      </x:c>
      <x:c r="AQ20" s="317" t="str">
        <x:v>Variable dependiente — Riesgo de deserción</x:v>
      </x:c>
      <x:c r="AR20" s="317" t="str">
        <x:v>Rendimiento y trayectoria académica</x:v>
      </x:c>
      <x:c r="AS20" s="317" t="str">
        <x:v>Promedio, desaprobación y trayectoria</x:v>
      </x:c>
      <x:c r="AT20" s="317" t="str">
        <x:v>P05 / Anexo 07 (requisito RF-015)</x:v>
      </x:c>
      <x:c r="AU20" s="317" t="str">
        <x:v>Vercel/Railway/MySQL</x:v>
      </x:c>
      <x:c r="AV20" s="317" t="str">
        <x:v>ISO 9001 → ISO/IEC 25010 → P05 → Registrar notas → RF-015 → ProfessorGradesView; GradesView; StudentGradesView → /grades; /profesor/notas; /estudiante/notas → Grade; AcademicHistory; Enrollment; PeriodoAcademico; Student; Course → prueba/evidencia</x:v>
      </x:c>
      <x:c r="AW20" s="318" t="str">
        <x:v>APUNTES · ANEXO07 · TESIS · GITHUB(dataset-definitivo-2026) · VERCEL(ref. evidencia)</x:v>
      </x:c>
    </x:row>
    <x:row r="21" ht="92" customHeight="1">
      <x:c r="A21" s="330" t="str">
        <x:v>RF-016</x:v>
      </x:c>
      <x:c r="B21" s="331" t="str">
        <x:v>RF</x:v>
      </x:c>
      <x:c r="C21" s="323" t="str">
        <x:v>Gestión académica</x:v>
      </x:c>
      <x:c r="D21" s="317" t="str">
        <x:v>8.5 control de prestación; 9.1 seguimiento/medición; 7.5 registro de resultados.</x:v>
      </x:c>
      <x:c r="E21" s="317" t="str">
        <x:v>MP02 Gestión académica</x:v>
      </x:c>
      <x:c r="F21" s="317" t="str">
        <x:v>P05</x:v>
      </x:c>
      <x:c r="G21" s="317" t="str">
        <x:v>Validar nota</x:v>
      </x:c>
      <x:c r="H21" s="317" t="str">
        <x:v>El sistema debe validar notas dentro del rango permitido.</x:v>
      </x:c>
      <x:c r="I21" s="317" t="str">
        <x:v>Representa el rendimiento académico y aporta señales para seguimiento, dashboard e identificación de riesgo.</x:v>
      </x:c>
      <x:c r="J21" s="317" t="str">
        <x:v>Estudiante, curso, periodo, nota</x:v>
      </x:c>
      <x:c r="K21" s="317" t="str">
        <x:v>Nota 0–20; 0 es válido; profesor solo su scope; estudiante solo sus notas; periodo/inscripción válidos.</x:v>
      </x:c>
      <x:c r="L21" s="317" t="str">
        <x:v>Nota e historial académico consultable</x:v>
      </x:c>
      <x:c r="M21" s="334" t="str">
        <x:v>Consulta</x:v>
      </x:c>
      <x:c r="N21" s="334" t="str">
        <x:v>Ingresa 0–20</x:v>
      </x:c>
      <x:c r="O21" s="334" t="str">
        <x:v>Consulta</x:v>
      </x:c>
      <x:c r="P21" s="317" t="str">
        <x:v>ProfessorGradesView; GradesView; StudentGradesView</x:v>
      </x:c>
      <x:c r="Q21" s="317" t="str">
        <x:v>/grades; /profesor/notas; /estudiante/notas</x:v>
      </x:c>
      <x:c r="R21" s="317" t="str">
        <x:v>grades.controller.ts; profesor.controller.ts; estudiante.controller.ts</x:v>
      </x:c>
      <x:c r="S21" s="317" t="str">
        <x:v>Grade; AcademicHistory; Enrollment; PeriodoAcademico; Student; Course</x:v>
      </x:c>
      <x:c r="T21" s="317" t="str">
        <x:v>Next.js/React + Express + Prisma + MySQL</x:v>
      </x:c>
      <x:c r="U21" s="317" t="str">
        <x:v>Next.js por rol → Express grades/profesor/estudiante → Prisma → MySQL</x:v>
      </x:c>
      <x:c r="V21" s="317" t="str">
        <x:v>Sin IA directa / soporte al sistema</x:v>
      </x:c>
      <x:c r="W21" s="317" t="str">
        <x:v>Notas demo alimentan QA/dashboard; resultados científicos usan datos autorizados.</x:v>
      </x:c>
      <x:c r="X21" s="317" t="str">
        <x:v>D — cumple requisito, validación, regla y salida esperada</x:v>
      </x:c>
      <x:c r="Y21" s="317" t="str">
        <x:v>S — operación debe mantenerse dentro de umbrales del entorno</x:v>
      </x:c>
      <x:c r="Z21" s="317" t="str">
        <x:v>D — contrato entre UI/API/BD/ML debe ser compatible</x:v>
      </x:c>
      <x:c r="AA21" s="317" t="str">
        <x:v>D — navegación/formulario/mensaje comprensible por rol</x:v>
      </x:c>
      <x:c r="AB21" s="317" t="str">
        <x:v>S — no debe degradar consistencia ni continuidad</x:v>
      </x:c>
      <x:c r="AC21" s="317" t="str">
        <x:v>S — control de acceso y mínimo privilegio</x:v>
      </x:c>
      <x:c r="AD21" s="317" t="str">
        <x:v>D — módulo/capa localizable, testeable y analizable por Sonar</x:v>
      </x:c>
      <x:c r="AE21" s="317" t="str">
        <x:v>S — depende de env, Docker y despliegue estandarizado</x:v>
      </x:c>
      <x:c r="AF21" s="317" t="str">
        <x:v>Funcional + límites + scope + integración + regresión; asociar RF → caso → evidencia dentro de la matriz de 86 casos.</x:v>
      </x:c>
      <x:c r="AG21" s="317" t="str">
        <x:v>Funcional + límites + scope + integración + regresión</x:v>
      </x:c>
      <x:c r="AH21" s="317" t="str">
        <x:v>Dado un usuario/contexto válido, cuando ejecuta la función con datos válidos, entonces completa la operación respetando permisos, validaciones y persistencia; errores deben ser controlados.</x:v>
      </x:c>
      <x:c r="AI21" s="317" t="str">
        <x:v>GitHub/código + respuesta UI/API + persistencia/log; Sonar/QA según riesgo. https://taller1-frontend.vercel.app</x:v>
      </x:c>
      <x:c r="AJ21" s="317" t="str">
        <x:v>Integridad académica, RBAC y privacidad del estudiante.</x:v>
      </x:c>
      <x:c r="AK21" s="317" t="str">
        <x:v>ProfessorGradesView/GradesView/StudentGradesView + grades/profesor/estudiante controllers</x:v>
      </x:c>
      <x:c r="AL21" s="317" t="str">
        <x:v>ProfessorGradesView; GradesView; StudentGradesView | grades.controller.ts; profesor.controller.ts; estudiante.controller.ts | Grade; AcademicHistory; Enrollment; PeriodoAcademico; Student; Course</x:v>
      </x:c>
      <x:c r="AM21" s="317" t="str">
        <x:v>Rango inválido; nota 0 tratada como vacía; curso fuera de scope; promedio incorrecto; filtros erróneos.</x:v>
      </x:c>
      <x:c r="AN21" s="317" t="str">
        <x:v>Revisar formularios/notas → grades/profesor/estudiante → validadores → Grade/AcademicHistory → agregados dashboard.</x:v>
      </x:c>
      <x:c r="AO21" s="317" t="str">
        <x:v>0, 20, límites; periodo; scope; consulta estudiante; promedios; regresión dashboard.</x:v>
      </x:c>
      <x:c r="AP21" s="317" t="str">
        <x:v>Corregir nota mediante operación autorizada y conservar auditoría/historial; restaurar backup ante daño masivo.</x:v>
      </x:c>
      <x:c r="AQ21" s="317" t="str">
        <x:v>Variable dependiente — Riesgo de deserción</x:v>
      </x:c>
      <x:c r="AR21" s="317" t="str">
        <x:v>Rendimiento y trayectoria académica</x:v>
      </x:c>
      <x:c r="AS21" s="317" t="str">
        <x:v>Promedio, desaprobación y trayectoria</x:v>
      </x:c>
      <x:c r="AT21" s="317" t="str">
        <x:v>P05 / Anexo 07 (requisito RF-016)</x:v>
      </x:c>
      <x:c r="AU21" s="317" t="str">
        <x:v>Vercel/Railway/MySQL</x:v>
      </x:c>
      <x:c r="AV21" s="317" t="str">
        <x:v>ISO 9001 → ISO/IEC 25010 → P05 → Validar nota → RF-016 → ProfessorGradesView; GradesView; StudentGradesView → /grades; /profesor/notas; /estudiante/notas → Grade; AcademicHistory; Enrollment; PeriodoAcademico; Student; Course → prueba/evidencia</x:v>
      </x:c>
      <x:c r="AW21" s="318" t="str">
        <x:v>APUNTES · ANEXO07 · TESIS · GITHUB(dataset-definitivo-2026) · VERCEL(ref. evidencia)</x:v>
      </x:c>
    </x:row>
    <x:row r="22" ht="92" customHeight="1">
      <x:c r="A22" s="330" t="str">
        <x:v>RF-017</x:v>
      </x:c>
      <x:c r="B22" s="331" t="str">
        <x:v>RF</x:v>
      </x:c>
      <x:c r="C22" s="323" t="str">
        <x:v>Gestión académica</x:v>
      </x:c>
      <x:c r="D22" s="317" t="str">
        <x:v>8.5 operación; 9.1 seguimiento y medición; 7.5 evidencia documentada.</x:v>
      </x:c>
      <x:c r="E22" s="317" t="str">
        <x:v>MP02 Gestión académica</x:v>
      </x:c>
      <x:c r="F22" s="317" t="str">
        <x:v>P06</x:v>
      </x:c>
      <x:c r="G22" s="317" t="str">
        <x:v>Registrar asistencia masiva</x:v>
      </x:c>
      <x:c r="H22" s="317" t="str">
        <x:v>El Profesor debe registrar asistencia masiva de su grupo.</x:v>
      </x:c>
      <x:c r="I22" s="317" t="str">
        <x:v>Representa regularidad/permanencia académica y aporta señales relevantes para seguimiento e identificación temprana.</x:v>
      </x:c>
      <x:c r="J22" s="317" t="str">
        <x:v>Estudiante/curso, fecha, estado</x:v>
      </x:c>
      <x:c r="K22" s="317" t="str">
        <x:v>Estados controlados; no duplicar estudiante-fecha-curso; profesor solo scope; resumen consistente.</x:v>
      </x:c>
      <x:c r="L22" s="317" t="str">
        <x:v>Asistencia individual/masiva y resumen</x:v>
      </x:c>
      <x:c r="M22" s="334" t="str">
        <x:v>Consulta</x:v>
      </x:c>
      <x:c r="N22" s="334" t="str">
        <x:v>Registra</x:v>
      </x:c>
      <x:c r="O22" s="334" t="str">
        <x:v>Consulta propia</x:v>
      </x:c>
      <x:c r="P22" s="317" t="str">
        <x:v>ProfessorAttendanceView; AttendanceView; StudentAttendanceView</x:v>
      </x:c>
      <x:c r="Q22" s="317" t="str">
        <x:v>/attendance; /attendance/bulk; /profesor/asistencia; /estudiante/asistencia</x:v>
      </x:c>
      <x:c r="R22" s="317" t="str">
        <x:v>attendance.controller.ts; profesor.controller.ts; estudiante.controller.ts</x:v>
      </x:c>
      <x:c r="S22" s="317" t="str">
        <x:v>Attendance; ResumenAsistencia; Enrollment; Student; Course</x:v>
      </x:c>
      <x:c r="T22" s="317" t="str">
        <x:v>Next.js/React + Express + Prisma + MySQL</x:v>
      </x:c>
      <x:c r="U22" s="317" t="str">
        <x:v>Next.js por rol → Express attendance → Prisma → MySQL</x:v>
      </x:c>
      <x:c r="V22" s="317" t="str">
        <x:v>Sin IA directa / soporte al sistema</x:v>
      </x:c>
      <x:c r="W22" s="317" t="str">
        <x:v>Asistencia demo es QA; dataset científico debe ser real/autorizado.</x:v>
      </x:c>
      <x:c r="X22" s="317" t="str">
        <x:v>D — cumple requisito, validación, regla y salida esperada</x:v>
      </x:c>
      <x:c r="Y22" s="317" t="str">
        <x:v>S — operación debe mantenerse dentro de umbrales del entorno</x:v>
      </x:c>
      <x:c r="Z22" s="317" t="str">
        <x:v>D — contrato entre UI/API/BD/ML debe ser compatible</x:v>
      </x:c>
      <x:c r="AA22" s="317" t="str">
        <x:v>D — navegación/formulario/mensaje comprensible por rol</x:v>
      </x:c>
      <x:c r="AB22" s="317" t="str">
        <x:v>S — no debe degradar consistencia ni continuidad</x:v>
      </x:c>
      <x:c r="AC22" s="317" t="str">
        <x:v>S — control de acceso y mínimo privilegio</x:v>
      </x:c>
      <x:c r="AD22" s="317" t="str">
        <x:v>D — módulo/capa localizable, testeable y analizable por Sonar</x:v>
      </x:c>
      <x:c r="AE22" s="317" t="str">
        <x:v>S — depende de env, Docker y despliegue estandarizado</x:v>
      </x:c>
      <x:c r="AF22" s="317" t="str">
        <x:v>Funcional + masivo + integridad + RBAC; asociar RF → caso → evidencia dentro de la matriz de 86 casos.</x:v>
      </x:c>
      <x:c r="AG22" s="317" t="str">
        <x:v>Funcional + masivo + integridad + RBAC</x:v>
      </x:c>
      <x:c r="AH22" s="317" t="str">
        <x:v>Dado un usuario/contexto válido, cuando ejecuta la función con datos válidos, entonces completa la operación respetando permisos, validaciones y persistencia; errores deben ser controlados.</x:v>
      </x:c>
      <x:c r="AI22" s="317" t="str">
        <x:v>GitHub/código + respuesta UI/API + persistencia/log; Sonar/QA según riesgo. https://taller1-frontend.vercel.app</x:v>
      </x:c>
      <x:c r="AJ22" s="317" t="str">
        <x:v>Integridad + control por rol + privacidad.</x:v>
      </x:c>
      <x:c r="AK22" s="317" t="str">
        <x:v>Attendance views + attendance/profesor/estudiante controllers</x:v>
      </x:c>
      <x:c r="AL22" s="317" t="str">
        <x:v>ProfessorAttendanceView; AttendanceView; StudentAttendanceView | attendance.controller.ts; profesor.controller.ts; estudiante.controller.ts | Attendance; ResumenAsistencia; Enrollment; Student; Course</x:v>
      </x:c>
      <x:c r="AM22" s="317" t="str">
        <x:v>Duplicidad; carga masiva parcial; estado inválido; resumen no coincide; estudiante ajeno.</x:v>
      </x:c>
      <x:c r="AN22" s="317" t="str">
        <x:v>Revisar vistas → attendance/profesor/estudiante → validadores → Attendance/ResumenAsistencia.</x:v>
      </x:c>
      <x:c r="AO22" s="317" t="str">
        <x:v>Individual; masiva; actualización; filtros; scope; estados; consolidado.</x:v>
      </x:c>
      <x:c r="AP22" s="317" t="str">
        <x:v>Revertir lote incorrecto con evidencia; restaurar valores anteriores; conservar auditoría.</x:v>
      </x:c>
      <x:c r="AQ22" s="317" t="str">
        <x:v>Variable dependiente — Riesgo de deserción</x:v>
      </x:c>
      <x:c r="AR22" s="317" t="str">
        <x:v>Rendimiento y trayectoria académica</x:v>
      </x:c>
      <x:c r="AS22" s="317" t="str">
        <x:v>Asistencia, inasistencia y regularidad</x:v>
      </x:c>
      <x:c r="AT22" s="317" t="str">
        <x:v>P06 / Anexo 07 (requisito RF-017)</x:v>
      </x:c>
      <x:c r="AU22" s="317" t="str">
        <x:v>Vercel/Railway/MySQL</x:v>
      </x:c>
      <x:c r="AV22" s="317" t="str">
        <x:v>ISO 9001 → ISO/IEC 25010 → P06 → Registrar asistencia masiva → RF-017 → ProfessorAttendanceView; AttendanceView; StudentAttendanceView → /attendance; /attendance/bulk; /profesor/asistencia; /estudiante/asistencia → Attendance; ResumenAsistencia; Enrollment; Student; Course → prueba/evidencia</x:v>
      </x:c>
      <x:c r="AW22" s="318" t="str">
        <x:v>APUNTES · ANEXO07 · TESIS · GITHUB(dataset-definitivo-2026) · VERCEL(ref. evidencia)</x:v>
      </x:c>
    </x:row>
    <x:row r="23" ht="92" customHeight="1">
      <x:c r="A23" s="330" t="str">
        <x:v>RF-018</x:v>
      </x:c>
      <x:c r="B23" s="331" t="str">
        <x:v>RF</x:v>
      </x:c>
      <x:c r="C23" s="323" t="str">
        <x:v>Gestión académica</x:v>
      </x:c>
      <x:c r="D23" s="317" t="str">
        <x:v>8.5 control de prestación; 9.1 seguimiento/medición; 7.5 registro de resultados.</x:v>
      </x:c>
      <x:c r="E23" s="317" t="str">
        <x:v>MP02 Gestión académica</x:v>
      </x:c>
      <x:c r="F23" s="317" t="str">
        <x:v>P05/P06</x:v>
      </x:c>
      <x:c r="G23" s="317" t="str">
        <x:v>Filtrar notas y asistencia</x:v>
      </x:c>
      <x:c r="H23" s="317" t="str">
        <x:v>El sistema debe permitir consultar asistencia y notas según filtros.</x:v>
      </x:c>
      <x:c r="I23" s="317" t="str">
        <x:v>Representa el rendimiento académico y aporta señales para seguimiento, dashboard e identificación de riesgo.</x:v>
      </x:c>
      <x:c r="J23" s="317" t="str">
        <x:v>Estudiante, curso, periodo, nota</x:v>
      </x:c>
      <x:c r="K23" s="317" t="str">
        <x:v>Nota 0–20; 0 es válido; profesor solo su scope; estudiante solo sus notas; periodo/inscripción válidos.</x:v>
      </x:c>
      <x:c r="L23" s="317" t="str">
        <x:v>Nota e historial académico consultable</x:v>
      </x:c>
      <x:c r="M23" s="334" t="str">
        <x:v>Consulta global</x:v>
      </x:c>
      <x:c r="N23" s="334" t="str">
        <x:v>Consulta scope</x:v>
      </x:c>
      <x:c r="O23" s="334" t="str">
        <x:v>Consulta propia</x:v>
      </x:c>
      <x:c r="P23" s="317" t="str">
        <x:v>ProfessorGradesView; GradesView; StudentGradesView</x:v>
      </x:c>
      <x:c r="Q23" s="317" t="str">
        <x:v>/grades; /profesor/notas; /estudiante/notas</x:v>
      </x:c>
      <x:c r="R23" s="317" t="str">
        <x:v>grades.controller.ts; profesor.controller.ts; estudiante.controller.ts</x:v>
      </x:c>
      <x:c r="S23" s="317" t="str">
        <x:v>Grade; AcademicHistory; Enrollment; PeriodoAcademico; Student; Course</x:v>
      </x:c>
      <x:c r="T23" s="317" t="str">
        <x:v>Next.js/React + Express + Prisma + MySQL</x:v>
      </x:c>
      <x:c r="U23" s="317" t="str">
        <x:v>Next.js por rol → Express grades/profesor/estudiante → Prisma → MySQL</x:v>
      </x:c>
      <x:c r="V23" s="317" t="str">
        <x:v>Sin IA directa / soporte al sistema</x:v>
      </x:c>
      <x:c r="W23" s="317" t="str">
        <x:v>Notas demo alimentan QA/dashboard; resultados científicos usan datos autorizados.</x:v>
      </x:c>
      <x:c r="X23" s="317" t="str">
        <x:v>D — cumple requisito, validación, regla y salida esperada</x:v>
      </x:c>
      <x:c r="Y23" s="317" t="str">
        <x:v>S — operación debe mantenerse dentro de umbrales del entorno</x:v>
      </x:c>
      <x:c r="Z23" s="317" t="str">
        <x:v>D — contrato entre UI/API/BD/ML debe ser compatible</x:v>
      </x:c>
      <x:c r="AA23" s="317" t="str">
        <x:v>D — navegación/formulario/mensaje comprensible por rol</x:v>
      </x:c>
      <x:c r="AB23" s="317" t="str">
        <x:v>S — no debe degradar consistencia ni continuidad</x:v>
      </x:c>
      <x:c r="AC23" s="317" t="str">
        <x:v>S — control de acceso y mínimo privilegio</x:v>
      </x:c>
      <x:c r="AD23" s="317" t="str">
        <x:v>D — módulo/capa localizable, testeable y analizable por Sonar</x:v>
      </x:c>
      <x:c r="AE23" s="317" t="str">
        <x:v>S — depende de env, Docker y despliegue estandarizado</x:v>
      </x:c>
      <x:c r="AF23" s="317" t="str">
        <x:v>Funcional + límites + scope + integración + regresión; asociar RF → caso → evidencia dentro de la matriz de 86 casos.</x:v>
      </x:c>
      <x:c r="AG23" s="317" t="str">
        <x:v>Funcional + límites + scope + integración + regresión</x:v>
      </x:c>
      <x:c r="AH23" s="317" t="str">
        <x:v>Dado un usuario/contexto válido, cuando ejecuta la función con datos válidos, entonces completa la operación respetando permisos, validaciones y persistencia; errores deben ser controlados.</x:v>
      </x:c>
      <x:c r="AI23" s="317" t="str">
        <x:v>GitHub/código + respuesta UI/API + persistencia/log; Sonar/QA según riesgo. https://taller1-frontend.vercel.app</x:v>
      </x:c>
      <x:c r="AJ23" s="317" t="str">
        <x:v>Integridad académica, RBAC y privacidad del estudiante.</x:v>
      </x:c>
      <x:c r="AK23" s="317" t="str">
        <x:v>ProfessorGradesView/GradesView/StudentGradesView + grades/profesor/estudiante controllers</x:v>
      </x:c>
      <x:c r="AL23" s="317" t="str">
        <x:v>ProfessorGradesView; GradesView; StudentGradesView | grades.controller.ts; profesor.controller.ts; estudiante.controller.ts | Grade; AcademicHistory; Enrollment; PeriodoAcademico; Student; Course</x:v>
      </x:c>
      <x:c r="AM23" s="317" t="str">
        <x:v>Rango inválido; nota 0 tratada como vacía; curso fuera de scope; promedio incorrecto; filtros erróneos.</x:v>
      </x:c>
      <x:c r="AN23" s="317" t="str">
        <x:v>Revisar formularios/notas → grades/profesor/estudiante → validadores → Grade/AcademicHistory → agregados dashboard.</x:v>
      </x:c>
      <x:c r="AO23" s="317" t="str">
        <x:v>0, 20, límites; periodo; scope; consulta estudiante; promedios; regresión dashboard.</x:v>
      </x:c>
      <x:c r="AP23" s="317" t="str">
        <x:v>Corregir nota mediante operación autorizada y conservar auditoría/historial; restaurar backup ante daño masivo.</x:v>
      </x:c>
      <x:c r="AQ23" s="317" t="str">
        <x:v>Variable dependiente — Riesgo de deserción</x:v>
      </x:c>
      <x:c r="AR23" s="317" t="str">
        <x:v>Rendimiento y trayectoria académica</x:v>
      </x:c>
      <x:c r="AS23" s="317" t="str">
        <x:v>Promedio, desaprobación y trayectoria</x:v>
      </x:c>
      <x:c r="AT23" s="317" t="str">
        <x:v>P05/P06 / Anexo 07 (requisito RF-018)</x:v>
      </x:c>
      <x:c r="AU23" s="317" t="str">
        <x:v>Vercel/Railway/MySQL</x:v>
      </x:c>
      <x:c r="AV23" s="317" t="str">
        <x:v>ISO 9001 → ISO/IEC 25010 → P05/P06 → Filtrar notas y asistencia → RF-018 → ProfessorGradesView; GradesView; StudentGradesView → /grades; /profesor/notas; /estudiante/notas → Grade; AcademicHistory; Enrollment; PeriodoAcademico; Student; Course → prueba/evidencia</x:v>
      </x:c>
      <x:c r="AW23" s="318" t="str">
        <x:v>APUNTES · ANEXO07 · TESIS · GITHUB(dataset-definitivo-2026) · VERCEL(ref. evidencia)</x:v>
      </x:c>
    </x:row>
    <x:row r="24" ht="92" customHeight="1">
      <x:c r="A24" s="330" t="str">
        <x:v>RF-019</x:v>
      </x:c>
      <x:c r="B24" s="331" t="str">
        <x:v>RF</x:v>
      </x:c>
      <x:c r="C24" s="323" t="str">
        <x:v>Gestión académica</x:v>
      </x:c>
      <x:c r="D24" s="317" t="str">
        <x:v>8.5 operación; 9.1 seguimiento y medición; 7.5 evidencia documentada.</x:v>
      </x:c>
      <x:c r="E24" s="317" t="str">
        <x:v>MP02 Gestión académica</x:v>
      </x:c>
      <x:c r="F24" s="317" t="str">
        <x:v>P05/P06</x:v>
      </x:c>
      <x:c r="G24" s="317" t="str">
        <x:v>Restringir consulta personal</x:v>
      </x:c>
      <x:c r="H24" s="317" t="str">
        <x:v>El Estudiante debe consultar únicamente sus notas y asistencia.</x:v>
      </x:c>
      <x:c r="I24" s="317" t="str">
        <x:v>Representa regularidad/permanencia académica y aporta señales relevantes para seguimiento e identificación temprana.</x:v>
      </x:c>
      <x:c r="J24" s="317" t="str">
        <x:v>Estudiante/curso, fecha, estado</x:v>
      </x:c>
      <x:c r="K24" s="317" t="str">
        <x:v>Estados controlados; no duplicar estudiante-fecha-curso; profesor solo scope; resumen consistente.</x:v>
      </x:c>
      <x:c r="L24" s="317" t="str">
        <x:v>Asistencia individual/masiva y resumen</x:v>
      </x:c>
      <x:c r="M24" s="334" t="str">
        <x:v>Supervisa</x:v>
      </x:c>
      <x:c r="N24" s="334" t="str">
        <x:v>No aplica directo</x:v>
      </x:c>
      <x:c r="O24" s="334" t="str">
        <x:v>Consulta propia</x:v>
      </x:c>
      <x:c r="P24" s="317" t="str">
        <x:v>ProfessorAttendanceView; AttendanceView; StudentAttendanceView</x:v>
      </x:c>
      <x:c r="Q24" s="317" t="str">
        <x:v>/attendance; /attendance/bulk; /profesor/asistencia; /estudiante/asistencia</x:v>
      </x:c>
      <x:c r="R24" s="317" t="str">
        <x:v>attendance.controller.ts; profesor.controller.ts; estudiante.controller.ts</x:v>
      </x:c>
      <x:c r="S24" s="317" t="str">
        <x:v>Attendance; ResumenAsistencia; Enrollment; Student; Course</x:v>
      </x:c>
      <x:c r="T24" s="317" t="str">
        <x:v>Next.js/React + Express + Prisma + MySQL</x:v>
      </x:c>
      <x:c r="U24" s="317" t="str">
        <x:v>Next.js por rol → Express attendance → Prisma → MySQL</x:v>
      </x:c>
      <x:c r="V24" s="317" t="str">
        <x:v>Sin IA directa / soporte al sistema</x:v>
      </x:c>
      <x:c r="W24" s="317" t="str">
        <x:v>Asistencia demo es QA; dataset científico debe ser real/autorizado.</x:v>
      </x:c>
      <x:c r="X24" s="317" t="str">
        <x:v>D — cumple requisito, validación, regla y salida esperada</x:v>
      </x:c>
      <x:c r="Y24" s="317" t="str">
        <x:v>S — operación debe mantenerse dentro de umbrales del entorno</x:v>
      </x:c>
      <x:c r="Z24" s="317" t="str">
        <x:v>D — contrato entre UI/API/BD/ML debe ser compatible</x:v>
      </x:c>
      <x:c r="AA24" s="317" t="str">
        <x:v>D — navegación/formulario/mensaje comprensible por rol</x:v>
      </x:c>
      <x:c r="AB24" s="317" t="str">
        <x:v>S — no debe degradar consistencia ni continuidad</x:v>
      </x:c>
      <x:c r="AC24" s="317" t="str">
        <x:v>S — control de acceso y mínimo privilegio</x:v>
      </x:c>
      <x:c r="AD24" s="317" t="str">
        <x:v>D — módulo/capa localizable, testeable y analizable por Sonar</x:v>
      </x:c>
      <x:c r="AE24" s="317" t="str">
        <x:v>S — depende de env, Docker y despliegue estandarizado</x:v>
      </x:c>
      <x:c r="AF24" s="317" t="str">
        <x:v>Funcional + masivo + integridad + RBAC; asociar RF → caso → evidencia dentro de la matriz de 86 casos.</x:v>
      </x:c>
      <x:c r="AG24" s="317" t="str">
        <x:v>Funcional + masivo + integridad + RBAC</x:v>
      </x:c>
      <x:c r="AH24" s="317" t="str">
        <x:v>Dado un usuario/contexto válido, cuando ejecuta la función con datos válidos, entonces completa la operación respetando permisos, validaciones y persistencia; errores deben ser controlados.</x:v>
      </x:c>
      <x:c r="AI24" s="317" t="str">
        <x:v>GitHub/código + respuesta UI/API + persistencia/log; Sonar/QA según riesgo. https://taller1-frontend.vercel.app</x:v>
      </x:c>
      <x:c r="AJ24" s="317" t="str">
        <x:v>Integridad + control por rol + privacidad.</x:v>
      </x:c>
      <x:c r="AK24" s="317" t="str">
        <x:v>Attendance views + attendance/profesor/estudiante controllers</x:v>
      </x:c>
      <x:c r="AL24" s="317" t="str">
        <x:v>ProfessorAttendanceView; AttendanceView; StudentAttendanceView | attendance.controller.ts; profesor.controller.ts; estudiante.controller.ts | Attendance; ResumenAsistencia; Enrollment; Student; Course</x:v>
      </x:c>
      <x:c r="AM24" s="317" t="str">
        <x:v>Duplicidad; carga masiva parcial; estado inválido; resumen no coincide; estudiante ajeno.</x:v>
      </x:c>
      <x:c r="AN24" s="317" t="str">
        <x:v>Revisar vistas → attendance/profesor/estudiante → validadores → Attendance/ResumenAsistencia.</x:v>
      </x:c>
      <x:c r="AO24" s="317" t="str">
        <x:v>Individual; masiva; actualización; filtros; scope; estados; consolidado.</x:v>
      </x:c>
      <x:c r="AP24" s="317" t="str">
        <x:v>Revertir lote incorrecto con evidencia; restaurar valores anteriores; conservar auditoría.</x:v>
      </x:c>
      <x:c r="AQ24" s="317" t="str">
        <x:v>Variable dependiente — Riesgo de deserción</x:v>
      </x:c>
      <x:c r="AR24" s="317" t="str">
        <x:v>Rendimiento y trayectoria académica</x:v>
      </x:c>
      <x:c r="AS24" s="317" t="str">
        <x:v>Asistencia, inasistencia y regularidad</x:v>
      </x:c>
      <x:c r="AT24" s="317" t="str">
        <x:v>P05/P06 / Anexo 07 (requisito RF-019)</x:v>
      </x:c>
      <x:c r="AU24" s="317" t="str">
        <x:v>Vercel/Railway/MySQL</x:v>
      </x:c>
      <x:c r="AV24" s="317" t="str">
        <x:v>ISO 9001 → ISO/IEC 25010 → P05/P06 → Restringir consulta personal → RF-019 → ProfessorAttendanceView; AttendanceView; StudentAttendanceView → /attendance; /attendance/bulk; /profesor/asistencia; /estudiante/asistencia → Attendance; ResumenAsistencia; Enrollment; Student; Course → prueba/evidencia</x:v>
      </x:c>
      <x:c r="AW24" s="318" t="str">
        <x:v>APUNTES · ANEXO07 · TESIS · GITHUB(dataset-definitivo-2026) · VERCEL(ref. evidencia)</x:v>
      </x:c>
    </x:row>
    <x:row r="25" ht="92" customHeight="1">
      <x:c r="A25" s="330" t="str">
        <x:v>RF-020</x:v>
      </x:c>
      <x:c r="B25" s="331" t="str">
        <x:v>RF</x:v>
      </x:c>
      <x:c r="C25" s="323" t="str">
        <x:v>Gestión académica</x:v>
      </x:c>
      <x:c r="D25" s="317" t="str">
        <x:v>8.5 servicio; 9.1 medición del desempeño; 7.5 registros.</x:v>
      </x:c>
      <x:c r="E25" s="317" t="str">
        <x:v>MP02 Gestión académica</x:v>
      </x:c>
      <x:c r="F25" s="317" t="str">
        <x:v>P07</x:v>
      </x:c>
      <x:c r="G25" s="317" t="str">
        <x:v>Registrar indicadores LMS</x:v>
      </x:c>
      <x:c r="H25" s="317" t="str">
        <x:v>El sistema debe registrar indicadores de actividad LMS.</x:v>
      </x:c>
      <x:c r="I25" s="317" t="str">
        <x:v>Captura engagement digital y uso de recursos; enlaza comportamiento LMS con seguimiento y con el componente predictivo.</x:v>
      </x:c>
      <x:c r="J25" s="317" t="str">
        <x:v>Accesos, recursos, actividades, progreso</x:v>
      </x:c>
      <x:c r="K25" s="317" t="str">
        <x:v>Curso autorizado; eventos con estudiante/curso/tiempo; no fabricar actividad faltante; scope por rol.</x:v>
      </x:c>
      <x:c r="L25" s="317" t="str">
        <x:v>Eventos e indicadores LMS trazables</x:v>
      </x:c>
      <x:c r="M25" s="334" t="str">
        <x:v>Consulta</x:v>
      </x:c>
      <x:c r="N25" s="334" t="str">
        <x:v>Genera/consulta</x:v>
      </x:c>
      <x:c r="O25" s="334" t="str">
        <x:v>Genera/consulta propia</x:v>
      </x:c>
      <x:c r="P25" s="317" t="str">
        <x:v>LearningView; ObservedProgressView</x:v>
      </x:c>
      <x:c r="Q25" s="317" t="str">
        <x:v>/learning; /materials; /activities; /lms/course-access; /lms/students/:id; /profesor/lms; /estudiante/lms</x:v>
      </x:c>
      <x:c r="R25" s="317" t="str">
        <x:v>lms.controller.ts; lms.service.ts; profesor.controller.ts; estudiante.controller.ts</x:v>
      </x:c>
      <x:c r="S25" s="317" t="str">
        <x:v>LmsEvent; CourseResource; AcademicActivity; ActivityProgress</x:v>
      </x:c>
      <x:c r="T25" s="317" t="str">
        <x:v>Next.js/React + Express + servicio LMS + Prisma + MySQL</x:v>
      </x:c>
      <x:c r="U25" s="317" t="str">
        <x:v>Next.js LMS → Express LMS service → Prisma → MySQL</x:v>
      </x:c>
      <x:c r="V25" s="317" t="str">
        <x:v>Sin IA directa / soporte al sistema</x:v>
      </x:c>
      <x:c r="W25" s="317" t="str">
        <x:v>Eventos demo sirven al software; no se presentan automáticamente como comportamiento científico.</x:v>
      </x:c>
      <x:c r="X25" s="317" t="str">
        <x:v>D — cumple requisito, validación, regla y salida esperada</x:v>
      </x:c>
      <x:c r="Y25" s="317" t="str">
        <x:v>S — operación debe mantenerse dentro de umbrales del entorno</x:v>
      </x:c>
      <x:c r="Z25" s="317" t="str">
        <x:v>D — contrato entre UI/API/BD/ML debe ser compatible</x:v>
      </x:c>
      <x:c r="AA25" s="317" t="str">
        <x:v>D — navegación/formulario/mensaje comprensible por rol</x:v>
      </x:c>
      <x:c r="AB25" s="317" t="str">
        <x:v>S — no debe degradar consistencia ni continuidad</x:v>
      </x:c>
      <x:c r="AC25" s="317" t="str">
        <x:v>S — control de acceso y mínimo privilegio</x:v>
      </x:c>
      <x:c r="AD25" s="317" t="str">
        <x:v>D — módulo/capa localizable, testeable y analizable por Sonar</x:v>
      </x:c>
      <x:c r="AE25" s="317" t="str">
        <x:v>S — depende de env, Docker y despliegue estandarizado</x:v>
      </x:c>
      <x:c r="AF25" s="317" t="str">
        <x:v>Funcional + integración + agregados + RBAC; asociar RF → caso → evidencia dentro de la matriz de 86 casos.</x:v>
      </x:c>
      <x:c r="AG25" s="317" t="str">
        <x:v>Funcional + integración + agregados + RBAC</x:v>
      </x:c>
      <x:c r="AH25" s="317" t="str">
        <x:v>Dado un usuario/contexto válido, cuando ejecuta la función con datos válidos, entonces completa la operación respetando permisos, validaciones y persistencia; errores deben ser controlados.</x:v>
      </x:c>
      <x:c r="AI25" s="317" t="str">
        <x:v>GitHub/código + respuesta UI/API + persistencia/log; Sonar/QA según riesgo. https://taller1-frontend.vercel.app</x:v>
      </x:c>
      <x:c r="AJ25" s="317" t="str">
        <x:v>Privacidad, autorización de curso y trazabilidad de eventos.</x:v>
      </x:c>
      <x:c r="AK25" s="317" t="str">
        <x:v>Learning/ObservedProgress + lms.controller/lms.service</x:v>
      </x:c>
      <x:c r="AL25" s="317" t="str">
        <x:v>LearningView; ObservedProgressView | lms.controller.ts; lms.service.ts; profesor.controller.ts; estudiante.controller.ts | LmsEvent; CourseResource; AcademicActivity; ActivityProgress</x:v>
      </x:c>
      <x:c r="AM25" s="317" t="str">
        <x:v>Evento duplicado/faltante; progreso no persiste; scope incorrecto; indicador agregado inconsistente.</x:v>
      </x:c>
      <x:c r="AN25" s="317" t="str">
        <x:v>Revisar Learning/ObservedProgress → lms.controller/service → tablas LMS → agregados/prediction feature builder.</x:v>
      </x:c>
      <x:c r="AO25" s="317" t="str">
        <x:v>Publicación; acceso; progreso; evento; indicadores por rol; integración con vector ML.</x:v>
      </x:c>
      <x:c r="AP25" s="317" t="str">
        <x:v>Corregir evento/progreso con trazabilidad; evitar borrar señales históricas sin justificación.</x:v>
      </x:c>
      <x:c r="AQ25" s="317" t="str">
        <x:v>Variable dependiente — Riesgo de deserción</x:v>
      </x:c>
      <x:c r="AR25" s="317" t="str">
        <x:v>Comportamiento y engagement en LMS</x:v>
      </x:c>
      <x:c r="AS25" s="317" t="str">
        <x:v>Frecuencia, participación, intensidad/regularidad, consulta de recursos</x:v>
      </x:c>
      <x:c r="AT25" s="317" t="str">
        <x:v>P07 / Anexo 07 (requisito RF-020)</x:v>
      </x:c>
      <x:c r="AU25" s="317" t="str">
        <x:v>Vercel/Railway/MySQL</x:v>
      </x:c>
      <x:c r="AV25" s="317" t="str">
        <x:v>ISO 9001 → ISO/IEC 25010 → P07 → Registrar indicadores LMS → RF-020 → LearningView; ObservedProgressView → /learning; /materials; /activities; /lms/course-access; /lms/students/:id; /profesor/lms; /estudiante/lms → LmsEvent; CourseResource; AcademicActivity; ActivityProgress → prueba/evidencia</x:v>
      </x:c>
      <x:c r="AW25" s="318" t="str">
        <x:v>APUNTES · ANEXO07 · TESIS · GITHUB(dataset-definitivo-2026) · VERCEL(ref. evidencia)</x:v>
      </x:c>
    </x:row>
    <x:row r="26" ht="92" customHeight="1">
      <x:c r="A26" s="330" t="str">
        <x:v>RF-021</x:v>
      </x:c>
      <x:c r="B26" s="331" t="str">
        <x:v>RF</x:v>
      </x:c>
      <x:c r="C26" s="323" t="str">
        <x:v>Predicción e IA</x:v>
      </x:c>
      <x:c r="D26" s="317" t="str">
        <x:v>6.1 riesgos; 8.1 control operacional; 9.1 análisis/evaluación; 7.5 trazabilidad de resultados.</x:v>
      </x:c>
      <x:c r="E26" s="317" t="str">
        <x:v>MP03 Analítica predictiva</x:v>
      </x:c>
      <x:c r="F26" s="317" t="str">
        <x:v>P08/P09/P12</x:v>
      </x:c>
      <x:c r="G26" s="317" t="str">
        <x:v>Construir vector de características</x:v>
      </x:c>
      <x:c r="H26" s="317" t="str">
        <x:v>El sistema debe construir el vector vigente de características antes de invocar al ML.</x:v>
      </x:c>
      <x:c r="I26" s="317" t="str">
        <x:v>Convierte los datos y el modelo ML en una inferencia utilizable y trazable dentro del sistema web.</x:v>
      </x:c>
      <x:c r="J26" s="317" t="str">
        <x:v>Estudiante autorizado + características construibles + modelo compatible</x:v>
      </x:c>
      <x:c r="K26" s="317" t="str">
        <x:v>No inventar inferencia; si ML no está disponible mostrar estado controlado; conservar fecha/modelo/features/factores.</x:v>
      </x:c>
      <x:c r="L26" s="317" t="str">
        <x:v>Probabilidad, nivel, factores/recomendación y registro trazable</x:v>
      </x:c>
      <x:c r="M26" s="334" t="str">
        <x:v>Solicita</x:v>
      </x:c>
      <x:c r="N26" s="334" t="str">
        <x:v>Solicita scope</x:v>
      </x:c>
      <x:c r="O26" s="334" t="str">
        <x:v>Consulta propia</x:v>
      </x:c>
      <x:c r="P26" s="317" t="str">
        <x:v>PredictionView; ProfessorPredictionView; StudentPredictionView; PredictionHistoryView</x:v>
      </x:c>
      <x:c r="Q26" s="317" t="str">
        <x:v>POST /predict; GET /predictions; /profesor/predicciones; /profesor/historial-predicciones; /estudiante/prediccion; /ml/metrics</x:v>
      </x:c>
      <x:c r="R26" s="317" t="str">
        <x:v>predict.controller.ts; predictions.controller.ts; profesor.controller.ts; estudiante.controller.ts; services/ml-client.ts</x:v>
      </x:c>
      <x:c r="S26" s="317" t="str">
        <x:v>Prediction; MlFeatureDef; MlModelo; MlMetrica; Student; Grade; Attendance; LmsEvent</x:v>
      </x:c>
      <x:c r="T26" s="317" t="str">
        <x:v>Next.js/React + Express + Prisma/MySQL + ML client + Python/FastAPI + modelo Ensemble</x:v>
      </x:c>
      <x:c r="U26" s="317" t="str">
        <x:v>Next.js Predicción → Express → feature builder → ML_SERVICE_URL → FastAPI/modelo → Express → Prisma/MySQL</x:v>
      </x:c>
      <x:c r="V26" s="317" t="str">
        <x:v>Relaciona con IA/ML</x:v>
      </x:c>
      <x:c r="W26" s="317" t="str">
        <x:v>Seed solo verifica flujo. Entrenamiento/métricas científicas requieren dataset institucional real autorizado.</x:v>
      </x:c>
      <x:c r="X26" s="317" t="str">
        <x:v>D — cumple requisito, validación, regla y salida esperada</x:v>
      </x:c>
      <x:c r="Y26" s="317" t="str">
        <x:v>D — medir tiempo/recursos en QA y registrar umbral</x:v>
      </x:c>
      <x:c r="Z26" s="317" t="str">
        <x:v>D — contrato entre UI/API/BD/ML debe ser compatible</x:v>
      </x:c>
      <x:c r="AA26" s="317" t="str">
        <x:v>D — navegación/formulario/mensaje comprensible por rol</x:v>
      </x:c>
      <x:c r="AB26" s="317" t="str">
        <x:v>D — manejo de error, persistencia y recuperación verificables</x:v>
      </x:c>
      <x:c r="AC26" s="317" t="str">
        <x:v>D — RBAC/privacidad/integridad/secretos aplican directamente</x:v>
      </x:c>
      <x:c r="AD26" s="317" t="str">
        <x:v>D — módulo/capa localizable, testeable y analizable por Sonar</x:v>
      </x:c>
      <x:c r="AE26" s="317" t="str">
        <x:v>S — depende de env, Docker y despliegue estandarizado</x:v>
      </x:c>
      <x:c r="AF26" s="317" t="str">
        <x:v>Integración API–ML + caja negra + seguridad + regresión; asociar RF → caso → evidencia dentro de la matriz de 86 casos.</x:v>
      </x:c>
      <x:c r="AG26" s="317" t="str">
        <x:v>Integración API–ML + caja negra + seguridad + regresión</x:v>
      </x:c>
      <x:c r="AH26" s="317" t="str">
        <x:v>Dado un usuario/contexto válido, cuando ejecuta la función con datos válidos, entonces completa la operación respetando permisos, validaciones y persistencia; errores deben ser controlados.</x:v>
      </x:c>
      <x:c r="AI26" s="317" t="str">
        <x:v>GitHub/código + respuesta UI/API + persistencia/log; Sonar/QA según riesgo. https://taller1-frontend.vercel.app</x:v>
      </x:c>
      <x:c r="AJ26" s="317" t="str">
        <x:v>Confidencialidad del estudiante + integridad de inferencia + disponibilidad controlada del servicio ML + RBAC.</x:v>
      </x:c>
      <x:c r="AK26" s="317" t="str">
        <x:v>Prediction views + predict/predictions + ml-client + machine-learning/app/train.py</x:v>
      </x:c>
      <x:c r="AL26" s="317" t="str">
        <x:v>PredictionView; ProfessorPredictionView; StudentPredictionView; PredictionHistoryView | predict.controller.ts; predictions.controller.ts; profesor.controller.ts; estudiante.controller.ts; services/ml-client.ts | Prediction; MlFeatureDef; MlModelo; MlMetrica; Student; Grade; Attendance; LmsEvent</x:v>
      </x:c>
      <x:c r="AM26" s="317" t="str">
        <x:v>ML_SERVICE_URL caído; feature mismatch; modelo incompatible; timeout; predicción no persiste; historial ajeno.</x:v>
      </x:c>
      <x:c r="AN26" s="317" t="str">
        <x:v>Revisar vistas → predict/predictions/profesor/estudiante → ml-client → FastAPI/model artifact → Prediction/Ml*.</x:v>
      </x:c>
      <x:c r="AO26" s="317" t="str">
        <x:v>Contrato API-ML; modelo no disponible; persistencia; historial; scope; estudiante propio; métricas autorizadas.</x:v>
      </x:c>
      <x:c r="AP26" s="317" t="str">
        <x:v>Deshabilitar inferencia y mostrar 'Sin predicción' ante incompatibilidad; volver a artefacto/modelo compatible.</x:v>
      </x:c>
      <x:c r="AQ26" s="317" t="str">
        <x:v>Variable intermedia + variable dependiente</x:v>
      </x:c>
      <x:c r="AR26" s="317" t="str">
        <x:v>Integración/explicabilidad predictiva + permanencia e identificación temprana</x:v>
      </x:c>
      <x:c r="AS26" s="317" t="str">
        <x:v>Probabilidad estimada, nivel de riesgo, factores, fecha/modelo y detección temprana</x:v>
      </x:c>
      <x:c r="AT26" s="317" t="str">
        <x:v>P08/P09/P12 / Anexo 07 (requisito RF-021)</x:v>
      </x:c>
      <x:c r="AU26" s="317" t="str">
        <x:v>Vercel → Railway backend → FastAPI ML independiente; ML_SERVICE_URL.</x:v>
      </x:c>
      <x:c r="AV26" s="317" t="str">
        <x:v>ISO 9001 → ISO/IEC 25010 → P08/P09/P12 → Construir vector de características → RF-021 → PredictionView; ProfessorPredictionView; StudentPredictionView; PredictionHistoryView → POST /predict; GET /predictions; /profesor/predicciones; /profesor/historial-predicciones; /estudiante/prediccion; /ml/metrics → Prediction; MlFeatureDef; MlModelo; MlMetrica; Student; Grade; Attendance; LmsEvent → prueba/evidencia</x:v>
      </x:c>
      <x:c r="AW26" s="318" t="str">
        <x:v>APUNTES · ANEXO07 · TESIS · GITHUB(dataset-definitivo-2026) · VERCEL(ref. evidencia)</x:v>
      </x:c>
    </x:row>
    <x:row r="27" ht="92" customHeight="1">
      <x:c r="A27" s="330" t="str">
        <x:v>RF-022</x:v>
      </x:c>
      <x:c r="B27" s="331" t="str">
        <x:v>RF</x:v>
      </x:c>
      <x:c r="C27" s="323" t="str">
        <x:v>Predicción e IA</x:v>
      </x:c>
      <x:c r="D27" s="317" t="str">
        <x:v>6.1 riesgos; 8.1 control operacional; 9.1 análisis/evaluación; 7.5 trazabilidad de resultados.</x:v>
      </x:c>
      <x:c r="E27" s="317" t="str">
        <x:v>MP03 Analítica predictiva</x:v>
      </x:c>
      <x:c r="F27" s="317" t="str">
        <x:v>P12</x:v>
      </x:c>
      <x:c r="G27" s="317" t="str">
        <x:v>Invocar servicio ML</x:v>
      </x:c>
      <x:c r="H27" s="317" t="str">
        <x:v>El backend debe invocar al servicio ML a través de ML_SERVICE_URL.</x:v>
      </x:c>
      <x:c r="I27" s="317" t="str">
        <x:v>Convierte los datos y el modelo ML en una inferencia utilizable y trazable dentro del sistema web.</x:v>
      </x:c>
      <x:c r="J27" s="317" t="str">
        <x:v>Estudiante autorizado + características construibles + modelo compatible</x:v>
      </x:c>
      <x:c r="K27" s="317" t="str">
        <x:v>No inventar inferencia; si ML no está disponible mostrar estado controlado; conservar fecha/modelo/features/factores.</x:v>
      </x:c>
      <x:c r="L27" s="317" t="str">
        <x:v>Probabilidad, nivel, factores/recomendación y registro trazable</x:v>
      </x:c>
      <x:c r="M27" s="334" t="str">
        <x:v>Solicita</x:v>
      </x:c>
      <x:c r="N27" s="334" t="str">
        <x:v>Solicita scope</x:v>
      </x:c>
      <x:c r="O27" s="334" t="str">
        <x:v>Indirecto</x:v>
      </x:c>
      <x:c r="P27" s="317" t="str">
        <x:v>PredictionView; ProfessorPredictionView; StudentPredictionView; PredictionHistoryView</x:v>
      </x:c>
      <x:c r="Q27" s="317" t="str">
        <x:v>POST /predict; GET /predictions; /profesor/predicciones; /profesor/historial-predicciones; /estudiante/prediccion; /ml/metrics</x:v>
      </x:c>
      <x:c r="R27" s="317" t="str">
        <x:v>predict.controller.ts; predictions.controller.ts; profesor.controller.ts; estudiante.controller.ts; services/ml-client.ts</x:v>
      </x:c>
      <x:c r="S27" s="317" t="str">
        <x:v>Prediction; MlFeatureDef; MlModelo; MlMetrica; Student; Grade; Attendance; LmsEvent</x:v>
      </x:c>
      <x:c r="T27" s="317" t="str">
        <x:v>Next.js/React + Express + Prisma/MySQL + ML client + Python/FastAPI + modelo Ensemble</x:v>
      </x:c>
      <x:c r="U27" s="317" t="str">
        <x:v>Next.js Predicción → Express → feature builder → ML_SERVICE_URL → FastAPI/modelo → Express → Prisma/MySQL</x:v>
      </x:c>
      <x:c r="V27" s="317" t="str">
        <x:v>Relaciona con IA/ML</x:v>
      </x:c>
      <x:c r="W27" s="317" t="str">
        <x:v>Seed solo verifica flujo. Entrenamiento/métricas científicas requieren dataset institucional real autorizado.</x:v>
      </x:c>
      <x:c r="X27" s="317" t="str">
        <x:v>D — cumple requisito, validación, regla y salida esperada</x:v>
      </x:c>
      <x:c r="Y27" s="317" t="str">
        <x:v>D — medir tiempo/recursos en QA y registrar umbral</x:v>
      </x:c>
      <x:c r="Z27" s="317" t="str">
        <x:v>D — contrato entre UI/API/BD/ML debe ser compatible</x:v>
      </x:c>
      <x:c r="AA27" s="317" t="str">
        <x:v>D — navegación/formulario/mensaje comprensible por rol</x:v>
      </x:c>
      <x:c r="AB27" s="317" t="str">
        <x:v>D — manejo de error, persistencia y recuperación verificables</x:v>
      </x:c>
      <x:c r="AC27" s="317" t="str">
        <x:v>D — RBAC/privacidad/integridad/secretos aplican directamente</x:v>
      </x:c>
      <x:c r="AD27" s="317" t="str">
        <x:v>D — módulo/capa localizable, testeable y analizable por Sonar</x:v>
      </x:c>
      <x:c r="AE27" s="317" t="str">
        <x:v>S — depende de env, Docker y despliegue estandarizado</x:v>
      </x:c>
      <x:c r="AF27" s="317" t="str">
        <x:v>Integración API–ML + caja negra + seguridad + regresión; asociar RF → caso → evidencia dentro de la matriz de 86 casos.</x:v>
      </x:c>
      <x:c r="AG27" s="317" t="str">
        <x:v>Integración API–ML + caja negra + seguridad + regresión</x:v>
      </x:c>
      <x:c r="AH27" s="317" t="str">
        <x:v>Dado un usuario/contexto válido, cuando ejecuta la función con datos válidos, entonces completa la operación respetando permisos, validaciones y persistencia; errores deben ser controlados.</x:v>
      </x:c>
      <x:c r="AI27" s="317" t="str">
        <x:v>GitHub/código + respuesta UI/API + persistencia/log; Sonar/QA según riesgo. https://taller1-frontend.vercel.app</x:v>
      </x:c>
      <x:c r="AJ27" s="317" t="str">
        <x:v>Confidencialidad del estudiante + integridad de inferencia + disponibilidad controlada del servicio ML + RBAC.</x:v>
      </x:c>
      <x:c r="AK27" s="317" t="str">
        <x:v>Prediction views + predict/predictions + ml-client + machine-learning/app/train.py</x:v>
      </x:c>
      <x:c r="AL27" s="317" t="str">
        <x:v>PredictionView; ProfessorPredictionView; StudentPredictionView; PredictionHistoryView | predict.controller.ts; predictions.controller.ts; profesor.controller.ts; estudiante.controller.ts; services/ml-client.ts | Prediction; MlFeatureDef; MlModelo; MlMetrica; Student; Grade; Attendance; LmsEvent</x:v>
      </x:c>
      <x:c r="AM27" s="317" t="str">
        <x:v>ML_SERVICE_URL caído; feature mismatch; modelo incompatible; timeout; predicción no persiste; historial ajeno.</x:v>
      </x:c>
      <x:c r="AN27" s="317" t="str">
        <x:v>Revisar vistas → predict/predictions/profesor/estudiante → ml-client → FastAPI/model artifact → Prediction/Ml*.</x:v>
      </x:c>
      <x:c r="AO27" s="317" t="str">
        <x:v>Contrato API-ML; modelo no disponible; persistencia; historial; scope; estudiante propio; métricas autorizadas.</x:v>
      </x:c>
      <x:c r="AP27" s="317" t="str">
        <x:v>Deshabilitar inferencia y mostrar 'Sin predicción' ante incompatibilidad; volver a artefacto/modelo compatible.</x:v>
      </x:c>
      <x:c r="AQ27" s="317" t="str">
        <x:v>Variable intermedia + variable dependiente</x:v>
      </x:c>
      <x:c r="AR27" s="317" t="str">
        <x:v>Integración/explicabilidad predictiva + permanencia e identificación temprana</x:v>
      </x:c>
      <x:c r="AS27" s="317" t="str">
        <x:v>Probabilidad estimada, nivel de riesgo, factores, fecha/modelo y detección temprana</x:v>
      </x:c>
      <x:c r="AT27" s="317" t="str">
        <x:v>P12 / Anexo 07 (requisito RF-022)</x:v>
      </x:c>
      <x:c r="AU27" s="317" t="str">
        <x:v>Vercel → Railway backend → FastAPI ML independiente; ML_SERVICE_URL.</x:v>
      </x:c>
      <x:c r="AV27" s="317" t="str">
        <x:v>ISO 9001 → ISO/IEC 25010 → P12 → Invocar servicio ML → RF-022 → PredictionView; ProfessorPredictionView; StudentPredictionView; PredictionHistoryView → POST /predict; GET /predictions; /profesor/predicciones; /profesor/historial-predicciones; /estudiante/prediccion; /ml/metrics → Prediction; MlFeatureDef; MlModelo; MlMetrica; Student; Grade; Attendance; LmsEvent → prueba/evidencia</x:v>
      </x:c>
      <x:c r="AW27" s="318" t="str">
        <x:v>APUNTES · ANEXO07 · TESIS · GITHUB(dataset-definitivo-2026) · VERCEL(ref. evidencia)</x:v>
      </x:c>
    </x:row>
    <x:row r="28" ht="92" customHeight="1">
      <x:c r="A28" s="330" t="str">
        <x:v>RF-023</x:v>
      </x:c>
      <x:c r="B28" s="331" t="str">
        <x:v>RF</x:v>
      </x:c>
      <x:c r="C28" s="323" t="str">
        <x:v>Predicción e IA</x:v>
      </x:c>
      <x:c r="D28" s="317" t="str">
        <x:v>6.1 riesgos; 8.1 control operacional; 9.1 análisis/evaluación; 7.5 trazabilidad de resultados.</x:v>
      </x:c>
      <x:c r="E28" s="317" t="str">
        <x:v>MP03 Analítica predictiva</x:v>
      </x:c>
      <x:c r="F28" s="317" t="str">
        <x:v>P12</x:v>
      </x:c>
      <x:c r="G28" s="317" t="str">
        <x:v>Recibir inferencia</x:v>
      </x:c>
      <x:c r="H28" s="317" t="str">
        <x:v>El servicio ML debe devolver probabilidad, nivel de riesgo y factores/recomendación cuando corresponda.</x:v>
      </x:c>
      <x:c r="I28" s="317" t="str">
        <x:v>Convierte los datos y el modelo ML en una inferencia utilizable y trazable dentro del sistema web.</x:v>
      </x:c>
      <x:c r="J28" s="317" t="str">
        <x:v>Estudiante autorizado + características construibles + modelo compatible</x:v>
      </x:c>
      <x:c r="K28" s="317" t="str">
        <x:v>No inventar inferencia; si ML no está disponible mostrar estado controlado; conservar fecha/modelo/features/factores.</x:v>
      </x:c>
      <x:c r="L28" s="317" t="str">
        <x:v>Probabilidad, nivel, factores/recomendación y registro trazable</x:v>
      </x:c>
      <x:c r="M28" s="334" t="str">
        <x:v>Consulta</x:v>
      </x:c>
      <x:c r="N28" s="334" t="str">
        <x:v>Consulta scope</x:v>
      </x:c>
      <x:c r="O28" s="334" t="str">
        <x:v>Consulta propia</x:v>
      </x:c>
      <x:c r="P28" s="317" t="str">
        <x:v>PredictionView; ProfessorPredictionView; StudentPredictionView; PredictionHistoryView</x:v>
      </x:c>
      <x:c r="Q28" s="317" t="str">
        <x:v>POST /predict; GET /predictions; /profesor/predicciones; /profesor/historial-predicciones; /estudiante/prediccion; /ml/metrics</x:v>
      </x:c>
      <x:c r="R28" s="317" t="str">
        <x:v>predict.controller.ts; predictions.controller.ts; profesor.controller.ts; estudiante.controller.ts; services/ml-client.ts</x:v>
      </x:c>
      <x:c r="S28" s="317" t="str">
        <x:v>Prediction; MlFeatureDef; MlModelo; MlMetrica; Student; Grade; Attendance; LmsEvent</x:v>
      </x:c>
      <x:c r="T28" s="317" t="str">
        <x:v>Next.js/React + Express + Prisma/MySQL + ML client + Python/FastAPI + modelo Ensemble</x:v>
      </x:c>
      <x:c r="U28" s="317" t="str">
        <x:v>Next.js Predicción → Express → feature builder → ML_SERVICE_URL → FastAPI/modelo → Express → Prisma/MySQL</x:v>
      </x:c>
      <x:c r="V28" s="317" t="str">
        <x:v>Relaciona con IA/ML</x:v>
      </x:c>
      <x:c r="W28" s="317" t="str">
        <x:v>Seed solo verifica flujo. Entrenamiento/métricas científicas requieren dataset institucional real autorizado.</x:v>
      </x:c>
      <x:c r="X28" s="317" t="str">
        <x:v>D — cumple requisito, validación, regla y salida esperada</x:v>
      </x:c>
      <x:c r="Y28" s="317" t="str">
        <x:v>D — medir tiempo/recursos en QA y registrar umbral</x:v>
      </x:c>
      <x:c r="Z28" s="317" t="str">
        <x:v>D — contrato entre UI/API/BD/ML debe ser compatible</x:v>
      </x:c>
      <x:c r="AA28" s="317" t="str">
        <x:v>D — navegación/formulario/mensaje comprensible por rol</x:v>
      </x:c>
      <x:c r="AB28" s="317" t="str">
        <x:v>D — manejo de error, persistencia y recuperación verificables</x:v>
      </x:c>
      <x:c r="AC28" s="317" t="str">
        <x:v>D — RBAC/privacidad/integridad/secretos aplican directamente</x:v>
      </x:c>
      <x:c r="AD28" s="317" t="str">
        <x:v>D — módulo/capa localizable, testeable y analizable por Sonar</x:v>
      </x:c>
      <x:c r="AE28" s="317" t="str">
        <x:v>S — depende de env, Docker y despliegue estandarizado</x:v>
      </x:c>
      <x:c r="AF28" s="317" t="str">
        <x:v>Integración API–ML + caja negra + seguridad + regresión; asociar RF → caso → evidencia dentro de la matriz de 86 casos.</x:v>
      </x:c>
      <x:c r="AG28" s="317" t="str">
        <x:v>Integración API–ML + caja negra + seguridad + regresión</x:v>
      </x:c>
      <x:c r="AH28" s="317" t="str">
        <x:v>Dado un usuario/contexto válido, cuando ejecuta la función con datos válidos, entonces completa la operación respetando permisos, validaciones y persistencia; errores deben ser controlados.</x:v>
      </x:c>
      <x:c r="AI28" s="317" t="str">
        <x:v>GitHub/código + respuesta UI/API + persistencia/log; Sonar/QA según riesgo. https://taller1-frontend.vercel.app</x:v>
      </x:c>
      <x:c r="AJ28" s="317" t="str">
        <x:v>Confidencialidad del estudiante + integridad de inferencia + disponibilidad controlada del servicio ML + RBAC.</x:v>
      </x:c>
      <x:c r="AK28" s="317" t="str">
        <x:v>Prediction views + predict/predictions + ml-client + machine-learning/app/train.py</x:v>
      </x:c>
      <x:c r="AL28" s="317" t="str">
        <x:v>PredictionView; ProfessorPredictionView; StudentPredictionView; PredictionHistoryView | predict.controller.ts; predictions.controller.ts; profesor.controller.ts; estudiante.controller.ts; services/ml-client.ts | Prediction; MlFeatureDef; MlModelo; MlMetrica; Student; Grade; Attendance; LmsEvent</x:v>
      </x:c>
      <x:c r="AM28" s="317" t="str">
        <x:v>ML_SERVICE_URL caído; feature mismatch; modelo incompatible; timeout; predicción no persiste; historial ajeno.</x:v>
      </x:c>
      <x:c r="AN28" s="317" t="str">
        <x:v>Revisar vistas → predict/predictions/profesor/estudiante → ml-client → FastAPI/model artifact → Prediction/Ml*.</x:v>
      </x:c>
      <x:c r="AO28" s="317" t="str">
        <x:v>Contrato API-ML; modelo no disponible; persistencia; historial; scope; estudiante propio; métricas autorizadas.</x:v>
      </x:c>
      <x:c r="AP28" s="317" t="str">
        <x:v>Deshabilitar inferencia y mostrar 'Sin predicción' ante incompatibilidad; volver a artefacto/modelo compatible.</x:v>
      </x:c>
      <x:c r="AQ28" s="317" t="str">
        <x:v>Variable intermedia + variable dependiente</x:v>
      </x:c>
      <x:c r="AR28" s="317" t="str">
        <x:v>Integración/explicabilidad predictiva + permanencia e identificación temprana</x:v>
      </x:c>
      <x:c r="AS28" s="317" t="str">
        <x:v>Probabilidad estimada, nivel de riesgo, factores, fecha/modelo y detección temprana</x:v>
      </x:c>
      <x:c r="AT28" s="317" t="str">
        <x:v>P12 / Anexo 07 (requisito RF-023)</x:v>
      </x:c>
      <x:c r="AU28" s="317" t="str">
        <x:v>Vercel → Railway backend → FastAPI ML independiente; ML_SERVICE_URL.</x:v>
      </x:c>
      <x:c r="AV28" s="317" t="str">
        <x:v>ISO 9001 → ISO/IEC 25010 → P12 → Recibir inferencia → RF-023 → PredictionView; ProfessorPredictionView; StudentPredictionView; PredictionHistoryView → POST /predict; GET /predictions; /profesor/predicciones; /profesor/historial-predicciones; /estudiante/prediccion; /ml/metrics → Prediction; MlFeatureDef; MlModelo; MlMetrica; Student; Grade; Attendance; LmsEvent → prueba/evidencia</x:v>
      </x:c>
      <x:c r="AW28" s="318" t="str">
        <x:v>APUNTES · ANEXO07 · TESIS · GITHUB(dataset-definitivo-2026) · VERCEL(ref. evidencia)</x:v>
      </x:c>
    </x:row>
    <x:row r="29" ht="92" customHeight="1">
      <x:c r="A29" s="330" t="str">
        <x:v>RF-024</x:v>
      </x:c>
      <x:c r="B29" s="331" t="str">
        <x:v>RF</x:v>
      </x:c>
      <x:c r="C29" s="323" t="str">
        <x:v>Predicción e IA</x:v>
      </x:c>
      <x:c r="D29" s="317" t="str">
        <x:v>6.1 riesgos; 8.1 control operacional; 9.1 análisis/evaluación; 7.5 trazabilidad de resultados.</x:v>
      </x:c>
      <x:c r="E29" s="317" t="str">
        <x:v>MP03 Analítica predictiva</x:v>
      </x:c>
      <x:c r="F29" s="317" t="str">
        <x:v>P12</x:v>
      </x:c>
      <x:c r="G29" s="317" t="str">
        <x:v>Persistir predicción</x:v>
      </x:c>
      <x:c r="H29" s="317" t="str">
        <x:v>El sistema debe persistir cada predicción con fecha y trazabilidad.</x:v>
      </x:c>
      <x:c r="I29" s="317" t="str">
        <x:v>Convierte los datos y el modelo ML en una inferencia utilizable y trazable dentro del sistema web.</x:v>
      </x:c>
      <x:c r="J29" s="317" t="str">
        <x:v>Estudiante autorizado + características construibles + modelo compatible</x:v>
      </x:c>
      <x:c r="K29" s="317" t="str">
        <x:v>No inventar inferencia; si ML no está disponible mostrar estado controlado; conservar fecha/modelo/features/factores.</x:v>
      </x:c>
      <x:c r="L29" s="317" t="str">
        <x:v>Probabilidad, nivel, factores/recomendación y registro trazable</x:v>
      </x:c>
      <x:c r="M29" s="334" t="str">
        <x:v>Consulta</x:v>
      </x:c>
      <x:c r="N29" s="334" t="str">
        <x:v>Consulta scope</x:v>
      </x:c>
      <x:c r="O29" s="334" t="str">
        <x:v>Consulta propia</x:v>
      </x:c>
      <x:c r="P29" s="317" t="str">
        <x:v>PredictionView; ProfessorPredictionView; StudentPredictionView; PredictionHistoryView</x:v>
      </x:c>
      <x:c r="Q29" s="317" t="str">
        <x:v>POST /predict; GET /predictions; /profesor/predicciones; /profesor/historial-predicciones; /estudiante/prediccion; /ml/metrics</x:v>
      </x:c>
      <x:c r="R29" s="317" t="str">
        <x:v>predict.controller.ts; predictions.controller.ts; profesor.controller.ts; estudiante.controller.ts; services/ml-client.ts</x:v>
      </x:c>
      <x:c r="S29" s="317" t="str">
        <x:v>Prediction; MlFeatureDef; MlModelo; MlMetrica; Student; Grade; Attendance; LmsEvent</x:v>
      </x:c>
      <x:c r="T29" s="317" t="str">
        <x:v>Next.js/React + Express + Prisma/MySQL + ML client + Python/FastAPI + modelo Ensemble</x:v>
      </x:c>
      <x:c r="U29" s="317" t="str">
        <x:v>Next.js Predicción → Express → feature builder → ML_SERVICE_URL → FastAPI/modelo → Express → Prisma/MySQL</x:v>
      </x:c>
      <x:c r="V29" s="317" t="str">
        <x:v>Relaciona con IA/ML</x:v>
      </x:c>
      <x:c r="W29" s="317" t="str">
        <x:v>Seed solo verifica flujo. Entrenamiento/métricas científicas requieren dataset institucional real autorizado.</x:v>
      </x:c>
      <x:c r="X29" s="317" t="str">
        <x:v>D — cumple requisito, validación, regla y salida esperada</x:v>
      </x:c>
      <x:c r="Y29" s="317" t="str">
        <x:v>D — medir tiempo/recursos en QA y registrar umbral</x:v>
      </x:c>
      <x:c r="Z29" s="317" t="str">
        <x:v>D — contrato entre UI/API/BD/ML debe ser compatible</x:v>
      </x:c>
      <x:c r="AA29" s="317" t="str">
        <x:v>D — navegación/formulario/mensaje comprensible por rol</x:v>
      </x:c>
      <x:c r="AB29" s="317" t="str">
        <x:v>D — manejo de error, persistencia y recuperación verificables</x:v>
      </x:c>
      <x:c r="AC29" s="317" t="str">
        <x:v>D — RBAC/privacidad/integridad/secretos aplican directamente</x:v>
      </x:c>
      <x:c r="AD29" s="317" t="str">
        <x:v>D — módulo/capa localizable, testeable y analizable por Sonar</x:v>
      </x:c>
      <x:c r="AE29" s="317" t="str">
        <x:v>S — depende de env, Docker y despliegue estandarizado</x:v>
      </x:c>
      <x:c r="AF29" s="317" t="str">
        <x:v>Integración API–ML + caja negra + seguridad + regresión; asociar RF → caso → evidencia dentro de la matriz de 86 casos.</x:v>
      </x:c>
      <x:c r="AG29" s="317" t="str">
        <x:v>Integración API–ML + caja negra + seguridad + regresión</x:v>
      </x:c>
      <x:c r="AH29" s="317" t="str">
        <x:v>Dado un usuario/contexto válido, cuando ejecuta la función con datos válidos, entonces completa la operación respetando permisos, validaciones y persistencia; errores deben ser controlados.</x:v>
      </x:c>
      <x:c r="AI29" s="317" t="str">
        <x:v>GitHub/código + respuesta UI/API + persistencia/log; Sonar/QA según riesgo. https://taller1-frontend.vercel.app</x:v>
      </x:c>
      <x:c r="AJ29" s="317" t="str">
        <x:v>Confidencialidad del estudiante + integridad de inferencia + disponibilidad controlada del servicio ML + RBAC.</x:v>
      </x:c>
      <x:c r="AK29" s="317" t="str">
        <x:v>Prediction views + predict/predictions + ml-client + machine-learning/app/train.py</x:v>
      </x:c>
      <x:c r="AL29" s="317" t="str">
        <x:v>PredictionView; ProfessorPredictionView; StudentPredictionView; PredictionHistoryView | predict.controller.ts; predictions.controller.ts; profesor.controller.ts; estudiante.controller.ts; services/ml-client.ts | Prediction; MlFeatureDef; MlModelo; MlMetrica; Student; Grade; Attendance; LmsEvent</x:v>
      </x:c>
      <x:c r="AM29" s="317" t="str">
        <x:v>ML_SERVICE_URL caído; feature mismatch; modelo incompatible; timeout; predicción no persiste; historial ajeno.</x:v>
      </x:c>
      <x:c r="AN29" s="317" t="str">
        <x:v>Revisar vistas → predict/predictions/profesor/estudiante → ml-client → FastAPI/model artifact → Prediction/Ml*.</x:v>
      </x:c>
      <x:c r="AO29" s="317" t="str">
        <x:v>Contrato API-ML; modelo no disponible; persistencia; historial; scope; estudiante propio; métricas autorizadas.</x:v>
      </x:c>
      <x:c r="AP29" s="317" t="str">
        <x:v>Deshabilitar inferencia y mostrar 'Sin predicción' ante incompatibilidad; volver a artefacto/modelo compatible.</x:v>
      </x:c>
      <x:c r="AQ29" s="317" t="str">
        <x:v>Variable intermedia + variable dependiente</x:v>
      </x:c>
      <x:c r="AR29" s="317" t="str">
        <x:v>Integración/explicabilidad predictiva + permanencia e identificación temprana</x:v>
      </x:c>
      <x:c r="AS29" s="317" t="str">
        <x:v>Probabilidad estimada, nivel de riesgo, factores, fecha/modelo y detección temprana</x:v>
      </x:c>
      <x:c r="AT29" s="317" t="str">
        <x:v>P12 / Anexo 07 (requisito RF-024)</x:v>
      </x:c>
      <x:c r="AU29" s="317" t="str">
        <x:v>Vercel → Railway backend → FastAPI ML independiente; ML_SERVICE_URL.</x:v>
      </x:c>
      <x:c r="AV29" s="317" t="str">
        <x:v>ISO 9001 → ISO/IEC 25010 → P12 → Persistir predicción → RF-024 → PredictionView; ProfessorPredictionView; StudentPredictionView; PredictionHistoryView → POST /predict; GET /predictions; /profesor/predicciones; /profesor/historial-predicciones; /estudiante/prediccion; /ml/metrics → Prediction; MlFeatureDef; MlModelo; MlMetrica; Student; Grade; Attendance; LmsEvent → prueba/evidencia</x:v>
      </x:c>
      <x:c r="AW29" s="318" t="str">
        <x:v>APUNTES · ANEXO07 · TESIS · GITHUB(dataset-definitivo-2026) · VERCEL(ref. evidencia)</x:v>
      </x:c>
    </x:row>
    <x:row r="30" ht="92" customHeight="1">
      <x:c r="A30" s="330" t="str">
        <x:v>RF-025</x:v>
      </x:c>
      <x:c r="B30" s="331" t="str">
        <x:v>RF</x:v>
      </x:c>
      <x:c r="C30" s="323" t="str">
        <x:v>Predicción e IA</x:v>
      </x:c>
      <x:c r="D30" s="317" t="str">
        <x:v>6.1 riesgos; 8.1 control operacional; 9.1 análisis/evaluación; 7.5 trazabilidad de resultados.</x:v>
      </x:c>
      <x:c r="E30" s="317" t="str">
        <x:v>MP03 Analítica predictiva</x:v>
      </x:c>
      <x:c r="F30" s="317" t="str">
        <x:v>P12</x:v>
      </x:c>
      <x:c r="G30" s="317" t="str">
        <x:v>Consultar historial</x:v>
      </x:c>
      <x:c r="H30" s="317" t="str">
        <x:v>Director y Profesor deben consultar historial según permisos.</x:v>
      </x:c>
      <x:c r="I30" s="317" t="str">
        <x:v>Convierte los datos y el modelo ML en una inferencia utilizable y trazable dentro del sistema web.</x:v>
      </x:c>
      <x:c r="J30" s="317" t="str">
        <x:v>Estudiante autorizado + características construibles + modelo compatible</x:v>
      </x:c>
      <x:c r="K30" s="317" t="str">
        <x:v>No inventar inferencia; si ML no está disponible mostrar estado controlado; conservar fecha/modelo/features/factores.</x:v>
      </x:c>
      <x:c r="L30" s="317" t="str">
        <x:v>Probabilidad, nivel, factores/recomendación y registro trazable</x:v>
      </x:c>
      <x:c r="M30" s="334" t="str">
        <x:v>Consulta global</x:v>
      </x:c>
      <x:c r="N30" s="334" t="str">
        <x:v>Consulta scope</x:v>
      </x:c>
      <x:c r="O30" s="334" t="str">
        <x:v>Sin historial global</x:v>
      </x:c>
      <x:c r="P30" s="317" t="str">
        <x:v>PredictionView; ProfessorPredictionView; StudentPredictionView; PredictionHistoryView</x:v>
      </x:c>
      <x:c r="Q30" s="317" t="str">
        <x:v>POST /predict; GET /predictions; /profesor/predicciones; /profesor/historial-predicciones; /estudiante/prediccion; /ml/metrics</x:v>
      </x:c>
      <x:c r="R30" s="317" t="str">
        <x:v>predict.controller.ts; predictions.controller.ts; profesor.controller.ts; estudiante.controller.ts; services/ml-client.ts</x:v>
      </x:c>
      <x:c r="S30" s="317" t="str">
        <x:v>Prediction; MlFeatureDef; MlModelo; MlMetrica; Student; Grade; Attendance; LmsEvent</x:v>
      </x:c>
      <x:c r="T30" s="317" t="str">
        <x:v>Next.js/React + Express + Prisma/MySQL + ML client + Python/FastAPI + modelo Ensemble</x:v>
      </x:c>
      <x:c r="U30" s="317" t="str">
        <x:v>Next.js Predicción → Express → feature builder → ML_SERVICE_URL → FastAPI/modelo → Express → Prisma/MySQL</x:v>
      </x:c>
      <x:c r="V30" s="317" t="str">
        <x:v>Relaciona con IA/ML</x:v>
      </x:c>
      <x:c r="W30" s="317" t="str">
        <x:v>Seed solo verifica flujo. Entrenamiento/métricas científicas requieren dataset institucional real autorizado.</x:v>
      </x:c>
      <x:c r="X30" s="317" t="str">
        <x:v>D — cumple requisito, validación, regla y salida esperada</x:v>
      </x:c>
      <x:c r="Y30" s="317" t="str">
        <x:v>D — medir tiempo/recursos en QA y registrar umbral</x:v>
      </x:c>
      <x:c r="Z30" s="317" t="str">
        <x:v>D — contrato entre UI/API/BD/ML debe ser compatible</x:v>
      </x:c>
      <x:c r="AA30" s="317" t="str">
        <x:v>D — navegación/formulario/mensaje comprensible por rol</x:v>
      </x:c>
      <x:c r="AB30" s="317" t="str">
        <x:v>D — manejo de error, persistencia y recuperación verificables</x:v>
      </x:c>
      <x:c r="AC30" s="317" t="str">
        <x:v>D — RBAC/privacidad/integridad/secretos aplican directamente</x:v>
      </x:c>
      <x:c r="AD30" s="317" t="str">
        <x:v>D — módulo/capa localizable, testeable y analizable por Sonar</x:v>
      </x:c>
      <x:c r="AE30" s="317" t="str">
        <x:v>S — depende de env, Docker y despliegue estandarizado</x:v>
      </x:c>
      <x:c r="AF30" s="317" t="str">
        <x:v>Integración API–ML + caja negra + seguridad + regresión; asociar RF → caso → evidencia dentro de la matriz de 86 casos.</x:v>
      </x:c>
      <x:c r="AG30" s="317" t="str">
        <x:v>Integración API–ML + caja negra + seguridad + regresión</x:v>
      </x:c>
      <x:c r="AH30" s="317" t="str">
        <x:v>Dado un usuario/contexto válido, cuando ejecuta la función con datos válidos, entonces completa la operación respetando permisos, validaciones y persistencia; errores deben ser controlados.</x:v>
      </x:c>
      <x:c r="AI30" s="317" t="str">
        <x:v>GitHub/código + respuesta UI/API + persistencia/log; Sonar/QA según riesgo. https://taller1-frontend.vercel.app</x:v>
      </x:c>
      <x:c r="AJ30" s="317" t="str">
        <x:v>Confidencialidad del estudiante + integridad de inferencia + disponibilidad controlada del servicio ML + RBAC.</x:v>
      </x:c>
      <x:c r="AK30" s="317" t="str">
        <x:v>Prediction views + predict/predictions + ml-client + machine-learning/app/train.py</x:v>
      </x:c>
      <x:c r="AL30" s="317" t="str">
        <x:v>PredictionView; ProfessorPredictionView; StudentPredictionView; PredictionHistoryView | predict.controller.ts; predictions.controller.ts; profesor.controller.ts; estudiante.controller.ts; services/ml-client.ts | Prediction; MlFeatureDef; MlModelo; MlMetrica; Student; Grade; Attendance; LmsEvent</x:v>
      </x:c>
      <x:c r="AM30" s="317" t="str">
        <x:v>ML_SERVICE_URL caído; feature mismatch; modelo incompatible; timeout; predicción no persiste; historial ajeno.</x:v>
      </x:c>
      <x:c r="AN30" s="317" t="str">
        <x:v>Revisar vistas → predict/predictions/profesor/estudiante → ml-client → FastAPI/model artifact → Prediction/Ml*.</x:v>
      </x:c>
      <x:c r="AO30" s="317" t="str">
        <x:v>Contrato API-ML; modelo no disponible; persistencia; historial; scope; estudiante propio; métricas autorizadas.</x:v>
      </x:c>
      <x:c r="AP30" s="317" t="str">
        <x:v>Deshabilitar inferencia y mostrar 'Sin predicción' ante incompatibilidad; volver a artefacto/modelo compatible.</x:v>
      </x:c>
      <x:c r="AQ30" s="317" t="str">
        <x:v>Variable intermedia + variable dependiente</x:v>
      </x:c>
      <x:c r="AR30" s="317" t="str">
        <x:v>Integración/explicabilidad predictiva + permanencia e identificación temprana</x:v>
      </x:c>
      <x:c r="AS30" s="317" t="str">
        <x:v>Probabilidad estimada, nivel de riesgo, factores, fecha/modelo y detección temprana</x:v>
      </x:c>
      <x:c r="AT30" s="317" t="str">
        <x:v>P12 / Anexo 07 (requisito RF-025)</x:v>
      </x:c>
      <x:c r="AU30" s="317" t="str">
        <x:v>Vercel → Railway backend → FastAPI ML independiente; ML_SERVICE_URL.</x:v>
      </x:c>
      <x:c r="AV30" s="317" t="str">
        <x:v>ISO 9001 → ISO/IEC 25010 → P12 → Consultar historial → RF-025 → PredictionView; ProfessorPredictionView; StudentPredictionView; PredictionHistoryView → POST /predict; GET /predictions; /profesor/predicciones; /profesor/historial-predicciones; /estudiante/prediccion; /ml/metrics → Prediction; MlFeatureDef; MlModelo; MlMetrica; Student; Grade; Attendance; LmsEvent → prueba/evidencia</x:v>
      </x:c>
      <x:c r="AW30" s="318" t="str">
        <x:v>APUNTES · ANEXO07 · TESIS · GITHUB(dataset-definitivo-2026) · VERCEL(ref. evidencia)</x:v>
      </x:c>
    </x:row>
    <x:row r="31" ht="92" customHeight="1">
      <x:c r="A31" s="330" t="str">
        <x:v>RF-026</x:v>
      </x:c>
      <x:c r="B31" s="331" t="str">
        <x:v>RF</x:v>
      </x:c>
      <x:c r="C31" s="323" t="str">
        <x:v>Predicción e IA</x:v>
      </x:c>
      <x:c r="D31" s="317" t="str">
        <x:v>6.1 riesgos; 8.1 control operacional; 9.1 análisis/evaluación; 7.5 trazabilidad de resultados.</x:v>
      </x:c>
      <x:c r="E31" s="317" t="str">
        <x:v>MP03 Analítica predictiva</x:v>
      </x:c>
      <x:c r="F31" s="317" t="str">
        <x:v>P12</x:v>
      </x:c>
      <x:c r="G31" s="317" t="str">
        <x:v>Consultar predicción personal</x:v>
      </x:c>
      <x:c r="H31" s="317" t="str">
        <x:v>El Estudiante debe consultar su predicción personal.</x:v>
      </x:c>
      <x:c r="I31" s="317" t="str">
        <x:v>Convierte los datos y el modelo ML en una inferencia utilizable y trazable dentro del sistema web.</x:v>
      </x:c>
      <x:c r="J31" s="317" t="str">
        <x:v>Estudiante autorizado + características construibles + modelo compatible</x:v>
      </x:c>
      <x:c r="K31" s="317" t="str">
        <x:v>No inventar inferencia; si ML no está disponible mostrar estado controlado; conservar fecha/modelo/features/factores.</x:v>
      </x:c>
      <x:c r="L31" s="317" t="str">
        <x:v>Probabilidad, nivel, factores/recomendación y registro trazable</x:v>
      </x:c>
      <x:c r="M31" s="334" t="str">
        <x:v>Supervisa</x:v>
      </x:c>
      <x:c r="N31" s="334" t="str">
        <x:v>No aplica directo</x:v>
      </x:c>
      <x:c r="O31" s="334" t="str">
        <x:v>Consulta propia</x:v>
      </x:c>
      <x:c r="P31" s="317" t="str">
        <x:v>PredictionView; ProfessorPredictionView; StudentPredictionView; PredictionHistoryView</x:v>
      </x:c>
      <x:c r="Q31" s="317" t="str">
        <x:v>POST /predict; GET /predictions; /profesor/predicciones; /profesor/historial-predicciones; /estudiante/prediccion; /ml/metrics</x:v>
      </x:c>
      <x:c r="R31" s="317" t="str">
        <x:v>predict.controller.ts; predictions.controller.ts; profesor.controller.ts; estudiante.controller.ts; services/ml-client.ts</x:v>
      </x:c>
      <x:c r="S31" s="317" t="str">
        <x:v>Prediction; MlFeatureDef; MlModelo; MlMetrica; Student; Grade; Attendance; LmsEvent</x:v>
      </x:c>
      <x:c r="T31" s="317" t="str">
        <x:v>Next.js/React + Express + Prisma/MySQL + ML client + Python/FastAPI + modelo Ensemble</x:v>
      </x:c>
      <x:c r="U31" s="317" t="str">
        <x:v>Next.js Predicción → Express → feature builder → ML_SERVICE_URL → FastAPI/modelo → Express → Prisma/MySQL</x:v>
      </x:c>
      <x:c r="V31" s="317" t="str">
        <x:v>Relaciona con IA/ML</x:v>
      </x:c>
      <x:c r="W31" s="317" t="str">
        <x:v>Seed solo verifica flujo. Entrenamiento/métricas científicas requieren dataset institucional real autorizado.</x:v>
      </x:c>
      <x:c r="X31" s="317" t="str">
        <x:v>D — cumple requisito, validación, regla y salida esperada</x:v>
      </x:c>
      <x:c r="Y31" s="317" t="str">
        <x:v>D — medir tiempo/recursos en QA y registrar umbral</x:v>
      </x:c>
      <x:c r="Z31" s="317" t="str">
        <x:v>D — contrato entre UI/API/BD/ML debe ser compatible</x:v>
      </x:c>
      <x:c r="AA31" s="317" t="str">
        <x:v>D — navegación/formulario/mensaje comprensible por rol</x:v>
      </x:c>
      <x:c r="AB31" s="317" t="str">
        <x:v>D — manejo de error, persistencia y recuperación verificables</x:v>
      </x:c>
      <x:c r="AC31" s="317" t="str">
        <x:v>D — RBAC/privacidad/integridad/secretos aplican directamente</x:v>
      </x:c>
      <x:c r="AD31" s="317" t="str">
        <x:v>D — módulo/capa localizable, testeable y analizable por Sonar</x:v>
      </x:c>
      <x:c r="AE31" s="317" t="str">
        <x:v>S — depende de env, Docker y despliegue estandarizado</x:v>
      </x:c>
      <x:c r="AF31" s="317" t="str">
        <x:v>Integración API–ML + caja negra + seguridad + regresión; asociar RF → caso → evidencia dentro de la matriz de 86 casos.</x:v>
      </x:c>
      <x:c r="AG31" s="317" t="str">
        <x:v>Integración API–ML + caja negra + seguridad + regresión</x:v>
      </x:c>
      <x:c r="AH31" s="317" t="str">
        <x:v>Dado un usuario/contexto válido, cuando ejecuta la función con datos válidos, entonces completa la operación respetando permisos, validaciones y persistencia; errores deben ser controlados.</x:v>
      </x:c>
      <x:c r="AI31" s="317" t="str">
        <x:v>GitHub/código + respuesta UI/API + persistencia/log; Sonar/QA según riesgo. https://taller1-frontend.vercel.app</x:v>
      </x:c>
      <x:c r="AJ31" s="317" t="str">
        <x:v>Confidencialidad del estudiante + integridad de inferencia + disponibilidad controlada del servicio ML + RBAC.</x:v>
      </x:c>
      <x:c r="AK31" s="317" t="str">
        <x:v>Prediction views + predict/predictions + ml-client + machine-learning/app/train.py</x:v>
      </x:c>
      <x:c r="AL31" s="317" t="str">
        <x:v>PredictionView; ProfessorPredictionView; StudentPredictionView; PredictionHistoryView | predict.controller.ts; predictions.controller.ts; profesor.controller.ts; estudiante.controller.ts; services/ml-client.ts | Prediction; MlFeatureDef; MlModelo; MlMetrica; Student; Grade; Attendance; LmsEvent</x:v>
      </x:c>
      <x:c r="AM31" s="317" t="str">
        <x:v>ML_SERVICE_URL caído; feature mismatch; modelo incompatible; timeout; predicción no persiste; historial ajeno.</x:v>
      </x:c>
      <x:c r="AN31" s="317" t="str">
        <x:v>Revisar vistas → predict/predictions/profesor/estudiante → ml-client → FastAPI/model artifact → Prediction/Ml*.</x:v>
      </x:c>
      <x:c r="AO31" s="317" t="str">
        <x:v>Contrato API-ML; modelo no disponible; persistencia; historial; scope; estudiante propio; métricas autorizadas.</x:v>
      </x:c>
      <x:c r="AP31" s="317" t="str">
        <x:v>Deshabilitar inferencia y mostrar 'Sin predicción' ante incompatibilidad; volver a artefacto/modelo compatible.</x:v>
      </x:c>
      <x:c r="AQ31" s="317" t="str">
        <x:v>Variable intermedia + variable dependiente</x:v>
      </x:c>
      <x:c r="AR31" s="317" t="str">
        <x:v>Integración/explicabilidad predictiva + permanencia e identificación temprana</x:v>
      </x:c>
      <x:c r="AS31" s="317" t="str">
        <x:v>Probabilidad estimada, nivel de riesgo, factores, fecha/modelo y detección temprana</x:v>
      </x:c>
      <x:c r="AT31" s="317" t="str">
        <x:v>P12 / Anexo 07 (requisito RF-026)</x:v>
      </x:c>
      <x:c r="AU31" s="317" t="str">
        <x:v>Vercel → Railway backend → FastAPI ML independiente; ML_SERVICE_URL.</x:v>
      </x:c>
      <x:c r="AV31" s="317" t="str">
        <x:v>ISO 9001 → ISO/IEC 25010 → P12 → Consultar predicción personal → RF-026 → PredictionView; ProfessorPredictionView; StudentPredictionView; PredictionHistoryView → POST /predict; GET /predictions; /profesor/predicciones; /profesor/historial-predicciones; /estudiante/prediccion; /ml/metrics → Prediction; MlFeatureDef; MlModelo; MlMetrica; Student; Grade; Attendance; LmsEvent → prueba/evidencia</x:v>
      </x:c>
      <x:c r="AW31" s="318" t="str">
        <x:v>APUNTES · ANEXO07 · TESIS · GITHUB(dataset-definitivo-2026) · VERCEL(ref. evidencia)</x:v>
      </x:c>
    </x:row>
    <x:row r="32" ht="92" customHeight="1">
      <x:c r="A32" s="330" t="str">
        <x:v>RF-027</x:v>
      </x:c>
      <x:c r="B32" s="331" t="str">
        <x:v>RF</x:v>
      </x:c>
      <x:c r="C32" s="323" t="str">
        <x:v>Predicción e IA</x:v>
      </x:c>
      <x:c r="D32" s="317" t="str">
        <x:v>9.1 seguimiento, medición, análisis y evaluación; 10.3 mejora.</x:v>
      </x:c>
      <x:c r="E32" s="317" t="str">
        <x:v>MP03 Analítica predictiva</x:v>
      </x:c>
      <x:c r="F32" s="317" t="str">
        <x:v>P11</x:v>
      </x:c>
      <x:c r="G32" s="317" t="str">
        <x:v>Consultar métricas ML</x:v>
      </x:c>
      <x:c r="H32" s="317" t="str">
        <x:v>El sistema debe exponer métricas del servicio ML solo a roles autorizados.</x:v>
      </x:c>
      <x:c r="I32" s="317" t="str">
        <x:v>Demuestra científicamente el desempeño, generalización e interpretabilidad del modelo mediante métricas válidas.</x:v>
      </x:c>
      <x:c r="J32" s="317" t="str">
        <x:v>Modelo entrenado + conjunto de evaluación real</x:v>
      </x:c>
      <x:c r="K32" s="317" t="str">
        <x:v>No declarar modelo ganador ni métricas definitivas sin dataset real autorizado y protocolo de validación.</x:v>
      </x:c>
      <x:c r="L32" s="317" t="str">
        <x:v>Métricas, matriz de confusión e interpretación</x:v>
      </x:c>
      <x:c r="M32" s="334" t="str">
        <x:v>Consulta</x:v>
      </x:c>
      <x:c r="N32" s="334" t="str">
        <x:v>Consulta</x:v>
      </x:c>
      <x:c r="O32" s="334" t="str">
        <x:v>No</x:v>
      </x:c>
      <x:c r="P32" s="317" t="str">
        <x:v>Métricas/reportes cuando existan resultados científicos válidos</x:v>
      </x:c>
      <x:c r="Q32" s="317" t="str">
        <x:v>/ml/metrics + pipeline de evaluación</x:v>
      </x:c>
      <x:c r="R32" s="317" t="str">
        <x:v>machine-learning evaluación + services/ml-client.ts</x:v>
      </x:c>
      <x:c r="S32" s="317" t="str">
        <x:v>MlMetrica; MlModelo; MlEntrenamiento</x:v>
      </x:c>
      <x:c r="T32" s="317" t="str">
        <x:v>Python + scikit-learn/XGBoost + métricas + interpretabilidad + registro MlMetrica</x:v>
      </x:c>
      <x:c r="U32" s="317" t="str">
        <x:v>Modelo + conjunto evaluación → métricas/interpretabilidad → registro → consulta autorizada</x:v>
      </x:c>
      <x:c r="V32" s="317" t="str">
        <x:v>Relaciona con IA/ML</x:v>
      </x:c>
      <x:c r="W32" s="317" t="str">
        <x:v>No usar seed funcional para estas métricas.</x:v>
      </x:c>
      <x:c r="X32" s="317" t="str">
        <x:v>D — cumple requisito, validación, regla y salida esperada</x:v>
      </x:c>
      <x:c r="Y32" s="317" t="str">
        <x:v>D — medir tiempo/recursos en QA y registrar umbral</x:v>
      </x:c>
      <x:c r="Z32" s="317" t="str">
        <x:v>S — compatibilidad interna de datos/tipos</x:v>
      </x:c>
      <x:c r="AA32" s="317" t="str">
        <x:v>S — evidencia técnica consumida por UI/operación</x:v>
      </x:c>
      <x:c r="AB32" s="317" t="str">
        <x:v>D — manejo de error, persistencia y recuperación verificables</x:v>
      </x:c>
      <x:c r="AC32" s="317" t="str">
        <x:v>S — control de acceso y mínimo privilegio</x:v>
      </x:c>
      <x:c r="AD32" s="317" t="str">
        <x:v>S — versionado/documentación y separación de responsabilidades</x:v>
      </x:c>
      <x:c r="AE32" s="317" t="str">
        <x:v>S — depende de env, Docker y despliegue estandarizado</x:v>
      </x:c>
      <x:c r="AF32" s="317" t="str">
        <x:v>Validación científica + revisión estática + reproducibilidad; asociar RF → caso → evidencia dentro de la matriz de 86 casos.</x:v>
      </x:c>
      <x:c r="AG32" s="317" t="str">
        <x:v>Validación científica + revisión estática + reproducibilidad</x:v>
      </x:c>
      <x:c r="AH32" s="317" t="str">
        <x:v>Dado un usuario/contexto válido, cuando ejecuta la función con datos válidos, entonces completa la operación respetando permisos, validaciones y persistencia; errores deben ser controlados.</x:v>
      </x:c>
      <x:c r="AI32" s="317" t="str">
        <x:v>GitHub/código + respuesta UI/API + persistencia/log; Sonar/QA según riesgo. https://taller1-frontend.vercel.app</x:v>
      </x:c>
      <x:c r="AJ32" s="317" t="str">
        <x:v>Acceso autorizado a resultados; integridad de métricas y artefactos.</x:v>
      </x:c>
      <x:c r="AK32" s="317" t="str">
        <x:v>machine-learning + ml-client; evidencias científicas fuera de métricas demo.</x:v>
      </x:c>
      <x:c r="AL32" s="317" t="str">
        <x:v>Métricas/reportes cuando existan resultados científicos válidos | machine-learning evaluación + services/ml-client.ts | MlMetrica; MlModelo; MlEntrenamiento</x:v>
      </x:c>
      <x:c r="AM32" s="317" t="str">
        <x:v>Métrica calculada sobre demo; leakage; umbral no documentado; comparación no reproducible.</x:v>
      </x:c>
      <x:c r="AN32" s="317" t="str">
        <x:v>Revisar protocolo → partición/validación → cálculo → interpretación → persistencia y reporte.</x:v>
      </x:c>
      <x:c r="AO32" s="317" t="str">
        <x:v>Accuracy/Precision/Recall/F1/AUC según diseño; generalización; estabilidad; explicación.</x:v>
      </x:c>
      <x:c r="AP32" s="317" t="str">
        <x:v>Invalidar/retirar reporte científico incorrecto; conservar versiones y recalcular.</x:v>
      </x:c>
      <x:c r="AQ32" s="317" t="str">
        <x:v>Variable independiente — Modelo predictivo</x:v>
      </x:c>
      <x:c r="AR32" s="317" t="str">
        <x:v>Evaluación, validación e interpretabilidad</x:v>
      </x:c>
      <x:c r="AS32" s="317" t="str">
        <x:v>Accuracy, Precision, Recall, F1, AUC-ROC, generalización, importancia/explicación</x:v>
      </x:c>
      <x:c r="AT32" s="317" t="str">
        <x:v>P11 / Anexo 07 (requisito RF-027)</x:v>
      </x:c>
      <x:c r="AU32" s="317" t="str">
        <x:v>Consulta por backend solo cuando el servicio/artefacto válido exista.</x:v>
      </x:c>
      <x:c r="AV32" s="317" t="str">
        <x:v>ISO 9001 → ISO/IEC 25010 → P11 → Consultar métricas ML → RF-027 → Métricas/reportes cuando existan resultados científicos válidos → /ml/metrics + pipeline de evaluación → MlMetrica; MlModelo; MlEntrenamiento → prueba/evidencia</x:v>
      </x:c>
      <x:c r="AW32" s="318" t="str">
        <x:v>APUNTES · ANEXO07 · TESIS · GITHUB(dataset-definitivo-2026)</x:v>
      </x:c>
    </x:row>
    <x:row r="33" ht="92" customHeight="1">
      <x:c r="A33" s="330" t="str">
        <x:v>RF-028</x:v>
      </x:c>
      <x:c r="B33" s="331" t="str">
        <x:v>RF</x:v>
      </x:c>
      <x:c r="C33" s="323" t="str">
        <x:v>Alertas y seguimiento</x:v>
      </x:c>
      <x:c r="D33" s="317" t="str">
        <x:v>9.1 seguimiento; 10.2 no conformidad/acción correctiva; 10.3 mejora.</x:v>
      </x:c>
      <x:c r="E33" s="317" t="str">
        <x:v>MP04 Alerta y seguimiento</x:v>
      </x:c>
      <x:c r="F33" s="317" t="str">
        <x:v>P13</x:v>
      </x:c>
      <x:c r="G33" s="317" t="str">
        <x:v>Generar alerta</x:v>
      </x:c>
      <x:c r="H33" s="317" t="str">
        <x:v>El sistema debe generar alertas asociadas a estudiantes cuando el criterio configurado lo determine.</x:v>
      </x:c>
      <x:c r="I33" s="317" t="str">
        <x:v>Transforma reglas o inferencias válidas en seguimiento priorizado y trazable para apoyar intervención temprana.</x:v>
      </x:c>
      <x:c r="J33" s="317" t="str">
        <x:v>Predicción válida o regla operativa + estudiante</x:v>
      </x:c>
      <x:c r="K33" s="317" t="str">
        <x:v>Separar alerta operativa de ML; scope por rol; registrar cambios de estado y seguimiento.</x:v>
      </x:c>
      <x:c r="L33" s="317" t="str">
        <x:v>Alerta priorizada, estado e historial</x:v>
      </x:c>
      <x:c r="M33" s="334" t="str">
        <x:v>Gestiona</x:v>
      </x:c>
      <x:c r="N33" s="334" t="str">
        <x:v>Gestiona scope</x:v>
      </x:c>
      <x:c r="O33" s="334" t="str">
        <x:v>Consulta si corresponde</x:v>
      </x:c>
      <x:c r="P33" s="317" t="str">
        <x:v>AlertsView; ProfessorAlertsView</x:v>
      </x:c>
      <x:c r="Q33" s="317" t="str">
        <x:v>/alerts; /profesor/alertas; /estudiante/alertas; /recommendations/:id/apply</x:v>
      </x:c>
      <x:c r="R33" s="317" t="str">
        <x:v>alerts.controller.ts; profesor.controller.ts; estudiante.controller.ts; reports/recommendations</x:v>
      </x:c>
      <x:c r="S33" s="317" t="str">
        <x:v>Alert; AlertaHistorial; AiRecommendation; Notification; Prediction</x:v>
      </x:c>
      <x:c r="T33" s="317" t="str">
        <x:v>Next.js/React + Express + Prisma/MySQL + Notification/Recommendation</x:v>
      </x:c>
      <x:c r="U33" s="317" t="str">
        <x:v>Predicción/regla → Express alert logic → Prisma/MySQL → UI/notificación</x:v>
      </x:c>
      <x:c r="V33" s="317" t="str">
        <x:v>Relaciona con IA/ML</x:v>
      </x:c>
      <x:c r="W33" s="317" t="str">
        <x:v>Alertas demo son funcionales; no presentarlas como hallazgo científico.</x:v>
      </x:c>
      <x:c r="X33" s="317" t="str">
        <x:v>D — cumple requisito, validación, regla y salida esperada</x:v>
      </x:c>
      <x:c r="Y33" s="317" t="str">
        <x:v>S — operación debe mantenerse dentro de umbrales del entorno</x:v>
      </x:c>
      <x:c r="Z33" s="317" t="str">
        <x:v>D — contrato entre UI/API/BD/ML debe ser compatible</x:v>
      </x:c>
      <x:c r="AA33" s="317" t="str">
        <x:v>D — navegación/formulario/mensaje comprensible por rol</x:v>
      </x:c>
      <x:c r="AB33" s="317" t="str">
        <x:v>D — manejo de error, persistencia y recuperación verificables</x:v>
      </x:c>
      <x:c r="AC33" s="317" t="str">
        <x:v>S — control de acceso y mínimo privilegio</x:v>
      </x:c>
      <x:c r="AD33" s="317" t="str">
        <x:v>D — módulo/capa localizable, testeable y analizable por Sonar</x:v>
      </x:c>
      <x:c r="AE33" s="317" t="str">
        <x:v>S — depende de env, Docker y despliegue estandarizado</x:v>
      </x:c>
      <x:c r="AF33" s="317" t="str">
        <x:v>Funcional + regla + RBAC + regresión; asociar RF → caso → evidencia dentro de la matriz de 86 casos.</x:v>
      </x:c>
      <x:c r="AG33" s="317" t="str">
        <x:v>Funcional + regla + RBAC + regresión</x:v>
      </x:c>
      <x:c r="AH33" s="317" t="str">
        <x:v>Dado un usuario/contexto válido, cuando ejecuta la función con datos válidos, entonces completa la operación respetando permisos, validaciones y persistencia; errores deben ser controlados.</x:v>
      </x:c>
      <x:c r="AI33" s="317" t="str">
        <x:v>GitHub/código + respuesta UI/API + persistencia/log; Sonar/QA según riesgo. https://taller1-frontend.vercel.app</x:v>
      </x:c>
      <x:c r="AJ33" s="317" t="str">
        <x:v>Confidencialidad por scope + integridad del historial + trazabilidad de acciones.</x:v>
      </x:c>
      <x:c r="AK33" s="317" t="str">
        <x:v>Alerts views + alerts/profesor/estudiante controllers</x:v>
      </x:c>
      <x:c r="AL33" s="317" t="str">
        <x:v>AlertsView; ProfessorAlertsView | alerts.controller.ts; profesor.controller.ts; estudiante.controller.ts; reports/recommendations | Alert; AlertaHistorial; AiRecommendation; Notification; Prediction</x:v>
      </x:c>
      <x:c r="AM33" s="317" t="str">
        <x:v>Alerta ficticia; estudiante fuera de scope; cambio de estado no auditado; duplicidad.</x:v>
      </x:c>
      <x:c r="AN33" s="317" t="str">
        <x:v>Revisar regla de creación → alerts/profesor → Alert/AlertaHistorial → notificación → UI.</x:v>
      </x:c>
      <x:c r="AO33" s="317" t="str">
        <x:v>Creación; listado; scope; cambio de estado; historial; recomendación; ausencia de predicción.</x:v>
      </x:c>
      <x:c r="AP33" s="317" t="str">
        <x:v>Revertir estado con historial; no borrar evidencia; desactivar regla errónea y revisar predicción origen.</x:v>
      </x:c>
      <x:c r="AQ33" s="317" t="str">
        <x:v>Variable intermedia + dependiente</x:v>
      </x:c>
      <x:c r="AR33" s="317" t="str">
        <x:v>Visualización y alerta temprana + permanencia/identificación</x:v>
      </x:c>
      <x:c r="AS33" s="317" t="str">
        <x:v>Alertas, priorización, estado y seguimiento</x:v>
      </x:c>
      <x:c r="AT33" s="317" t="str">
        <x:v>P13 / Anexo 07 (requisito RF-028)</x:v>
      </x:c>
      <x:c r="AU33" s="317" t="str">
        <x:v>Vercel/Railway/MySQL</x:v>
      </x:c>
      <x:c r="AV33" s="317" t="str">
        <x:v>ISO 9001 → ISO/IEC 25010 → P13 → Generar alerta → RF-028 → AlertsView; ProfessorAlertsView → /alerts; /profesor/alertas; /estudiante/alertas; /recommendations/:id/apply → Alert; AlertaHistorial; AiRecommendation; Notification; Prediction → prueba/evidencia</x:v>
      </x:c>
      <x:c r="AW33" s="318" t="str">
        <x:v>APUNTES · ANEXO07 · TESIS · GITHUB(dataset-definitivo-2026) · VERCEL(ref. evidencia)</x:v>
      </x:c>
    </x:row>
    <x:row r="34" ht="92" customHeight="1">
      <x:c r="A34" s="330" t="str">
        <x:v>RF-029</x:v>
      </x:c>
      <x:c r="B34" s="331" t="str">
        <x:v>RF</x:v>
      </x:c>
      <x:c r="C34" s="323" t="str">
        <x:v>Alertas y seguimiento</x:v>
      </x:c>
      <x:c r="D34" s="317" t="str">
        <x:v>9.1 seguimiento; 10.2 no conformidad/acción correctiva; 10.3 mejora.</x:v>
      </x:c>
      <x:c r="E34" s="317" t="str">
        <x:v>MP04 Alerta y seguimiento</x:v>
      </x:c>
      <x:c r="F34" s="317" t="str">
        <x:v>P13</x:v>
      </x:c>
      <x:c r="G34" s="317" t="str">
        <x:v>Consultar alertas</x:v>
      </x:c>
      <x:c r="H34" s="317" t="str">
        <x:v>Director y Profesor deben consultar alertas dentro de su alcance.</x:v>
      </x:c>
      <x:c r="I34" s="317" t="str">
        <x:v>Transforma reglas o inferencias válidas en seguimiento priorizado y trazable para apoyar intervención temprana.</x:v>
      </x:c>
      <x:c r="J34" s="317" t="str">
        <x:v>Predicción válida o regla operativa + estudiante</x:v>
      </x:c>
      <x:c r="K34" s="317" t="str">
        <x:v>Separar alerta operativa de ML; scope por rol; registrar cambios de estado y seguimiento.</x:v>
      </x:c>
      <x:c r="L34" s="317" t="str">
        <x:v>Alerta priorizada, estado e historial</x:v>
      </x:c>
      <x:c r="M34" s="334" t="str">
        <x:v>Consulta global</x:v>
      </x:c>
      <x:c r="N34" s="334" t="str">
        <x:v>Consulta scope</x:v>
      </x:c>
      <x:c r="O34" s="334" t="str">
        <x:v>Consulta propia si aplica</x:v>
      </x:c>
      <x:c r="P34" s="317" t="str">
        <x:v>AlertsView; ProfessorAlertsView</x:v>
      </x:c>
      <x:c r="Q34" s="317" t="str">
        <x:v>/alerts; /profesor/alertas; /estudiante/alertas; /recommendations/:id/apply</x:v>
      </x:c>
      <x:c r="R34" s="317" t="str">
        <x:v>alerts.controller.ts; profesor.controller.ts; estudiante.controller.ts; reports/recommendations</x:v>
      </x:c>
      <x:c r="S34" s="317" t="str">
        <x:v>Alert; AlertaHistorial; AiRecommendation; Notification; Prediction</x:v>
      </x:c>
      <x:c r="T34" s="317" t="str">
        <x:v>Next.js/React + Express + Prisma/MySQL + Notification/Recommendation</x:v>
      </x:c>
      <x:c r="U34" s="317" t="str">
        <x:v>Predicción/regla → Express alert logic → Prisma/MySQL → UI/notificación</x:v>
      </x:c>
      <x:c r="V34" s="317" t="str">
        <x:v>Relaciona con IA/ML</x:v>
      </x:c>
      <x:c r="W34" s="317" t="str">
        <x:v>Alertas demo son funcionales; no presentarlas como hallazgo científico.</x:v>
      </x:c>
      <x:c r="X34" s="317" t="str">
        <x:v>D — cumple requisito, validación, regla y salida esperada</x:v>
      </x:c>
      <x:c r="Y34" s="317" t="str">
        <x:v>S — operación debe mantenerse dentro de umbrales del entorno</x:v>
      </x:c>
      <x:c r="Z34" s="317" t="str">
        <x:v>D — contrato entre UI/API/BD/ML debe ser compatible</x:v>
      </x:c>
      <x:c r="AA34" s="317" t="str">
        <x:v>D — navegación/formulario/mensaje comprensible por rol</x:v>
      </x:c>
      <x:c r="AB34" s="317" t="str">
        <x:v>D — manejo de error, persistencia y recuperación verificables</x:v>
      </x:c>
      <x:c r="AC34" s="317" t="str">
        <x:v>S — control de acceso y mínimo privilegio</x:v>
      </x:c>
      <x:c r="AD34" s="317" t="str">
        <x:v>D — módulo/capa localizable, testeable y analizable por Sonar</x:v>
      </x:c>
      <x:c r="AE34" s="317" t="str">
        <x:v>S — depende de env, Docker y despliegue estandarizado</x:v>
      </x:c>
      <x:c r="AF34" s="317" t="str">
        <x:v>Funcional + regla + RBAC + regresión; asociar RF → caso → evidencia dentro de la matriz de 86 casos.</x:v>
      </x:c>
      <x:c r="AG34" s="317" t="str">
        <x:v>Funcional + regla + RBAC + regresión</x:v>
      </x:c>
      <x:c r="AH34" s="317" t="str">
        <x:v>Dado un usuario/contexto válido, cuando ejecuta la función con datos válidos, entonces completa la operación respetando permisos, validaciones y persistencia; errores deben ser controlados.</x:v>
      </x:c>
      <x:c r="AI34" s="317" t="str">
        <x:v>GitHub/código + respuesta UI/API + persistencia/log; Sonar/QA según riesgo. https://taller1-frontend.vercel.app</x:v>
      </x:c>
      <x:c r="AJ34" s="317" t="str">
        <x:v>Confidencialidad por scope + integridad del historial + trazabilidad de acciones.</x:v>
      </x:c>
      <x:c r="AK34" s="317" t="str">
        <x:v>Alerts views + alerts/profesor/estudiante controllers</x:v>
      </x:c>
      <x:c r="AL34" s="317" t="str">
        <x:v>AlertsView; ProfessorAlertsView | alerts.controller.ts; profesor.controller.ts; estudiante.controller.ts; reports/recommendations | Alert; AlertaHistorial; AiRecommendation; Notification; Prediction</x:v>
      </x:c>
      <x:c r="AM34" s="317" t="str">
        <x:v>Alerta ficticia; estudiante fuera de scope; cambio de estado no auditado; duplicidad.</x:v>
      </x:c>
      <x:c r="AN34" s="317" t="str">
        <x:v>Revisar regla de creación → alerts/profesor → Alert/AlertaHistorial → notificación → UI.</x:v>
      </x:c>
      <x:c r="AO34" s="317" t="str">
        <x:v>Creación; listado; scope; cambio de estado; historial; recomendación; ausencia de predicción.</x:v>
      </x:c>
      <x:c r="AP34" s="317" t="str">
        <x:v>Revertir estado con historial; no borrar evidencia; desactivar regla errónea y revisar predicción origen.</x:v>
      </x:c>
      <x:c r="AQ34" s="317" t="str">
        <x:v>Variable intermedia + dependiente</x:v>
      </x:c>
      <x:c r="AR34" s="317" t="str">
        <x:v>Visualización y alerta temprana + permanencia/identificación</x:v>
      </x:c>
      <x:c r="AS34" s="317" t="str">
        <x:v>Alertas, priorización, estado y seguimiento</x:v>
      </x:c>
      <x:c r="AT34" s="317" t="str">
        <x:v>P13 / Anexo 07 (requisito RF-029)</x:v>
      </x:c>
      <x:c r="AU34" s="317" t="str">
        <x:v>Vercel/Railway/MySQL</x:v>
      </x:c>
      <x:c r="AV34" s="317" t="str">
        <x:v>ISO 9001 → ISO/IEC 25010 → P13 → Consultar alertas → RF-029 → AlertsView; ProfessorAlertsView → /alerts; /profesor/alertas; /estudiante/alertas; /recommendations/:id/apply → Alert; AlertaHistorial; AiRecommendation; Notification; Prediction → prueba/evidencia</x:v>
      </x:c>
      <x:c r="AW34" s="318" t="str">
        <x:v>APUNTES · ANEXO07 · TESIS · GITHUB(dataset-definitivo-2026) · VERCEL(ref. evidencia)</x:v>
      </x:c>
    </x:row>
    <x:row r="35" ht="92" customHeight="1">
      <x:c r="A35" s="330" t="str">
        <x:v>RF-030</x:v>
      </x:c>
      <x:c r="B35" s="331" t="str">
        <x:v>RF</x:v>
      </x:c>
      <x:c r="C35" s="323" t="str">
        <x:v>Alertas y seguimiento</x:v>
      </x:c>
      <x:c r="D35" s="317" t="str">
        <x:v>9.1 seguimiento; 10.2 no conformidad/acción correctiva; 10.3 mejora.</x:v>
      </x:c>
      <x:c r="E35" s="317" t="str">
        <x:v>MP04 Alerta y seguimiento</x:v>
      </x:c>
      <x:c r="F35" s="317" t="str">
        <x:v>P13</x:v>
      </x:c>
      <x:c r="G35" s="317" t="str">
        <x:v>Actualizar estado</x:v>
      </x:c>
      <x:c r="H35" s="317" t="str">
        <x:v>Director y Profesor deben actualizar el estado de una alerta.</x:v>
      </x:c>
      <x:c r="I35" s="317" t="str">
        <x:v>Transforma reglas o inferencias válidas en seguimiento priorizado y trazable para apoyar intervención temprana.</x:v>
      </x:c>
      <x:c r="J35" s="317" t="str">
        <x:v>Predicción válida o regla operativa + estudiante</x:v>
      </x:c>
      <x:c r="K35" s="317" t="str">
        <x:v>Separar alerta operativa de ML; scope por rol; registrar cambios de estado y seguimiento.</x:v>
      </x:c>
      <x:c r="L35" s="317" t="str">
        <x:v>Alerta priorizada, estado e historial</x:v>
      </x:c>
      <x:c r="M35" s="334" t="str">
        <x:v>Actualiza</x:v>
      </x:c>
      <x:c r="N35" s="334" t="str">
        <x:v>Actualiza scope</x:v>
      </x:c>
      <x:c r="O35" s="334" t="str">
        <x:v>No</x:v>
      </x:c>
      <x:c r="P35" s="317" t="str">
        <x:v>AlertsView; ProfessorAlertsView</x:v>
      </x:c>
      <x:c r="Q35" s="317" t="str">
        <x:v>/alerts; /profesor/alertas; /estudiante/alertas; /recommendations/:id/apply</x:v>
      </x:c>
      <x:c r="R35" s="317" t="str">
        <x:v>alerts.controller.ts; profesor.controller.ts; estudiante.controller.ts; reports/recommendations</x:v>
      </x:c>
      <x:c r="S35" s="317" t="str">
        <x:v>Alert; AlertaHistorial; AiRecommendation; Notification; Prediction</x:v>
      </x:c>
      <x:c r="T35" s="317" t="str">
        <x:v>Next.js/React + Express + Prisma/MySQL + Notification/Recommendation</x:v>
      </x:c>
      <x:c r="U35" s="317" t="str">
        <x:v>Predicción/regla → Express alert logic → Prisma/MySQL → UI/notificación</x:v>
      </x:c>
      <x:c r="V35" s="317" t="str">
        <x:v>Relaciona con IA/ML</x:v>
      </x:c>
      <x:c r="W35" s="317" t="str">
        <x:v>Alertas demo son funcionales; no presentarlas como hallazgo científico.</x:v>
      </x:c>
      <x:c r="X35" s="317" t="str">
        <x:v>D — cumple requisito, validación, regla y salida esperada</x:v>
      </x:c>
      <x:c r="Y35" s="317" t="str">
        <x:v>S — operación debe mantenerse dentro de umbrales del entorno</x:v>
      </x:c>
      <x:c r="Z35" s="317" t="str">
        <x:v>D — contrato entre UI/API/BD/ML debe ser compatible</x:v>
      </x:c>
      <x:c r="AA35" s="317" t="str">
        <x:v>D — navegación/formulario/mensaje comprensible por rol</x:v>
      </x:c>
      <x:c r="AB35" s="317" t="str">
        <x:v>D — manejo de error, persistencia y recuperación verificables</x:v>
      </x:c>
      <x:c r="AC35" s="317" t="str">
        <x:v>S — control de acceso y mínimo privilegio</x:v>
      </x:c>
      <x:c r="AD35" s="317" t="str">
        <x:v>D — módulo/capa localizable, testeable y analizable por Sonar</x:v>
      </x:c>
      <x:c r="AE35" s="317" t="str">
        <x:v>S — depende de env, Docker y despliegue estandarizado</x:v>
      </x:c>
      <x:c r="AF35" s="317" t="str">
        <x:v>Funcional + regla + RBAC + regresión; asociar RF → caso → evidencia dentro de la matriz de 86 casos.</x:v>
      </x:c>
      <x:c r="AG35" s="317" t="str">
        <x:v>Funcional + regla + RBAC + regresión</x:v>
      </x:c>
      <x:c r="AH35" s="317" t="str">
        <x:v>Dado un usuario/contexto válido, cuando ejecuta la función con datos válidos, entonces completa la operación respetando permisos, validaciones y persistencia; errores deben ser controlados.</x:v>
      </x:c>
      <x:c r="AI35" s="317" t="str">
        <x:v>GitHub/código + respuesta UI/API + persistencia/log; Sonar/QA según riesgo. https://taller1-frontend.vercel.app</x:v>
      </x:c>
      <x:c r="AJ35" s="317" t="str">
        <x:v>Confidencialidad por scope + integridad del historial + trazabilidad de acciones.</x:v>
      </x:c>
      <x:c r="AK35" s="317" t="str">
        <x:v>Alerts views + alerts/profesor/estudiante controllers</x:v>
      </x:c>
      <x:c r="AL35" s="317" t="str">
        <x:v>AlertsView; ProfessorAlertsView | alerts.controller.ts; profesor.controller.ts; estudiante.controller.ts; reports/recommendations | Alert; AlertaHistorial; AiRecommendation; Notification; Prediction</x:v>
      </x:c>
      <x:c r="AM35" s="317" t="str">
        <x:v>Alerta ficticia; estudiante fuera de scope; cambio de estado no auditado; duplicidad.</x:v>
      </x:c>
      <x:c r="AN35" s="317" t="str">
        <x:v>Revisar regla de creación → alerts/profesor → Alert/AlertaHistorial → notificación → UI.</x:v>
      </x:c>
      <x:c r="AO35" s="317" t="str">
        <x:v>Creación; listado; scope; cambio de estado; historial; recomendación; ausencia de predicción.</x:v>
      </x:c>
      <x:c r="AP35" s="317" t="str">
        <x:v>Revertir estado con historial; no borrar evidencia; desactivar regla errónea y revisar predicción origen.</x:v>
      </x:c>
      <x:c r="AQ35" s="317" t="str">
        <x:v>Variable intermedia + dependiente</x:v>
      </x:c>
      <x:c r="AR35" s="317" t="str">
        <x:v>Visualización y alerta temprana + permanencia/identificación</x:v>
      </x:c>
      <x:c r="AS35" s="317" t="str">
        <x:v>Alertas, priorización, estado y seguimiento</x:v>
      </x:c>
      <x:c r="AT35" s="317" t="str">
        <x:v>P13 / Anexo 07 (requisito RF-030)</x:v>
      </x:c>
      <x:c r="AU35" s="317" t="str">
        <x:v>Vercel/Railway/MySQL</x:v>
      </x:c>
      <x:c r="AV35" s="317" t="str">
        <x:v>ISO 9001 → ISO/IEC 25010 → P13 → Actualizar estado → RF-030 → AlertsView; ProfessorAlertsView → /alerts; /profesor/alertas; /estudiante/alertas; /recommendations/:id/apply → Alert; AlertaHistorial; AiRecommendation; Notification; Prediction → prueba/evidencia</x:v>
      </x:c>
      <x:c r="AW35" s="318" t="str">
        <x:v>APUNTES · ANEXO07 · TESIS · GITHUB(dataset-definitivo-2026) · VERCEL(ref. evidencia)</x:v>
      </x:c>
    </x:row>
    <x:row r="36" ht="92" customHeight="1">
      <x:c r="A36" s="330" t="str">
        <x:v>RF-031</x:v>
      </x:c>
      <x:c r="B36" s="331" t="str">
        <x:v>RF</x:v>
      </x:c>
      <x:c r="C36" s="323" t="str">
        <x:v>Alertas y seguimiento</x:v>
      </x:c>
      <x:c r="D36" s="317" t="str">
        <x:v>9.1 seguimiento; 10.2 no conformidad/acción correctiva; 10.3 mejora.</x:v>
      </x:c>
      <x:c r="E36" s="317" t="str">
        <x:v>MP04 Alerta y seguimiento</x:v>
      </x:c>
      <x:c r="F36" s="317" t="str">
        <x:v>P13</x:v>
      </x:c>
      <x:c r="G36" s="317" t="str">
        <x:v>Conservar historial de alerta</x:v>
      </x:c>
      <x:c r="H36" s="317" t="str">
        <x:v>El sistema debe conservar historial de cambios de estado y factores.</x:v>
      </x:c>
      <x:c r="I36" s="317" t="str">
        <x:v>Transforma reglas o inferencias válidas en seguimiento priorizado y trazable para apoyar intervención temprana.</x:v>
      </x:c>
      <x:c r="J36" s="317" t="str">
        <x:v>Predicción válida o regla operativa + estudiante</x:v>
      </x:c>
      <x:c r="K36" s="317" t="str">
        <x:v>Separar alerta operativa de ML; scope por rol; registrar cambios de estado y seguimiento.</x:v>
      </x:c>
      <x:c r="L36" s="317" t="str">
        <x:v>Alerta priorizada, estado e historial</x:v>
      </x:c>
      <x:c r="M36" s="334" t="str">
        <x:v>Consulta</x:v>
      </x:c>
      <x:c r="N36" s="334" t="str">
        <x:v>Consulta scope</x:v>
      </x:c>
      <x:c r="O36" s="334" t="str">
        <x:v>No</x:v>
      </x:c>
      <x:c r="P36" s="317" t="str">
        <x:v>AlertsView; ProfessorAlertsView</x:v>
      </x:c>
      <x:c r="Q36" s="317" t="str">
        <x:v>/alerts; /profesor/alertas; /estudiante/alertas; /recommendations/:id/apply</x:v>
      </x:c>
      <x:c r="R36" s="317" t="str">
        <x:v>alerts.controller.ts; profesor.controller.ts; estudiante.controller.ts; reports/recommendations</x:v>
      </x:c>
      <x:c r="S36" s="317" t="str">
        <x:v>Alert; AlertaHistorial; AiRecommendation; Notification; Prediction</x:v>
      </x:c>
      <x:c r="T36" s="317" t="str">
        <x:v>Next.js/React + Express + Prisma/MySQL + Notification/Recommendation</x:v>
      </x:c>
      <x:c r="U36" s="317" t="str">
        <x:v>Predicción/regla → Express alert logic → Prisma/MySQL → UI/notificación</x:v>
      </x:c>
      <x:c r="V36" s="317" t="str">
        <x:v>Relaciona con IA/ML</x:v>
      </x:c>
      <x:c r="W36" s="317" t="str">
        <x:v>Alertas demo son funcionales; no presentarlas como hallazgo científico.</x:v>
      </x:c>
      <x:c r="X36" s="317" t="str">
        <x:v>D — cumple requisito, validación, regla y salida esperada</x:v>
      </x:c>
      <x:c r="Y36" s="317" t="str">
        <x:v>S — operación debe mantenerse dentro de umbrales del entorno</x:v>
      </x:c>
      <x:c r="Z36" s="317" t="str">
        <x:v>D — contrato entre UI/API/BD/ML debe ser compatible</x:v>
      </x:c>
      <x:c r="AA36" s="317" t="str">
        <x:v>D — navegación/formulario/mensaje comprensible por rol</x:v>
      </x:c>
      <x:c r="AB36" s="317" t="str">
        <x:v>D — manejo de error, persistencia y recuperación verificables</x:v>
      </x:c>
      <x:c r="AC36" s="317" t="str">
        <x:v>S — control de acceso y mínimo privilegio</x:v>
      </x:c>
      <x:c r="AD36" s="317" t="str">
        <x:v>D — módulo/capa localizable, testeable y analizable por Sonar</x:v>
      </x:c>
      <x:c r="AE36" s="317" t="str">
        <x:v>S — depende de env, Docker y despliegue estandarizado</x:v>
      </x:c>
      <x:c r="AF36" s="317" t="str">
        <x:v>Funcional + regla + RBAC + regresión; asociar RF → caso → evidencia dentro de la matriz de 86 casos.</x:v>
      </x:c>
      <x:c r="AG36" s="317" t="str">
        <x:v>Funcional + regla + RBAC + regresión</x:v>
      </x:c>
      <x:c r="AH36" s="317" t="str">
        <x:v>Dado un usuario/contexto válido, cuando ejecuta la función con datos válidos, entonces completa la operación respetando permisos, validaciones y persistencia; errores deben ser controlados.</x:v>
      </x:c>
      <x:c r="AI36" s="317" t="str">
        <x:v>GitHub/código + respuesta UI/API + persistencia/log; Sonar/QA según riesgo. https://taller1-frontend.vercel.app</x:v>
      </x:c>
      <x:c r="AJ36" s="317" t="str">
        <x:v>Confidencialidad por scope + integridad del historial + trazabilidad de acciones.</x:v>
      </x:c>
      <x:c r="AK36" s="317" t="str">
        <x:v>Alerts views + alerts/profesor/estudiante controllers</x:v>
      </x:c>
      <x:c r="AL36" s="317" t="str">
        <x:v>AlertsView; ProfessorAlertsView | alerts.controller.ts; profesor.controller.ts; estudiante.controller.ts; reports/recommendations | Alert; AlertaHistorial; AiRecommendation; Notification; Prediction</x:v>
      </x:c>
      <x:c r="AM36" s="317" t="str">
        <x:v>Alerta ficticia; estudiante fuera de scope; cambio de estado no auditado; duplicidad.</x:v>
      </x:c>
      <x:c r="AN36" s="317" t="str">
        <x:v>Revisar regla de creación → alerts/profesor → Alert/AlertaHistorial → notificación → UI.</x:v>
      </x:c>
      <x:c r="AO36" s="317" t="str">
        <x:v>Creación; listado; scope; cambio de estado; historial; recomendación; ausencia de predicción.</x:v>
      </x:c>
      <x:c r="AP36" s="317" t="str">
        <x:v>Revertir estado con historial; no borrar evidencia; desactivar regla errónea y revisar predicción origen.</x:v>
      </x:c>
      <x:c r="AQ36" s="317" t="str">
        <x:v>Variable intermedia + dependiente</x:v>
      </x:c>
      <x:c r="AR36" s="317" t="str">
        <x:v>Visualización y alerta temprana + permanencia/identificación</x:v>
      </x:c>
      <x:c r="AS36" s="317" t="str">
        <x:v>Alertas, priorización, estado y seguimiento</x:v>
      </x:c>
      <x:c r="AT36" s="317" t="str">
        <x:v>P13 / Anexo 07 (requisito RF-031)</x:v>
      </x:c>
      <x:c r="AU36" s="317" t="str">
        <x:v>Vercel/Railway/MySQL</x:v>
      </x:c>
      <x:c r="AV36" s="317" t="str">
        <x:v>ISO 9001 → ISO/IEC 25010 → P13 → Conservar historial de alerta → RF-031 → AlertsView; ProfessorAlertsView → /alerts; /profesor/alertas; /estudiante/alertas; /recommendations/:id/apply → Alert; AlertaHistorial; AiRecommendation; Notification; Prediction → prueba/evidencia</x:v>
      </x:c>
      <x:c r="AW36" s="318" t="str">
        <x:v>APUNTES · ANEXO07 · TESIS · GITHUB(dataset-definitivo-2026) · VERCEL(ref. evidencia)</x:v>
      </x:c>
    </x:row>
    <x:row r="37" ht="92" customHeight="1">
      <x:c r="A37" s="330" t="str">
        <x:v>RF-032</x:v>
      </x:c>
      <x:c r="B37" s="331" t="str">
        <x:v>RF</x:v>
      </x:c>
      <x:c r="C37" s="323" t="str">
        <x:v>Dashboard y reportes</x:v>
      </x:c>
      <x:c r="D37" s="317" t="str">
        <x:v>9.1 seguimiento/medición/análisis; 7.5 evidencia; 10 mejora basada en datos.</x:v>
      </x:c>
      <x:c r="E37" s="317" t="str">
        <x:v>MP04 Alerta y seguimiento</x:v>
      </x:c>
      <x:c r="F37" s="317" t="str">
        <x:v>P14</x:v>
      </x:c>
      <x:c r="G37" s="317" t="str">
        <x:v>Presentar KPIs institucionales</x:v>
      </x:c>
      <x:c r="H37" s="317" t="str">
        <x:v>El sistema debe presentar KPIs institucionales al Director.</x:v>
      </x:c>
      <x:c r="I37" s="317" t="str">
        <x:v>Integra los indicadores del proyecto en una vista por rol para seguimiento y toma de decisiones.</x:v>
      </x:c>
      <x:c r="J37" s="317" t="str">
        <x:v>Datos académicos, LMS, alertas, predicciones y matrícula</x:v>
      </x:c>
      <x:c r="K37" s="317" t="str">
        <x:v>Indicadores deben corresponder a matriz de operacionalización; no fabricar KPI faltante; scope estricto.</x:v>
      </x:c>
      <x:c r="L37" s="317" t="str">
        <x:v>KPIs/gráficos filtrados por rol</x:v>
      </x:c>
      <x:c r="M37" s="334" t="str">
        <x:v>Ve global</x:v>
      </x:c>
      <x:c r="N37" s="334" t="str">
        <x:v>No</x:v>
      </x:c>
      <x:c r="O37" s="334" t="str">
        <x:v>No</x:v>
      </x:c>
      <x:c r="P37" s="317" t="str">
        <x:v>RoleDashboard; StudentDashboard</x:v>
      </x:c>
      <x:c r="Q37" s="317" t="str">
        <x:v>/dashboard/kpis; /profesor/dashboard; /estudiante/dashboard</x:v>
      </x:c>
      <x:c r="R37" s="317" t="str">
        <x:v>predict.controller/dashboardStats; profesor.controller; estudiante.controller; agregados</x:v>
      </x:c>
      <x:c r="S37" s="317" t="str">
        <x:v>Student; Matricula; Grade; Attendance; LmsEvent; Prediction; Alert; DashboardSnapshot</x:v>
      </x:c>
      <x:c r="T37" s="317" t="str">
        <x:v>Next.js/React + TypeScript + agregados API + gráficos + Prisma/MySQL</x:v>
      </x:c>
      <x:c r="U37" s="317" t="str">
        <x:v>MySQL/agregados → Express por scope → Next.js dashboard/gráficos</x:v>
      </x:c>
      <x:c r="V37" s="317" t="str">
        <x:v>Relaciona con IA/ML</x:v>
      </x:c>
      <x:c r="W37" s="317" t="str">
        <x:v>Dashboard puede usar V5 para QA, rotulado como demo; indicadores científicos se completan con datos reales.</x:v>
      </x:c>
      <x:c r="X37" s="317" t="str">
        <x:v>D — cumple requisito, validación, regla y salida esperada</x:v>
      </x:c>
      <x:c r="Y37" s="317" t="str">
        <x:v>D — medir tiempo/recursos en QA y registrar umbral</x:v>
      </x:c>
      <x:c r="Z37" s="317" t="str">
        <x:v>D — contrato entre UI/API/BD/ML debe ser compatible</x:v>
      </x:c>
      <x:c r="AA37" s="317" t="str">
        <x:v>D — navegación/formulario/mensaje comprensible por rol</x:v>
      </x:c>
      <x:c r="AB37" s="317" t="str">
        <x:v>D — manejo de error, persistencia y recuperación verificables</x:v>
      </x:c>
      <x:c r="AC37" s="317" t="str">
        <x:v>S — control de acceso y mínimo privilegio</x:v>
      </x:c>
      <x:c r="AD37" s="317" t="str">
        <x:v>D — módulo/capa localizable, testeable y analizable por Sonar</x:v>
      </x:c>
      <x:c r="AE37" s="317" t="str">
        <x:v>S — depende de env, Docker y despliegue estandarizado</x:v>
      </x:c>
      <x:c r="AF37" s="317" t="str">
        <x:v>Datos + visualización + filtros + UAT + regresión; asociar RF → caso → evidencia dentro de la matriz de 86 casos.</x:v>
      </x:c>
      <x:c r="AG37" s="317" t="str">
        <x:v>Datos + visualización + filtros + UAT + regresión</x:v>
      </x:c>
      <x:c r="AH37" s="317" t="str">
        <x:v>Dado un usuario/contexto válido, cuando ejecuta la función con datos válidos, entonces completa la operación respetando permisos, validaciones y persistencia; errores deben ser controlados.</x:v>
      </x:c>
      <x:c r="AI37" s="317" t="str">
        <x:v>GitHub/código + respuesta UI/API + persistencia/log; Sonar/QA según riesgo. https://taller1-frontend.vercel.app</x:v>
      </x:c>
      <x:c r="AJ37" s="317" t="str">
        <x:v>RBAC, privacidad, mínimo dato necesario y protección de agregados.</x:v>
      </x:c>
      <x:c r="AK37" s="317" t="str">
        <x:v>dashboard components + controllers/agregates</x:v>
      </x:c>
      <x:c r="AL37" s="317" t="str">
        <x:v>RoleDashboard; StudentDashboard | predict.controller/dashboardStats; profesor.controller; estudiante.controller; agregados | Student; Matricula; Grade; Attendance; LmsEvent; Prediction; Alert; DashboardSnapshot</x:v>
      </x:c>
      <x:c r="AM37" s="317" t="str">
        <x:v>KPI no coincide con fuente; filtro por rol roto; gráfico muestra datos legacy; métrica ML ficticia.</x:v>
      </x:c>
      <x:c r="AN37" s="317" t="str">
        <x:v>Revisar fórmula/agregado backend → servicio frontend → componente gráfico → fuente de datos → indicador de tesis.</x:v>
      </x:c>
      <x:c r="AO37" s="317" t="str">
        <x:v>Director global; Profesor scope; Estudiante personal; filtros; vacíos; responsive; comparación con query fuente.</x:v>
      </x:c>
      <x:c r="AP37" s="317" t="str">
        <x:v>Volver a fórmula/query anterior si rompe consistencia; ocultar KPI sin fuente válida antes que inventarlo.</x:v>
      </x:c>
      <x:c r="AQ37" s="317" t="str">
        <x:v>Variable intermedia — Sistema web inteligente</x:v>
      </x:c>
      <x:c r="AR37" s="317" t="str">
        <x:v>Visualización y alerta temprana</x:v>
      </x:c>
      <x:c r="AS37" s="317" t="str">
        <x:v>Dashboard, filtros, KPIs e indicadores de seguimiento de la operacionalización</x:v>
      </x:c>
      <x:c r="AT37" s="317" t="str">
        <x:v>P14 / Anexo 07 (requisito RF-032)</x:v>
      </x:c>
      <x:c r="AU37" s="317" t="str">
        <x:v>Vercel/Railway/MySQL</x:v>
      </x:c>
      <x:c r="AV37" s="317" t="str">
        <x:v>ISO 9001 → ISO/IEC 25010 → P14 → Presentar KPIs institucionales → RF-032 → RoleDashboard; StudentDashboard → /dashboard/kpis; /profesor/dashboard; /estudiante/dashboard → Student; Matricula; Grade; Attendance; LmsEvent; Prediction; Alert; DashboardSnapshot → prueba/evidencia</x:v>
      </x:c>
      <x:c r="AW37" s="318" t="str">
        <x:v>APUNTES · ANEXO07 · TESIS · GITHUB(dataset-definitivo-2026) · VERCEL(ref. evidencia)</x:v>
      </x:c>
    </x:row>
    <x:row r="38" ht="92" customHeight="1">
      <x:c r="A38" s="330" t="str">
        <x:v>RF-033</x:v>
      </x:c>
      <x:c r="B38" s="331" t="str">
        <x:v>RF</x:v>
      </x:c>
      <x:c r="C38" s="323" t="str">
        <x:v>Dashboard y reportes</x:v>
      </x:c>
      <x:c r="D38" s="317" t="str">
        <x:v>9.1 seguimiento/medición/análisis; 7.5 evidencia; 10 mejora basada en datos.</x:v>
      </x:c>
      <x:c r="E38" s="317" t="str">
        <x:v>MP04 Alerta y seguimiento</x:v>
      </x:c>
      <x:c r="F38" s="317" t="str">
        <x:v>P14</x:v>
      </x:c>
      <x:c r="G38" s="317" t="str">
        <x:v>Presentar dashboard docente</x:v>
      </x:c>
      <x:c r="H38" s="317" t="str">
        <x:v>El Profesor debe disponer de un dashboard limitado a sus secciones.</x:v>
      </x:c>
      <x:c r="I38" s="317" t="str">
        <x:v>Integra los indicadores del proyecto en una vista por rol para seguimiento y toma de decisiones.</x:v>
      </x:c>
      <x:c r="J38" s="317" t="str">
        <x:v>Datos académicos, LMS, alertas, predicciones y matrícula</x:v>
      </x:c>
      <x:c r="K38" s="317" t="str">
        <x:v>Indicadores deben corresponder a matriz de operacionalización; no fabricar KPI faltante; scope estricto.</x:v>
      </x:c>
      <x:c r="L38" s="317" t="str">
        <x:v>KPIs/gráficos filtrados por rol</x:v>
      </x:c>
      <x:c r="M38" s="334" t="str">
        <x:v>Supervisa</x:v>
      </x:c>
      <x:c r="N38" s="334" t="str">
        <x:v>Ve scope</x:v>
      </x:c>
      <x:c r="O38" s="334" t="str">
        <x:v>No</x:v>
      </x:c>
      <x:c r="P38" s="317" t="str">
        <x:v>RoleDashboard; StudentDashboard</x:v>
      </x:c>
      <x:c r="Q38" s="317" t="str">
        <x:v>/dashboard/kpis; /profesor/dashboard; /estudiante/dashboard</x:v>
      </x:c>
      <x:c r="R38" s="317" t="str">
        <x:v>predict.controller/dashboardStats; profesor.controller; estudiante.controller; agregados</x:v>
      </x:c>
      <x:c r="S38" s="317" t="str">
        <x:v>Student; Matricula; Grade; Attendance; LmsEvent; Prediction; Alert; DashboardSnapshot</x:v>
      </x:c>
      <x:c r="T38" s="317" t="str">
        <x:v>Next.js/React + TypeScript + agregados API + gráficos + Prisma/MySQL</x:v>
      </x:c>
      <x:c r="U38" s="317" t="str">
        <x:v>MySQL/agregados → Express por scope → Next.js dashboard/gráficos</x:v>
      </x:c>
      <x:c r="V38" s="317" t="str">
        <x:v>Relaciona con IA/ML</x:v>
      </x:c>
      <x:c r="W38" s="317" t="str">
        <x:v>Dashboard puede usar V5 para QA, rotulado como demo; indicadores científicos se completan con datos reales.</x:v>
      </x:c>
      <x:c r="X38" s="317" t="str">
        <x:v>D — cumple requisito, validación, regla y salida esperada</x:v>
      </x:c>
      <x:c r="Y38" s="317" t="str">
        <x:v>D — medir tiempo/recursos en QA y registrar umbral</x:v>
      </x:c>
      <x:c r="Z38" s="317" t="str">
        <x:v>D — contrato entre UI/API/BD/ML debe ser compatible</x:v>
      </x:c>
      <x:c r="AA38" s="317" t="str">
        <x:v>D — navegación/formulario/mensaje comprensible por rol</x:v>
      </x:c>
      <x:c r="AB38" s="317" t="str">
        <x:v>D — manejo de error, persistencia y recuperación verificables</x:v>
      </x:c>
      <x:c r="AC38" s="317" t="str">
        <x:v>S — control de acceso y mínimo privilegio</x:v>
      </x:c>
      <x:c r="AD38" s="317" t="str">
        <x:v>D — módulo/capa localizable, testeable y analizable por Sonar</x:v>
      </x:c>
      <x:c r="AE38" s="317" t="str">
        <x:v>S — depende de env, Docker y despliegue estandarizado</x:v>
      </x:c>
      <x:c r="AF38" s="317" t="str">
        <x:v>Datos + visualización + filtros + UAT + regresión; asociar RF → caso → evidencia dentro de la matriz de 86 casos.</x:v>
      </x:c>
      <x:c r="AG38" s="317" t="str">
        <x:v>Datos + visualización + filtros + UAT + regresión</x:v>
      </x:c>
      <x:c r="AH38" s="317" t="str">
        <x:v>Dado un usuario/contexto válido, cuando ejecuta la función con datos válidos, entonces completa la operación respetando permisos, validaciones y persistencia; errores deben ser controlados.</x:v>
      </x:c>
      <x:c r="AI38" s="317" t="str">
        <x:v>GitHub/código + respuesta UI/API + persistencia/log; Sonar/QA según riesgo. https://taller1-frontend.vercel.app</x:v>
      </x:c>
      <x:c r="AJ38" s="317" t="str">
        <x:v>RBAC, privacidad, mínimo dato necesario y protección de agregados.</x:v>
      </x:c>
      <x:c r="AK38" s="317" t="str">
        <x:v>dashboard components + controllers/agregates</x:v>
      </x:c>
      <x:c r="AL38" s="317" t="str">
        <x:v>RoleDashboard; StudentDashboard | predict.controller/dashboardStats; profesor.controller; estudiante.controller; agregados | Student; Matricula; Grade; Attendance; LmsEvent; Prediction; Alert; DashboardSnapshot</x:v>
      </x:c>
      <x:c r="AM38" s="317" t="str">
        <x:v>KPI no coincide con fuente; filtro por rol roto; gráfico muestra datos legacy; métrica ML ficticia.</x:v>
      </x:c>
      <x:c r="AN38" s="317" t="str">
        <x:v>Revisar fórmula/agregado backend → servicio frontend → componente gráfico → fuente de datos → indicador de tesis.</x:v>
      </x:c>
      <x:c r="AO38" s="317" t="str">
        <x:v>Director global; Profesor scope; Estudiante personal; filtros; vacíos; responsive; comparación con query fuente.</x:v>
      </x:c>
      <x:c r="AP38" s="317" t="str">
        <x:v>Volver a fórmula/query anterior si rompe consistencia; ocultar KPI sin fuente válida antes que inventarlo.</x:v>
      </x:c>
      <x:c r="AQ38" s="317" t="str">
        <x:v>Variable intermedia — Sistema web inteligente</x:v>
      </x:c>
      <x:c r="AR38" s="317" t="str">
        <x:v>Visualización y alerta temprana</x:v>
      </x:c>
      <x:c r="AS38" s="317" t="str">
        <x:v>Dashboard, filtros, KPIs e indicadores de seguimiento de la operacionalización</x:v>
      </x:c>
      <x:c r="AT38" s="317" t="str">
        <x:v>P14 / Anexo 07 (requisito RF-033)</x:v>
      </x:c>
      <x:c r="AU38" s="317" t="str">
        <x:v>Vercel/Railway/MySQL</x:v>
      </x:c>
      <x:c r="AV38" s="317" t="str">
        <x:v>ISO 9001 → ISO/IEC 25010 → P14 → Presentar dashboard docente → RF-033 → RoleDashboard; StudentDashboard → /dashboard/kpis; /profesor/dashboard; /estudiante/dashboard → Student; Matricula; Grade; Attendance; LmsEvent; Prediction; Alert; DashboardSnapshot → prueba/evidencia</x:v>
      </x:c>
      <x:c r="AW38" s="318" t="str">
        <x:v>APUNTES · ANEXO07 · TESIS · GITHUB(dataset-definitivo-2026) · VERCEL(ref. evidencia)</x:v>
      </x:c>
    </x:row>
    <x:row r="39" ht="92" customHeight="1">
      <x:c r="A39" s="330" t="str">
        <x:v>RF-034</x:v>
      </x:c>
      <x:c r="B39" s="331" t="str">
        <x:v>RF</x:v>
      </x:c>
      <x:c r="C39" s="323" t="str">
        <x:v>Dashboard y reportes</x:v>
      </x:c>
      <x:c r="D39" s="317" t="str">
        <x:v>9.1 seguimiento/medición/análisis; 7.5 evidencia; 10 mejora basada en datos.</x:v>
      </x:c>
      <x:c r="E39" s="317" t="str">
        <x:v>MP04 Alerta y seguimiento</x:v>
      </x:c>
      <x:c r="F39" s="317" t="str">
        <x:v>P14</x:v>
      </x:c>
      <x:c r="G39" s="317" t="str">
        <x:v>Presentar dashboard estudiante</x:v>
      </x:c>
      <x:c r="H39" s="317" t="str">
        <x:v>El Estudiante debe disponer de un dashboard personal.</x:v>
      </x:c>
      <x:c r="I39" s="317" t="str">
        <x:v>Integra los indicadores del proyecto en una vista por rol para seguimiento y toma de decisiones.</x:v>
      </x:c>
      <x:c r="J39" s="317" t="str">
        <x:v>Datos académicos, LMS, alertas, predicciones y matrícula</x:v>
      </x:c>
      <x:c r="K39" s="317" t="str">
        <x:v>Indicadores deben corresponder a matriz de operacionalización; no fabricar KPI faltante; scope estricto.</x:v>
      </x:c>
      <x:c r="L39" s="317" t="str">
        <x:v>KPIs/gráficos filtrados por rol</x:v>
      </x:c>
      <x:c r="M39" s="334" t="str">
        <x:v>Supervisa</x:v>
      </x:c>
      <x:c r="N39" s="334" t="str">
        <x:v>No</x:v>
      </x:c>
      <x:c r="O39" s="334" t="str">
        <x:v>Ve personal</x:v>
      </x:c>
      <x:c r="P39" s="317" t="str">
        <x:v>RoleDashboard; StudentDashboard</x:v>
      </x:c>
      <x:c r="Q39" s="317" t="str">
        <x:v>/dashboard/kpis; /profesor/dashboard; /estudiante/dashboard</x:v>
      </x:c>
      <x:c r="R39" s="317" t="str">
        <x:v>predict.controller/dashboardStats; profesor.controller; estudiante.controller; agregados</x:v>
      </x:c>
      <x:c r="S39" s="317" t="str">
        <x:v>Student; Matricula; Grade; Attendance; LmsEvent; Prediction; Alert; DashboardSnapshot</x:v>
      </x:c>
      <x:c r="T39" s="317" t="str">
        <x:v>Next.js/React + TypeScript + agregados API + gráficos + Prisma/MySQL</x:v>
      </x:c>
      <x:c r="U39" s="317" t="str">
        <x:v>MySQL/agregados → Express por scope → Next.js dashboard/gráficos</x:v>
      </x:c>
      <x:c r="V39" s="317" t="str">
        <x:v>Relaciona con IA/ML</x:v>
      </x:c>
      <x:c r="W39" s="317" t="str">
        <x:v>Dashboard puede usar V5 para QA, rotulado como demo; indicadores científicos se completan con datos reales.</x:v>
      </x:c>
      <x:c r="X39" s="317" t="str">
        <x:v>D — cumple requisito, validación, regla y salida esperada</x:v>
      </x:c>
      <x:c r="Y39" s="317" t="str">
        <x:v>D — medir tiempo/recursos en QA y registrar umbral</x:v>
      </x:c>
      <x:c r="Z39" s="317" t="str">
        <x:v>D — contrato entre UI/API/BD/ML debe ser compatible</x:v>
      </x:c>
      <x:c r="AA39" s="317" t="str">
        <x:v>D — navegación/formulario/mensaje comprensible por rol</x:v>
      </x:c>
      <x:c r="AB39" s="317" t="str">
        <x:v>D — manejo de error, persistencia y recuperación verificables</x:v>
      </x:c>
      <x:c r="AC39" s="317" t="str">
        <x:v>S — control de acceso y mínimo privilegio</x:v>
      </x:c>
      <x:c r="AD39" s="317" t="str">
        <x:v>D — módulo/capa localizable, testeable y analizable por Sonar</x:v>
      </x:c>
      <x:c r="AE39" s="317" t="str">
        <x:v>S — depende de env, Docker y despliegue estandarizado</x:v>
      </x:c>
      <x:c r="AF39" s="317" t="str">
        <x:v>Datos + visualización + filtros + UAT + regresión; asociar RF → caso → evidencia dentro de la matriz de 86 casos.</x:v>
      </x:c>
      <x:c r="AG39" s="317" t="str">
        <x:v>Datos + visualización + filtros + UAT + regresión</x:v>
      </x:c>
      <x:c r="AH39" s="317" t="str">
        <x:v>Dado un usuario/contexto válido, cuando ejecuta la función con datos válidos, entonces completa la operación respetando permisos, validaciones y persistencia; errores deben ser controlados.</x:v>
      </x:c>
      <x:c r="AI39" s="317" t="str">
        <x:v>GitHub/código + respuesta UI/API + persistencia/log; Sonar/QA según riesgo. https://taller1-frontend.vercel.app</x:v>
      </x:c>
      <x:c r="AJ39" s="317" t="str">
        <x:v>RBAC, privacidad, mínimo dato necesario y protección de agregados.</x:v>
      </x:c>
      <x:c r="AK39" s="317" t="str">
        <x:v>dashboard components + controllers/agregates</x:v>
      </x:c>
      <x:c r="AL39" s="317" t="str">
        <x:v>RoleDashboard; StudentDashboard | predict.controller/dashboardStats; profesor.controller; estudiante.controller; agregados | Student; Matricula; Grade; Attendance; LmsEvent; Prediction; Alert; DashboardSnapshot</x:v>
      </x:c>
      <x:c r="AM39" s="317" t="str">
        <x:v>KPI no coincide con fuente; filtro por rol roto; gráfico muestra datos legacy; métrica ML ficticia.</x:v>
      </x:c>
      <x:c r="AN39" s="317" t="str">
        <x:v>Revisar fórmula/agregado backend → servicio frontend → componente gráfico → fuente de datos → indicador de tesis.</x:v>
      </x:c>
      <x:c r="AO39" s="317" t="str">
        <x:v>Director global; Profesor scope; Estudiante personal; filtros; vacíos; responsive; comparación con query fuente.</x:v>
      </x:c>
      <x:c r="AP39" s="317" t="str">
        <x:v>Volver a fórmula/query anterior si rompe consistencia; ocultar KPI sin fuente válida antes que inventarlo.</x:v>
      </x:c>
      <x:c r="AQ39" s="317" t="str">
        <x:v>Variable intermedia — Sistema web inteligente</x:v>
      </x:c>
      <x:c r="AR39" s="317" t="str">
        <x:v>Visualización y alerta temprana</x:v>
      </x:c>
      <x:c r="AS39" s="317" t="str">
        <x:v>Dashboard, filtros, KPIs e indicadores de seguimiento de la operacionalización</x:v>
      </x:c>
      <x:c r="AT39" s="317" t="str">
        <x:v>P14 / Anexo 07 (requisito RF-034)</x:v>
      </x:c>
      <x:c r="AU39" s="317" t="str">
        <x:v>Vercel/Railway/MySQL</x:v>
      </x:c>
      <x:c r="AV39" s="317" t="str">
        <x:v>ISO 9001 → ISO/IEC 25010 → P14 → Presentar dashboard estudiante → RF-034 → RoleDashboard; StudentDashboard → /dashboard/kpis; /profesor/dashboard; /estudiante/dashboard → Student; Matricula; Grade; Attendance; LmsEvent; Prediction; Alert; DashboardSnapshot → prueba/evidencia</x:v>
      </x:c>
      <x:c r="AW39" s="318" t="str">
        <x:v>APUNTES · ANEXO07 · TESIS · GITHUB(dataset-definitivo-2026) · VERCEL(ref. evidencia)</x:v>
      </x:c>
    </x:row>
    <x:row r="40" ht="92" customHeight="1">
      <x:c r="A40" s="330" t="str">
        <x:v>RF-035</x:v>
      </x:c>
      <x:c r="B40" s="331" t="str">
        <x:v>RF</x:v>
      </x:c>
      <x:c r="C40" s="323" t="str">
        <x:v>Dashboard y reportes</x:v>
      </x:c>
      <x:c r="D40" s="317" t="str">
        <x:v>7.5 información documentada; 9.1 análisis/evaluación; control de registros.</x:v>
      </x:c>
      <x:c r="E40" s="317" t="str">
        <x:v>MP04 Alerta y seguimiento</x:v>
      </x:c>
      <x:c r="F40" s="317" t="str">
        <x:v>P15</x:v>
      </x:c>
      <x:c r="G40" s="317" t="str">
        <x:v>Generar/exportar reportes</x:v>
      </x:c>
      <x:c r="H40" s="317" t="str">
        <x:v>El sistema debe generar reportes y permitir exportación cuando corresponda.</x:v>
      </x:c>
      <x:c r="I40" s="317" t="str">
        <x:v>Convierte los datos autorizados en evidencia consultable/exportable y conserva historial operativo.</x:v>
      </x:c>
      <x:c r="J40" s="317" t="str">
        <x:v>Filtros, periodo, scope y datos</x:v>
      </x:c>
      <x:c r="K40" s="317" t="str">
        <x:v>Solo datos autorizados; exportación no debe exponer secretos; conservar historial cuando aplique.</x:v>
      </x:c>
      <x:c r="L40" s="317" t="str">
        <x:v>Reporte/exportación/snapshot trazable</x:v>
      </x:c>
      <x:c r="M40" s="334" t="str">
        <x:v>Genera</x:v>
      </x:c>
      <x:c r="N40" s="334" t="str">
        <x:v>Genera scope</x:v>
      </x:c>
      <x:c r="O40" s="334" t="str">
        <x:v>No</x:v>
      </x:c>
      <x:c r="P40" s="317" t="str">
        <x:v>ReportsView</x:v>
      </x:c>
      <x:c r="Q40" s="317" t="str">
        <x:v>/reports; /dashboard-snapshot; /student-risks</x:v>
      </x:c>
      <x:c r="R40" s="317" t="str">
        <x:v>reports.controller.ts</x:v>
      </x:c>
      <x:c r="S40" s="317" t="str">
        <x:v>Report; DashboardSnapshot; Student; Prediction</x:v>
      </x:c>
      <x:c r="T40" s="317" t="str">
        <x:v>Next.js/React + Express + Prisma/MySQL + exportación/snapshots</x:v>
      </x:c>
      <x:c r="U40" s="317" t="str">
        <x:v>Datos autorizados → Express reports → persistencia → export/UI</x:v>
      </x:c>
      <x:c r="V40" s="317" t="str">
        <x:v>Sin IA directa / soporte al sistema</x:v>
      </x:c>
      <x:c r="W40" s="317" t="str">
        <x:v>Reportes demo prueban software, no resultados científicos.</x:v>
      </x:c>
      <x:c r="X40" s="317" t="str">
        <x:v>D — cumple requisito, validación, regla y salida esperada</x:v>
      </x:c>
      <x:c r="Y40" s="317" t="str">
        <x:v>D — medir tiempo/recursos en QA y registrar umbral</x:v>
      </x:c>
      <x:c r="Z40" s="317" t="str">
        <x:v>D — contrato entre UI/API/BD/ML debe ser compatible</x:v>
      </x:c>
      <x:c r="AA40" s="317" t="str">
        <x:v>D — navegación/formulario/mensaje comprensible por rol</x:v>
      </x:c>
      <x:c r="AB40" s="317" t="str">
        <x:v>D — manejo de error, persistencia y recuperación verificables</x:v>
      </x:c>
      <x:c r="AC40" s="317" t="str">
        <x:v>S — control de acceso y mínimo privilegio</x:v>
      </x:c>
      <x:c r="AD40" s="317" t="str">
        <x:v>D — módulo/capa localizable, testeable y analizable por Sonar</x:v>
      </x:c>
      <x:c r="AE40" s="317" t="str">
        <x:v>S — depende de env, Docker y despliegue estandarizado</x:v>
      </x:c>
      <x:c r="AF40" s="317" t="str">
        <x:v>Funcional + exportación + permisos + consistencia; asociar RF → caso → evidencia dentro de la matriz de 86 casos.</x:v>
      </x:c>
      <x:c r="AG40" s="317" t="str">
        <x:v>Funcional + exportación + permisos + consistencia</x:v>
      </x:c>
      <x:c r="AH40" s="317" t="str">
        <x:v>Dado un usuario/contexto válido, cuando ejecuta la función con datos válidos, entonces completa la operación respetando permisos, validaciones y persistencia; errores deben ser controlados.</x:v>
      </x:c>
      <x:c r="AI40" s="317" t="str">
        <x:v>GitHub/código + respuesta UI/API + persistencia/log; Sonar/QA según riesgo. https://taller1-frontend.vercel.app</x:v>
      </x:c>
      <x:c r="AJ40" s="317" t="str">
        <x:v>Confidencialidad de reportes, autorización, no exposición de secretos.</x:v>
      </x:c>
      <x:c r="AK40" s="317" t="str">
        <x:v>ReportsView + reports.controller</x:v>
      </x:c>
      <x:c r="AL40" s="317" t="str">
        <x:v>ReportsView | reports.controller.ts | Report; DashboardSnapshot; Student; Prediction</x:v>
      </x:c>
      <x:c r="AM40" s="317" t="str">
        <x:v>Export vacío/inconsistente; filtros no aplicados; datos ajenos; reporte sin trazabilidad.</x:v>
      </x:c>
      <x:c r="AN40" s="317" t="str">
        <x:v>Revisar ReportsView → reports.controller → query/filtros → Report/DashboardSnapshot → exportador.</x:v>
      </x:c>
      <x:c r="AO40" s="317" t="str">
        <x:v>Generar; listar; exportar; permisos; filtros; historial; snapshot; contenido.</x:v>
      </x:c>
      <x:c r="AP40" s="317" t="str">
        <x:v>Eliminar/reemplazar reporte incorrecto solo con permiso y auditoría; regenerar desde fuente válida.</x:v>
      </x:c>
      <x:c r="AQ40" s="317" t="str">
        <x:v>Variable intermedia — Sistema web inteligente</x:v>
      </x:c>
      <x:c r="AR40" s="317" t="str">
        <x:v>Gestión, trazabilidad y calidad operativa</x:v>
      </x:c>
      <x:c r="AS40" s="317" t="str">
        <x:v>Reportes, historial y evidencia operativa</x:v>
      </x:c>
      <x:c r="AT40" s="317" t="str">
        <x:v>P15 / Anexo 07 (requisito RF-035)</x:v>
      </x:c>
      <x:c r="AU40" s="317" t="str">
        <x:v>Vercel/Railway/MySQL</x:v>
      </x:c>
      <x:c r="AV40" s="317" t="str">
        <x:v>ISO 9001 → ISO/IEC 25010 → P15 → Generar/exportar reportes → RF-035 → ReportsView → /reports; /dashboard-snapshot; /student-risks → Report; DashboardSnapshot; Student; Prediction → prueba/evidencia</x:v>
      </x:c>
      <x:c r="AW40" s="318" t="str">
        <x:v>APUNTES · ANEXO07 · TESIS · GITHUB(dataset-definitivo-2026) · VERCEL(ref. evidencia)</x:v>
      </x:c>
    </x:row>
    <x:row r="41" ht="92" customHeight="1">
      <x:c r="A41" s="330" t="str">
        <x:v>RF-036</x:v>
      </x:c>
      <x:c r="B41" s="331" t="str">
        <x:v>RF</x:v>
      </x:c>
      <x:c r="C41" s="323" t="str">
        <x:v>Dashboard y reportes</x:v>
      </x:c>
      <x:c r="D41" s="317" t="str">
        <x:v>7.5 información documentada; 9.1 análisis/evaluación; control de registros.</x:v>
      </x:c>
      <x:c r="E41" s="317" t="str">
        <x:v>MP04 Alerta y seguimiento</x:v>
      </x:c>
      <x:c r="F41" s="317" t="str">
        <x:v>P15</x:v>
      </x:c>
      <x:c r="G41" s="317" t="str">
        <x:v>Conservar historial de reportes</x:v>
      </x:c>
      <x:c r="H41" s="317" t="str">
        <x:v>El sistema debe conservar el historial de reportes generados.</x:v>
      </x:c>
      <x:c r="I41" s="317" t="str">
        <x:v>Convierte los datos autorizados en evidencia consultable/exportable y conserva historial operativo.</x:v>
      </x:c>
      <x:c r="J41" s="317" t="str">
        <x:v>Filtros, periodo, scope y datos</x:v>
      </x:c>
      <x:c r="K41" s="317" t="str">
        <x:v>Solo datos autorizados; exportación no debe exponer secretos; conservar historial cuando aplique.</x:v>
      </x:c>
      <x:c r="L41" s="317" t="str">
        <x:v>Reporte/exportación/snapshot trazable</x:v>
      </x:c>
      <x:c r="M41" s="334" t="str">
        <x:v>Consulta</x:v>
      </x:c>
      <x:c r="N41" s="334" t="str">
        <x:v>Consulta scope</x:v>
      </x:c>
      <x:c r="O41" s="334" t="str">
        <x:v>No</x:v>
      </x:c>
      <x:c r="P41" s="317" t="str">
        <x:v>ReportsView</x:v>
      </x:c>
      <x:c r="Q41" s="317" t="str">
        <x:v>/reports; /dashboard-snapshot; /student-risks</x:v>
      </x:c>
      <x:c r="R41" s="317" t="str">
        <x:v>reports.controller.ts</x:v>
      </x:c>
      <x:c r="S41" s="317" t="str">
        <x:v>Report; DashboardSnapshot; Student; Prediction</x:v>
      </x:c>
      <x:c r="T41" s="317" t="str">
        <x:v>Next.js/React + Express + Prisma/MySQL + exportación/snapshots</x:v>
      </x:c>
      <x:c r="U41" s="317" t="str">
        <x:v>Datos autorizados → Express reports → persistencia → export/UI</x:v>
      </x:c>
      <x:c r="V41" s="317" t="str">
        <x:v>Sin IA directa / soporte al sistema</x:v>
      </x:c>
      <x:c r="W41" s="317" t="str">
        <x:v>Reportes demo prueban software, no resultados científicos.</x:v>
      </x:c>
      <x:c r="X41" s="317" t="str">
        <x:v>D — cumple requisito, validación, regla y salida esperada</x:v>
      </x:c>
      <x:c r="Y41" s="317" t="str">
        <x:v>D — medir tiempo/recursos en QA y registrar umbral</x:v>
      </x:c>
      <x:c r="Z41" s="317" t="str">
        <x:v>D — contrato entre UI/API/BD/ML debe ser compatible</x:v>
      </x:c>
      <x:c r="AA41" s="317" t="str">
        <x:v>D — navegación/formulario/mensaje comprensible por rol</x:v>
      </x:c>
      <x:c r="AB41" s="317" t="str">
        <x:v>D — manejo de error, persistencia y recuperación verificables</x:v>
      </x:c>
      <x:c r="AC41" s="317" t="str">
        <x:v>S — control de acceso y mínimo privilegio</x:v>
      </x:c>
      <x:c r="AD41" s="317" t="str">
        <x:v>D — módulo/capa localizable, testeable y analizable por Sonar</x:v>
      </x:c>
      <x:c r="AE41" s="317" t="str">
        <x:v>S — depende de env, Docker y despliegue estandarizado</x:v>
      </x:c>
      <x:c r="AF41" s="317" t="str">
        <x:v>Funcional + exportación + permisos + consistencia; asociar RF → caso → evidencia dentro de la matriz de 86 casos.</x:v>
      </x:c>
      <x:c r="AG41" s="317" t="str">
        <x:v>Funcional + exportación + permisos + consistencia</x:v>
      </x:c>
      <x:c r="AH41" s="317" t="str">
        <x:v>Dado un usuario/contexto válido, cuando ejecuta la función con datos válidos, entonces completa la operación respetando permisos, validaciones y persistencia; errores deben ser controlados.</x:v>
      </x:c>
      <x:c r="AI41" s="317" t="str">
        <x:v>GitHub/código + respuesta UI/API + persistencia/log; Sonar/QA según riesgo. https://taller1-frontend.vercel.app</x:v>
      </x:c>
      <x:c r="AJ41" s="317" t="str">
        <x:v>Confidencialidad de reportes, autorización, no exposición de secretos.</x:v>
      </x:c>
      <x:c r="AK41" s="317" t="str">
        <x:v>ReportsView + reports.controller</x:v>
      </x:c>
      <x:c r="AL41" s="317" t="str">
        <x:v>ReportsView | reports.controller.ts | Report; DashboardSnapshot; Student; Prediction</x:v>
      </x:c>
      <x:c r="AM41" s="317" t="str">
        <x:v>Export vacío/inconsistente; filtros no aplicados; datos ajenos; reporte sin trazabilidad.</x:v>
      </x:c>
      <x:c r="AN41" s="317" t="str">
        <x:v>Revisar ReportsView → reports.controller → query/filtros → Report/DashboardSnapshot → exportador.</x:v>
      </x:c>
      <x:c r="AO41" s="317" t="str">
        <x:v>Generar; listar; exportar; permisos; filtros; historial; snapshot; contenido.</x:v>
      </x:c>
      <x:c r="AP41" s="317" t="str">
        <x:v>Eliminar/reemplazar reporte incorrecto solo con permiso y auditoría; regenerar desde fuente válida.</x:v>
      </x:c>
      <x:c r="AQ41" s="317" t="str">
        <x:v>Variable intermedia — Sistema web inteligente</x:v>
      </x:c>
      <x:c r="AR41" s="317" t="str">
        <x:v>Gestión, trazabilidad y calidad operativa</x:v>
      </x:c>
      <x:c r="AS41" s="317" t="str">
        <x:v>Reportes, historial y evidencia operativa</x:v>
      </x:c>
      <x:c r="AT41" s="317" t="str">
        <x:v>P15 / Anexo 07 (requisito RF-036)</x:v>
      </x:c>
      <x:c r="AU41" s="317" t="str">
        <x:v>Vercel/Railway/MySQL</x:v>
      </x:c>
      <x:c r="AV41" s="317" t="str">
        <x:v>ISO 9001 → ISO/IEC 25010 → P15 → Conservar historial de reportes → RF-036 → ReportsView → /reports; /dashboard-snapshot; /student-risks → Report; DashboardSnapshot; Student; Prediction → prueba/evidencia</x:v>
      </x:c>
      <x:c r="AW41" s="318" t="str">
        <x:v>APUNTES · ANEXO07 · TESIS · GITHUB(dataset-definitivo-2026) · VERCEL(ref. evidencia)</x:v>
      </x:c>
    </x:row>
    <x:row r="42" ht="92" customHeight="1">
      <x:c r="A42" s="330" t="str">
        <x:v>RF-037</x:v>
      </x:c>
      <x:c r="B42" s="331" t="str">
        <x:v>RF</x:v>
      </x:c>
      <x:c r="C42" s="323" t="str">
        <x:v>Dashboard y reportes</x:v>
      </x:c>
      <x:c r="D42" s="317" t="str">
        <x:v>7.5 información documentada; 9.1 análisis/evaluación; control de registros.</x:v>
      </x:c>
      <x:c r="E42" s="317" t="str">
        <x:v>MP04 Alerta y seguimiento</x:v>
      </x:c>
      <x:c r="F42" s="317" t="str">
        <x:v>P14/P15</x:v>
      </x:c>
      <x:c r="G42" s="317" t="str">
        <x:v>Guardar snapshot dashboard</x:v>
      </x:c>
      <x:c r="H42" s="317" t="str">
        <x:v>El sistema debe guardar snapshots de dashboard cuando corresponda.</x:v>
      </x:c>
      <x:c r="I42" s="317" t="str">
        <x:v>Convierte los datos autorizados en evidencia consultable/exportable y conserva historial operativo.</x:v>
      </x:c>
      <x:c r="J42" s="317" t="str">
        <x:v>Filtros, periodo, scope y datos</x:v>
      </x:c>
      <x:c r="K42" s="317" t="str">
        <x:v>Solo datos autorizados; exportación no debe exponer secretos; conservar historial cuando aplique.</x:v>
      </x:c>
      <x:c r="L42" s="317" t="str">
        <x:v>Reporte/exportación/snapshot trazable</x:v>
      </x:c>
      <x:c r="M42" s="334" t="str">
        <x:v>Guarda/consulta</x:v>
      </x:c>
      <x:c r="N42" s="334" t="str">
        <x:v>Consulta</x:v>
      </x:c>
      <x:c r="O42" s="334" t="str">
        <x:v>No</x:v>
      </x:c>
      <x:c r="P42" s="317" t="str">
        <x:v>ReportsView</x:v>
      </x:c>
      <x:c r="Q42" s="317" t="str">
        <x:v>/reports; /dashboard-snapshot; /student-risks</x:v>
      </x:c>
      <x:c r="R42" s="317" t="str">
        <x:v>reports.controller.ts</x:v>
      </x:c>
      <x:c r="S42" s="317" t="str">
        <x:v>Report; DashboardSnapshot; Student; Prediction</x:v>
      </x:c>
      <x:c r="T42" s="317" t="str">
        <x:v>Next.js/React + Express + Prisma/MySQL + exportación/snapshots</x:v>
      </x:c>
      <x:c r="U42" s="317" t="str">
        <x:v>Datos autorizados → Express reports → persistencia → export/UI</x:v>
      </x:c>
      <x:c r="V42" s="317" t="str">
        <x:v>Sin IA directa / soporte al sistema</x:v>
      </x:c>
      <x:c r="W42" s="317" t="str">
        <x:v>Reportes demo prueban software, no resultados científicos.</x:v>
      </x:c>
      <x:c r="X42" s="317" t="str">
        <x:v>D — cumple requisito, validación, regla y salida esperada</x:v>
      </x:c>
      <x:c r="Y42" s="317" t="str">
        <x:v>D — medir tiempo/recursos en QA y registrar umbral</x:v>
      </x:c>
      <x:c r="Z42" s="317" t="str">
        <x:v>D — contrato entre UI/API/BD/ML debe ser compatible</x:v>
      </x:c>
      <x:c r="AA42" s="317" t="str">
        <x:v>D — navegación/formulario/mensaje comprensible por rol</x:v>
      </x:c>
      <x:c r="AB42" s="317" t="str">
        <x:v>D — manejo de error, persistencia y recuperación verificables</x:v>
      </x:c>
      <x:c r="AC42" s="317" t="str">
        <x:v>S — control de acceso y mínimo privilegio</x:v>
      </x:c>
      <x:c r="AD42" s="317" t="str">
        <x:v>D — módulo/capa localizable, testeable y analizable por Sonar</x:v>
      </x:c>
      <x:c r="AE42" s="317" t="str">
        <x:v>S — depende de env, Docker y despliegue estandarizado</x:v>
      </x:c>
      <x:c r="AF42" s="317" t="str">
        <x:v>Funcional + exportación + permisos + consistencia; asociar RF → caso → evidencia dentro de la matriz de 86 casos.</x:v>
      </x:c>
      <x:c r="AG42" s="317" t="str">
        <x:v>Funcional + exportación + permisos + consistencia</x:v>
      </x:c>
      <x:c r="AH42" s="317" t="str">
        <x:v>Dado un usuario/contexto válido, cuando ejecuta la función con datos válidos, entonces completa la operación respetando permisos, validaciones y persistencia; errores deben ser controlados.</x:v>
      </x:c>
      <x:c r="AI42" s="317" t="str">
        <x:v>GitHub/código + respuesta UI/API + persistencia/log; Sonar/QA según riesgo. https://taller1-frontend.vercel.app</x:v>
      </x:c>
      <x:c r="AJ42" s="317" t="str">
        <x:v>Confidencialidad de reportes, autorización, no exposición de secretos.</x:v>
      </x:c>
      <x:c r="AK42" s="317" t="str">
        <x:v>ReportsView + reports.controller</x:v>
      </x:c>
      <x:c r="AL42" s="317" t="str">
        <x:v>ReportsView | reports.controller.ts | Report; DashboardSnapshot; Student; Prediction</x:v>
      </x:c>
      <x:c r="AM42" s="317" t="str">
        <x:v>Export vacío/inconsistente; filtros no aplicados; datos ajenos; reporte sin trazabilidad.</x:v>
      </x:c>
      <x:c r="AN42" s="317" t="str">
        <x:v>Revisar ReportsView → reports.controller → query/filtros → Report/DashboardSnapshot → exportador.</x:v>
      </x:c>
      <x:c r="AO42" s="317" t="str">
        <x:v>Generar; listar; exportar; permisos; filtros; historial; snapshot; contenido.</x:v>
      </x:c>
      <x:c r="AP42" s="317" t="str">
        <x:v>Eliminar/reemplazar reporte incorrecto solo con permiso y auditoría; regenerar desde fuente válida.</x:v>
      </x:c>
      <x:c r="AQ42" s="317" t="str">
        <x:v>Variable intermedia — Sistema web inteligente</x:v>
      </x:c>
      <x:c r="AR42" s="317" t="str">
        <x:v>Gestión, trazabilidad y calidad operativa</x:v>
      </x:c>
      <x:c r="AS42" s="317" t="str">
        <x:v>Reportes, historial y evidencia operativa</x:v>
      </x:c>
      <x:c r="AT42" s="317" t="str">
        <x:v>P14/P15 / Anexo 07 (requisito RF-037)</x:v>
      </x:c>
      <x:c r="AU42" s="317" t="str">
        <x:v>Vercel/Railway/MySQL</x:v>
      </x:c>
      <x:c r="AV42" s="317" t="str">
        <x:v>ISO 9001 → ISO/IEC 25010 → P14/P15 → Guardar snapshot dashboard → RF-037 → ReportsView → /reports; /dashboard-snapshot; /student-risks → Report; DashboardSnapshot; Student; Prediction → prueba/evidencia</x:v>
      </x:c>
      <x:c r="AW42" s="318" t="str">
        <x:v>APUNTES · ANEXO07 · TESIS · GITHUB(dataset-definitivo-2026) · VERCEL(ref. evidencia)</x:v>
      </x:c>
    </x:row>
    <x:row r="43" ht="92" customHeight="1">
      <x:c r="A43" s="330" t="str">
        <x:v>RF-038</x:v>
      </x:c>
      <x:c r="B43" s="331" t="str">
        <x:v>RF</x:v>
      </x:c>
      <x:c r="C43" s="323" t="str">
        <x:v>Mensajería y notificaciones</x:v>
      </x:c>
      <x:c r="D43" s="317" t="str">
        <x:v>7.4 comunicación; 7.5 información documentada; 8.5 operación.</x:v>
      </x:c>
      <x:c r="E43" s="317" t="str">
        <x:v>MP04 Alerta y seguimiento</x:v>
      </x:c>
      <x:c r="F43" s="317" t="str">
        <x:v>P16</x:v>
      </x:c>
      <x:c r="G43" s="317" t="str">
        <x:v>Consultar salas autorizadas</x:v>
      </x:c>
      <x:c r="H43" s="317" t="str">
        <x:v>Los usuarios autenticados deben consultar salas de mensajería autorizadas.</x:v>
      </x:c>
      <x:c r="I43" s="317" t="str">
        <x:v>Facilita comunicación institucional trazable entre los actores autorizados del sistema.</x:v>
      </x:c>
      <x:c r="J43" s="317" t="str">
        <x:v>Remitente, destinatario/sala, mensaje/aviso</x:v>
      </x:c>
      <x:c r="K43" s="317" t="str">
        <x:v>Sala y destinatario autorizados; registrar lectura; no exponer mensajes fuera del alcance.</x:v>
      </x:c>
      <x:c r="L43" s="317" t="str">
        <x:v>Mensaje/aviso/notificación persistida y lectura</x:v>
      </x:c>
      <x:c r="M43" s="334" t="str">
        <x:v>Usa</x:v>
      </x:c>
      <x:c r="N43" s="334" t="str">
        <x:v>Usa</x:v>
      </x:c>
      <x:c r="O43" s="334" t="str">
        <x:v>Usa</x:v>
      </x:c>
      <x:c r="P43" s="317" t="str">
        <x:v>MensajeriaAcademicaView</x:v>
      </x:c>
      <x:c r="Q43" s="317" t="str">
        <x:v>/messages; /announcements; /notifications</x:v>
      </x:c>
      <x:c r="R43" s="317" t="str">
        <x:v>messages.controller.ts; notification routes</x:v>
      </x:c>
      <x:c r="S43" s="317" t="str">
        <x:v>ChatMessage; MessageRead; Notification; User</x:v>
      </x:c>
      <x:c r="T43" s="317" t="str">
        <x:v>Next.js/React + Express + Prisma/MySQL</x:v>
      </x:c>
      <x:c r="U43" s="317" t="str">
        <x:v>Next.js mensajería → Express rooms/messages/notifications → Prisma → MySQL</x:v>
      </x:c>
      <x:c r="V43" s="317" t="str">
        <x:v>Sin IA directa / soporte al sistema</x:v>
      </x:c>
      <x:c r="W43" s="317" t="str">
        <x:v>Mensajes demo solo QA.</x:v>
      </x:c>
      <x:c r="X43" s="317" t="str">
        <x:v>D — cumple requisito, validación, regla y salida esperada</x:v>
      </x:c>
      <x:c r="Y43" s="317" t="str">
        <x:v>S — operación debe mantenerse dentro de umbrales del entorno</x:v>
      </x:c>
      <x:c r="Z43" s="317" t="str">
        <x:v>D — contrato entre UI/API/BD/ML debe ser compatible</x:v>
      </x:c>
      <x:c r="AA43" s="317" t="str">
        <x:v>D — navegación/formulario/mensaje comprensible por rol</x:v>
      </x:c>
      <x:c r="AB43" s="317" t="str">
        <x:v>S — no debe degradar consistencia ni continuidad</x:v>
      </x:c>
      <x:c r="AC43" s="317" t="str">
        <x:v>S — control de acceso y mínimo privilegio</x:v>
      </x:c>
      <x:c r="AD43" s="317" t="str">
        <x:v>D — módulo/capa localizable, testeable y analizable por Sonar</x:v>
      </x:c>
      <x:c r="AE43" s="317" t="str">
        <x:v>S — depende de env, Docker y despliegue estandarizado</x:v>
      </x:c>
      <x:c r="AF43" s="317" t="str">
        <x:v>Funcional + permisos + integración + lectura; asociar RF → caso → evidencia dentro de la matriz de 86 casos.</x:v>
      </x:c>
      <x:c r="AG43" s="317" t="str">
        <x:v>Funcional + permisos + integración + lectura</x:v>
      </x:c>
      <x:c r="AH43" s="317" t="str">
        <x:v>Dado un usuario/contexto válido, cuando ejecuta la función con datos válidos, entonces completa la operación respetando permisos, validaciones y persistencia; errores deben ser controlados.</x:v>
      </x:c>
      <x:c r="AI43" s="317" t="str">
        <x:v>GitHub/código + respuesta UI/API + persistencia/log; Sonar/QA según riesgo. https://taller1-frontend.vercel.app</x:v>
      </x:c>
      <x:c r="AJ43" s="317" t="str">
        <x:v>Confidencialidad por destinatario/sala + integridad + trazabilidad.</x:v>
      </x:c>
      <x:c r="AK43" s="317" t="str">
        <x:v>MensajeriaAcademicaView + messages.controller</x:v>
      </x:c>
      <x:c r="AL43" s="317" t="str">
        <x:v>MensajeriaAcademicaView | messages.controller.ts; notification routes | ChatMessage; MessageRead; Notification; User</x:v>
      </x:c>
      <x:c r="AM43" s="317" t="str">
        <x:v>Sala ajena; lectura no registra; notificación duplicada; destinatario incorrecto.</x:v>
      </x:c>
      <x:c r="AN43" s="317" t="str">
        <x:v>Revisar MensajeriaAcademicaView → messages.controller/routes → ChatMessage/MessageRead/Notification → scope.</x:v>
      </x:c>
      <x:c r="AO43" s="317" t="str">
        <x:v>Listar salas; enviar; recibir; marcar lectura; avisos; notificaciones; permisos.</x:v>
      </x:c>
      <x:c r="AP43" s="317" t="str">
        <x:v>Ocultar/corregir comunicación enviada erróneamente según política; preservar auditoría.</x:v>
      </x:c>
      <x:c r="AQ43" s="317" t="str">
        <x:v>Variable intermedia — Sistema web inteligente</x:v>
      </x:c>
      <x:c r="AR43" s="317" t="str">
        <x:v>Gestión, trazabilidad y calidad operativa</x:v>
      </x:c>
      <x:c r="AS43" s="317" t="str">
        <x:v>Comunicación, lectura y trazabilidad de seguimiento</x:v>
      </x:c>
      <x:c r="AT43" s="317" t="str">
        <x:v>P16 / Anexo 07 (requisito RF-038)</x:v>
      </x:c>
      <x:c r="AU43" s="317" t="str">
        <x:v>Vercel/Railway/MySQL</x:v>
      </x:c>
      <x:c r="AV43" s="317" t="str">
        <x:v>ISO 9001 → ISO/IEC 25010 → P16 → Consultar salas autorizadas → RF-038 → MensajeriaAcademicaView → /messages; /announcements; /notifications → ChatMessage; MessageRead; Notification; User → prueba/evidencia</x:v>
      </x:c>
      <x:c r="AW43" s="318" t="str">
        <x:v>APUNTES · ANEXO07 · TESIS · GITHUB(dataset-definitivo-2026) · VERCEL(ref. evidencia)</x:v>
      </x:c>
    </x:row>
    <x:row r="44" ht="92" customHeight="1">
      <x:c r="A44" s="330" t="str">
        <x:v>RF-039</x:v>
      </x:c>
      <x:c r="B44" s="331" t="str">
        <x:v>RF</x:v>
      </x:c>
      <x:c r="C44" s="323" t="str">
        <x:v>Mensajería y notificaciones</x:v>
      </x:c>
      <x:c r="D44" s="317" t="str">
        <x:v>7.4 comunicación; 7.5 información documentada; 8.5 operación.</x:v>
      </x:c>
      <x:c r="E44" s="317" t="str">
        <x:v>MP04 Alerta y seguimiento</x:v>
      </x:c>
      <x:c r="F44" s="317" t="str">
        <x:v>P16</x:v>
      </x:c>
      <x:c r="G44" s="317" t="str">
        <x:v>Enviar mensaje</x:v>
      </x:c>
      <x:c r="H44" s="317" t="str">
        <x:v>Los usuarios deben poder enviar mensajes dentro de su alcance.</x:v>
      </x:c>
      <x:c r="I44" s="317" t="str">
        <x:v>Facilita comunicación institucional trazable entre los actores autorizados del sistema.</x:v>
      </x:c>
      <x:c r="J44" s="317" t="str">
        <x:v>Remitente, destinatario/sala, mensaje/aviso</x:v>
      </x:c>
      <x:c r="K44" s="317" t="str">
        <x:v>Sala y destinatario autorizados; registrar lectura; no exponer mensajes fuera del alcance.</x:v>
      </x:c>
      <x:c r="L44" s="317" t="str">
        <x:v>Mensaje/aviso/notificación persistida y lectura</x:v>
      </x:c>
      <x:c r="M44" s="334" t="str">
        <x:v>Envía</x:v>
      </x:c>
      <x:c r="N44" s="334" t="str">
        <x:v>Envía</x:v>
      </x:c>
      <x:c r="O44" s="334" t="str">
        <x:v>Envía según sala</x:v>
      </x:c>
      <x:c r="P44" s="317" t="str">
        <x:v>MensajeriaAcademicaView</x:v>
      </x:c>
      <x:c r="Q44" s="317" t="str">
        <x:v>/messages; /announcements; /notifications</x:v>
      </x:c>
      <x:c r="R44" s="317" t="str">
        <x:v>messages.controller.ts; notification routes</x:v>
      </x:c>
      <x:c r="S44" s="317" t="str">
        <x:v>ChatMessage; MessageRead; Notification; User</x:v>
      </x:c>
      <x:c r="T44" s="317" t="str">
        <x:v>Next.js/React + Express + Prisma/MySQL</x:v>
      </x:c>
      <x:c r="U44" s="317" t="str">
        <x:v>Next.js mensajería → Express rooms/messages/notifications → Prisma → MySQL</x:v>
      </x:c>
      <x:c r="V44" s="317" t="str">
        <x:v>Sin IA directa / soporte al sistema</x:v>
      </x:c>
      <x:c r="W44" s="317" t="str">
        <x:v>Mensajes demo solo QA.</x:v>
      </x:c>
      <x:c r="X44" s="317" t="str">
        <x:v>D — cumple requisito, validación, regla y salida esperada</x:v>
      </x:c>
      <x:c r="Y44" s="317" t="str">
        <x:v>S — operación debe mantenerse dentro de umbrales del entorno</x:v>
      </x:c>
      <x:c r="Z44" s="317" t="str">
        <x:v>D — contrato entre UI/API/BD/ML debe ser compatible</x:v>
      </x:c>
      <x:c r="AA44" s="317" t="str">
        <x:v>D — navegación/formulario/mensaje comprensible por rol</x:v>
      </x:c>
      <x:c r="AB44" s="317" t="str">
        <x:v>S — no debe degradar consistencia ni continuidad</x:v>
      </x:c>
      <x:c r="AC44" s="317" t="str">
        <x:v>S — control de acceso y mínimo privilegio</x:v>
      </x:c>
      <x:c r="AD44" s="317" t="str">
        <x:v>D — módulo/capa localizable, testeable y analizable por Sonar</x:v>
      </x:c>
      <x:c r="AE44" s="317" t="str">
        <x:v>S — depende de env, Docker y despliegue estandarizado</x:v>
      </x:c>
      <x:c r="AF44" s="317" t="str">
        <x:v>Funcional + permisos + integración + lectura; asociar RF → caso → evidencia dentro de la matriz de 86 casos.</x:v>
      </x:c>
      <x:c r="AG44" s="317" t="str">
        <x:v>Funcional + permisos + integración + lectura</x:v>
      </x:c>
      <x:c r="AH44" s="317" t="str">
        <x:v>Dado un usuario/contexto válido, cuando ejecuta la función con datos válidos, entonces completa la operación respetando permisos, validaciones y persistencia; errores deben ser controlados.</x:v>
      </x:c>
      <x:c r="AI44" s="317" t="str">
        <x:v>GitHub/código + respuesta UI/API + persistencia/log; Sonar/QA según riesgo. https://taller1-frontend.vercel.app</x:v>
      </x:c>
      <x:c r="AJ44" s="317" t="str">
        <x:v>Confidencialidad por destinatario/sala + integridad + trazabilidad.</x:v>
      </x:c>
      <x:c r="AK44" s="317" t="str">
        <x:v>MensajeriaAcademicaView + messages.controller</x:v>
      </x:c>
      <x:c r="AL44" s="317" t="str">
        <x:v>MensajeriaAcademicaView | messages.controller.ts; notification routes | ChatMessage; MessageRead; Notification; User</x:v>
      </x:c>
      <x:c r="AM44" s="317" t="str">
        <x:v>Sala ajena; lectura no registra; notificación duplicada; destinatario incorrecto.</x:v>
      </x:c>
      <x:c r="AN44" s="317" t="str">
        <x:v>Revisar MensajeriaAcademicaView → messages.controller/routes → ChatMessage/MessageRead/Notification → scope.</x:v>
      </x:c>
      <x:c r="AO44" s="317" t="str">
        <x:v>Listar salas; enviar; recibir; marcar lectura; avisos; notificaciones; permisos.</x:v>
      </x:c>
      <x:c r="AP44" s="317" t="str">
        <x:v>Ocultar/corregir comunicación enviada erróneamente según política; preservar auditoría.</x:v>
      </x:c>
      <x:c r="AQ44" s="317" t="str">
        <x:v>Variable intermedia — Sistema web inteligente</x:v>
      </x:c>
      <x:c r="AR44" s="317" t="str">
        <x:v>Gestión, trazabilidad y calidad operativa</x:v>
      </x:c>
      <x:c r="AS44" s="317" t="str">
        <x:v>Comunicación, lectura y trazabilidad de seguimiento</x:v>
      </x:c>
      <x:c r="AT44" s="317" t="str">
        <x:v>P16 / Anexo 07 (requisito RF-039)</x:v>
      </x:c>
      <x:c r="AU44" s="317" t="str">
        <x:v>Vercel/Railway/MySQL</x:v>
      </x:c>
      <x:c r="AV44" s="317" t="str">
        <x:v>ISO 9001 → ISO/IEC 25010 → P16 → Enviar mensaje → RF-039 → MensajeriaAcademicaView → /messages; /announcements; /notifications → ChatMessage; MessageRead; Notification; User → prueba/evidencia</x:v>
      </x:c>
      <x:c r="AW44" s="318" t="str">
        <x:v>APUNTES · ANEXO07 · TESIS · GITHUB(dataset-definitivo-2026) · VERCEL(ref. evidencia)</x:v>
      </x:c>
    </x:row>
    <x:row r="45" ht="92" customHeight="1">
      <x:c r="A45" s="330" t="str">
        <x:v>RF-040</x:v>
      </x:c>
      <x:c r="B45" s="331" t="str">
        <x:v>RF</x:v>
      </x:c>
      <x:c r="C45" s="323" t="str">
        <x:v>Mensajería y notificaciones</x:v>
      </x:c>
      <x:c r="D45" s="317" t="str">
        <x:v>7.4 comunicación; 7.5 información documentada; 8.5 operación.</x:v>
      </x:c>
      <x:c r="E45" s="317" t="str">
        <x:v>MP04 Alerta y seguimiento</x:v>
      </x:c>
      <x:c r="F45" s="317" t="str">
        <x:v>P16</x:v>
      </x:c>
      <x:c r="G45" s="317" t="str">
        <x:v>Registrar lectura</x:v>
      </x:c>
      <x:c r="H45" s="317" t="str">
        <x:v>El sistema debe registrar lecturas de mensajes.</x:v>
      </x:c>
      <x:c r="I45" s="317" t="str">
        <x:v>Facilita comunicación institucional trazable entre los actores autorizados del sistema.</x:v>
      </x:c>
      <x:c r="J45" s="317" t="str">
        <x:v>Remitente, destinatario/sala, mensaje/aviso</x:v>
      </x:c>
      <x:c r="K45" s="317" t="str">
        <x:v>Sala y destinatario autorizados; registrar lectura; no exponer mensajes fuera del alcance.</x:v>
      </x:c>
      <x:c r="L45" s="317" t="str">
        <x:v>Mensaje/aviso/notificación persistida y lectura</x:v>
      </x:c>
      <x:c r="M45" s="334" t="str">
        <x:v>Usa</x:v>
      </x:c>
      <x:c r="N45" s="334" t="str">
        <x:v>Usa</x:v>
      </x:c>
      <x:c r="O45" s="334" t="str">
        <x:v>Usa</x:v>
      </x:c>
      <x:c r="P45" s="317" t="str">
        <x:v>MensajeriaAcademicaView</x:v>
      </x:c>
      <x:c r="Q45" s="317" t="str">
        <x:v>/messages; /announcements; /notifications</x:v>
      </x:c>
      <x:c r="R45" s="317" t="str">
        <x:v>messages.controller.ts; notification routes</x:v>
      </x:c>
      <x:c r="S45" s="317" t="str">
        <x:v>ChatMessage; MessageRead; Notification; User</x:v>
      </x:c>
      <x:c r="T45" s="317" t="str">
        <x:v>Next.js/React + Express + Prisma/MySQL</x:v>
      </x:c>
      <x:c r="U45" s="317" t="str">
        <x:v>Next.js mensajería → Express rooms/messages/notifications → Prisma → MySQL</x:v>
      </x:c>
      <x:c r="V45" s="317" t="str">
        <x:v>Sin IA directa / soporte al sistema</x:v>
      </x:c>
      <x:c r="W45" s="317" t="str">
        <x:v>Mensajes demo solo QA.</x:v>
      </x:c>
      <x:c r="X45" s="317" t="str">
        <x:v>D — cumple requisito, validación, regla y salida esperada</x:v>
      </x:c>
      <x:c r="Y45" s="317" t="str">
        <x:v>S — operación debe mantenerse dentro de umbrales del entorno</x:v>
      </x:c>
      <x:c r="Z45" s="317" t="str">
        <x:v>D — contrato entre UI/API/BD/ML debe ser compatible</x:v>
      </x:c>
      <x:c r="AA45" s="317" t="str">
        <x:v>D — navegación/formulario/mensaje comprensible por rol</x:v>
      </x:c>
      <x:c r="AB45" s="317" t="str">
        <x:v>S — no debe degradar consistencia ni continuidad</x:v>
      </x:c>
      <x:c r="AC45" s="317" t="str">
        <x:v>S — control de acceso y mínimo privilegio</x:v>
      </x:c>
      <x:c r="AD45" s="317" t="str">
        <x:v>D — módulo/capa localizable, testeable y analizable por Sonar</x:v>
      </x:c>
      <x:c r="AE45" s="317" t="str">
        <x:v>S — depende de env, Docker y despliegue estandarizado</x:v>
      </x:c>
      <x:c r="AF45" s="317" t="str">
        <x:v>Funcional + permisos + integración + lectura; asociar RF → caso → evidencia dentro de la matriz de 86 casos.</x:v>
      </x:c>
      <x:c r="AG45" s="317" t="str">
        <x:v>Funcional + permisos + integración + lectura</x:v>
      </x:c>
      <x:c r="AH45" s="317" t="str">
        <x:v>Dado un usuario/contexto válido, cuando ejecuta la función con datos válidos, entonces completa la operación respetando permisos, validaciones y persistencia; errores deben ser controlados.</x:v>
      </x:c>
      <x:c r="AI45" s="317" t="str">
        <x:v>GitHub/código + respuesta UI/API + persistencia/log; Sonar/QA según riesgo. https://taller1-frontend.vercel.app</x:v>
      </x:c>
      <x:c r="AJ45" s="317" t="str">
        <x:v>Confidencialidad por destinatario/sala + integridad + trazabilidad.</x:v>
      </x:c>
      <x:c r="AK45" s="317" t="str">
        <x:v>MensajeriaAcademicaView + messages.controller</x:v>
      </x:c>
      <x:c r="AL45" s="317" t="str">
        <x:v>MensajeriaAcademicaView | messages.controller.ts; notification routes | ChatMessage; MessageRead; Notification; User</x:v>
      </x:c>
      <x:c r="AM45" s="317" t="str">
        <x:v>Sala ajena; lectura no registra; notificación duplicada; destinatario incorrecto.</x:v>
      </x:c>
      <x:c r="AN45" s="317" t="str">
        <x:v>Revisar MensajeriaAcademicaView → messages.controller/routes → ChatMessage/MessageRead/Notification → scope.</x:v>
      </x:c>
      <x:c r="AO45" s="317" t="str">
        <x:v>Listar salas; enviar; recibir; marcar lectura; avisos; notificaciones; permisos.</x:v>
      </x:c>
      <x:c r="AP45" s="317" t="str">
        <x:v>Ocultar/corregir comunicación enviada erróneamente según política; preservar auditoría.</x:v>
      </x:c>
      <x:c r="AQ45" s="317" t="str">
        <x:v>Variable intermedia — Sistema web inteligente</x:v>
      </x:c>
      <x:c r="AR45" s="317" t="str">
        <x:v>Gestión, trazabilidad y calidad operativa</x:v>
      </x:c>
      <x:c r="AS45" s="317" t="str">
        <x:v>Comunicación, lectura y trazabilidad de seguimiento</x:v>
      </x:c>
      <x:c r="AT45" s="317" t="str">
        <x:v>P16 / Anexo 07 (requisito RF-040)</x:v>
      </x:c>
      <x:c r="AU45" s="317" t="str">
        <x:v>Vercel/Railway/MySQL</x:v>
      </x:c>
      <x:c r="AV45" s="317" t="str">
        <x:v>ISO 9001 → ISO/IEC 25010 → P16 → Registrar lectura → RF-040 → MensajeriaAcademicaView → /messages; /announcements; /notifications → ChatMessage; MessageRead; Notification; User → prueba/evidencia</x:v>
      </x:c>
      <x:c r="AW45" s="318" t="str">
        <x:v>APUNTES · ANEXO07 · TESIS · GITHUB(dataset-definitivo-2026) · VERCEL(ref. evidencia)</x:v>
      </x:c>
    </x:row>
    <x:row r="46" ht="92" customHeight="1">
      <x:c r="A46" s="330" t="str">
        <x:v>RF-041</x:v>
      </x:c>
      <x:c r="B46" s="331" t="str">
        <x:v>RF</x:v>
      </x:c>
      <x:c r="C46" s="323" t="str">
        <x:v>Mensajería y notificaciones</x:v>
      </x:c>
      <x:c r="D46" s="317" t="str">
        <x:v>7.4 comunicación; 7.5 información documentada; 8.5 operación.</x:v>
      </x:c>
      <x:c r="E46" s="317" t="str">
        <x:v>MP04 Alerta y seguimiento</x:v>
      </x:c>
      <x:c r="F46" s="317" t="str">
        <x:v>P16</x:v>
      </x:c>
      <x:c r="G46" s="317" t="str">
        <x:v>Mostrar/marcar notificaciones</x:v>
      </x:c>
      <x:c r="H46" s="317" t="str">
        <x:v>El sistema debe mostrar notificaciones y permitir marcarlas como leídas.</x:v>
      </x:c>
      <x:c r="I46" s="317" t="str">
        <x:v>Facilita comunicación institucional trazable entre los actores autorizados del sistema.</x:v>
      </x:c>
      <x:c r="J46" s="317" t="str">
        <x:v>Remitente, destinatario/sala, mensaje/aviso</x:v>
      </x:c>
      <x:c r="K46" s="317" t="str">
        <x:v>Sala y destinatario autorizados; registrar lectura; no exponer mensajes fuera del alcance.</x:v>
      </x:c>
      <x:c r="L46" s="317" t="str">
        <x:v>Mensaje/aviso/notificación persistida y lectura</x:v>
      </x:c>
      <x:c r="M46" s="334" t="str">
        <x:v>Usa</x:v>
      </x:c>
      <x:c r="N46" s="334" t="str">
        <x:v>Usa</x:v>
      </x:c>
      <x:c r="O46" s="334" t="str">
        <x:v>Usa</x:v>
      </x:c>
      <x:c r="P46" s="317" t="str">
        <x:v>MensajeriaAcademicaView</x:v>
      </x:c>
      <x:c r="Q46" s="317" t="str">
        <x:v>/messages; /announcements; /notifications</x:v>
      </x:c>
      <x:c r="R46" s="317" t="str">
        <x:v>messages.controller.ts; notification routes</x:v>
      </x:c>
      <x:c r="S46" s="317" t="str">
        <x:v>ChatMessage; MessageRead; Notification; User</x:v>
      </x:c>
      <x:c r="T46" s="317" t="str">
        <x:v>Next.js/React + Express + Prisma/MySQL</x:v>
      </x:c>
      <x:c r="U46" s="317" t="str">
        <x:v>Next.js mensajería → Express rooms/messages/notifications → Prisma → MySQL</x:v>
      </x:c>
      <x:c r="V46" s="317" t="str">
        <x:v>Sin IA directa / soporte al sistema</x:v>
      </x:c>
      <x:c r="W46" s="317" t="str">
        <x:v>Mensajes demo solo QA.</x:v>
      </x:c>
      <x:c r="X46" s="317" t="str">
        <x:v>D — cumple requisito, validación, regla y salida esperada</x:v>
      </x:c>
      <x:c r="Y46" s="317" t="str">
        <x:v>S — operación debe mantenerse dentro de umbrales del entorno</x:v>
      </x:c>
      <x:c r="Z46" s="317" t="str">
        <x:v>D — contrato entre UI/API/BD/ML debe ser compatible</x:v>
      </x:c>
      <x:c r="AA46" s="317" t="str">
        <x:v>D — navegación/formulario/mensaje comprensible por rol</x:v>
      </x:c>
      <x:c r="AB46" s="317" t="str">
        <x:v>S — no debe degradar consistencia ni continuidad</x:v>
      </x:c>
      <x:c r="AC46" s="317" t="str">
        <x:v>S — control de acceso y mínimo privilegio</x:v>
      </x:c>
      <x:c r="AD46" s="317" t="str">
        <x:v>D — módulo/capa localizable, testeable y analizable por Sonar</x:v>
      </x:c>
      <x:c r="AE46" s="317" t="str">
        <x:v>S — depende de env, Docker y despliegue estandarizado</x:v>
      </x:c>
      <x:c r="AF46" s="317" t="str">
        <x:v>Funcional + permisos + integración + lectura; asociar RF → caso → evidencia dentro de la matriz de 86 casos.</x:v>
      </x:c>
      <x:c r="AG46" s="317" t="str">
        <x:v>Funcional + permisos + integración + lectura</x:v>
      </x:c>
      <x:c r="AH46" s="317" t="str">
        <x:v>Dado un usuario/contexto válido, cuando ejecuta la función con datos válidos, entonces completa la operación respetando permisos, validaciones y persistencia; errores deben ser controlados.</x:v>
      </x:c>
      <x:c r="AI46" s="317" t="str">
        <x:v>GitHub/código + respuesta UI/API + persistencia/log; Sonar/QA según riesgo. https://taller1-frontend.vercel.app</x:v>
      </x:c>
      <x:c r="AJ46" s="317" t="str">
        <x:v>Confidencialidad por destinatario/sala + integridad + trazabilidad.</x:v>
      </x:c>
      <x:c r="AK46" s="317" t="str">
        <x:v>MensajeriaAcademicaView + messages.controller</x:v>
      </x:c>
      <x:c r="AL46" s="317" t="str">
        <x:v>MensajeriaAcademicaView | messages.controller.ts; notification routes | ChatMessage; MessageRead; Notification; User</x:v>
      </x:c>
      <x:c r="AM46" s="317" t="str">
        <x:v>Sala ajena; lectura no registra; notificación duplicada; destinatario incorrecto.</x:v>
      </x:c>
      <x:c r="AN46" s="317" t="str">
        <x:v>Revisar MensajeriaAcademicaView → messages.controller/routes → ChatMessage/MessageRead/Notification → scope.</x:v>
      </x:c>
      <x:c r="AO46" s="317" t="str">
        <x:v>Listar salas; enviar; recibir; marcar lectura; avisos; notificaciones; permisos.</x:v>
      </x:c>
      <x:c r="AP46" s="317" t="str">
        <x:v>Ocultar/corregir comunicación enviada erróneamente según política; preservar auditoría.</x:v>
      </x:c>
      <x:c r="AQ46" s="317" t="str">
        <x:v>Variable intermedia — Sistema web inteligente</x:v>
      </x:c>
      <x:c r="AR46" s="317" t="str">
        <x:v>Gestión, trazabilidad y calidad operativa</x:v>
      </x:c>
      <x:c r="AS46" s="317" t="str">
        <x:v>Comunicación, lectura y trazabilidad de seguimiento</x:v>
      </x:c>
      <x:c r="AT46" s="317" t="str">
        <x:v>P16 / Anexo 07 (requisito RF-041)</x:v>
      </x:c>
      <x:c r="AU46" s="317" t="str">
        <x:v>Vercel/Railway/MySQL</x:v>
      </x:c>
      <x:c r="AV46" s="317" t="str">
        <x:v>ISO 9001 → ISO/IEC 25010 → P16 → Mostrar/marcar notificaciones → RF-041 → MensajeriaAcademicaView → /messages; /announcements; /notifications → ChatMessage; MessageRead; Notification; User → prueba/evidencia</x:v>
      </x:c>
      <x:c r="AW46" s="318" t="str">
        <x:v>APUNTES · ANEXO07 · TESIS · GITHUB(dataset-definitivo-2026) · VERCEL(ref. evidencia)</x:v>
      </x:c>
    </x:row>
    <x:row r="47" ht="92" customHeight="1">
      <x:c r="A47" s="330" t="str">
        <x:v>RF-042</x:v>
      </x:c>
      <x:c r="B47" s="331" t="str">
        <x:v>RF</x:v>
      </x:c>
      <x:c r="C47" s="323" t="str">
        <x:v>Administración y auditoría</x:v>
      </x:c>
      <x:c r="D47" s="317" t="str">
        <x:v>5.3 roles; 7.5 registros; 9.2 auditoría; 9.1 evaluación; 10.2 corrección.</x:v>
      </x:c>
      <x:c r="E47" s="317" t="str">
        <x:v>MP01 Gestión institucional y acceso</x:v>
      </x:c>
      <x:c r="F47" s="317" t="str">
        <x:v>P18</x:v>
      </x:c>
      <x:c r="G47" s="317" t="str">
        <x:v>Administrar usuarios</x:v>
      </x:c>
      <x:c r="H47" s="317" t="str">
        <x:v>El Director debe administrar usuarios.</x:v>
      </x:c>
      <x:c r="I47" s="317" t="str">
        <x:v>Proporciona control administrativo, auditoría, configuración y trazabilidad de operaciones críticas.</x:v>
      </x:c>
      <x:c r="J47" s="317" t="str">
        <x:v>Usuario admin, filtros/acción administrativa</x:v>
      </x:c>
      <x:c r="K47" s="317" t="str">
        <x:v>Solo Director/admin; no exponer password; toda operación crítica debe ser trazable.</x:v>
      </x:c>
      <x:c r="L47" s="317" t="str">
        <x:v>Usuarios, logs, estadísticas o configuración</x:v>
      </x:c>
      <x:c r="M47" s="334" t="str">
        <x:v>Administra</x:v>
      </x:c>
      <x:c r="N47" s="334" t="str">
        <x:v>No</x:v>
      </x:c>
      <x:c r="O47" s="334" t="str">
        <x:v>No</x:v>
      </x:c>
      <x:c r="P47" s="317" t="str">
        <x:v>AuditView; SettingsView; administración</x:v>
      </x:c>
      <x:c r="Q47" s="317" t="str">
        <x:v>/admin/users; /admin/audit-logs; /admin/system-stats; /admin/cuentas-acceso; /admin/settings</x:v>
      </x:c>
      <x:c r="R47" s="317" t="str">
        <x:v>admin.controller.ts; accounts-export.controller.ts; settings.controller.ts; utils/audit.ts</x:v>
      </x:c>
      <x:c r="S47" s="317" t="str">
        <x:v>User; Role; Permission; AuditLog; SystemConfig</x:v>
      </x:c>
      <x:c r="T47" s="317" t="str">
        <x:v>Next.js/React + Express + Prisma/MySQL + AuditLog/SystemConfig</x:v>
      </x:c>
      <x:c r="U47" s="317" t="str">
        <x:v>UI administración → Express admin-only → Prisma → MySQL</x:v>
      </x:c>
      <x:c r="V47" s="317" t="str">
        <x:v>Sin IA directa / soporte al sistema</x:v>
      </x:c>
      <x:c r="W47" s="317" t="str">
        <x:v>Cuentas demo rotuladas; nunca exportar contraseña en claro.</x:v>
      </x:c>
      <x:c r="X47" s="317" t="str">
        <x:v>D — cumple requisito, validación, regla y salida esperada</x:v>
      </x:c>
      <x:c r="Y47" s="317" t="str">
        <x:v>S — operación debe mantenerse dentro de umbrales del entorno</x:v>
      </x:c>
      <x:c r="Z47" s="317" t="str">
        <x:v>D — contrato entre UI/API/BD/ML debe ser compatible</x:v>
      </x:c>
      <x:c r="AA47" s="317" t="str">
        <x:v>D — navegación/formulario/mensaje comprensible por rol</x:v>
      </x:c>
      <x:c r="AB47" s="317" t="str">
        <x:v>S — no debe degradar consistencia ni continuidad</x:v>
      </x:c>
      <x:c r="AC47" s="317" t="str">
        <x:v>D — RBAC/privacidad/integridad/secretos aplican directamente</x:v>
      </x:c>
      <x:c r="AD47" s="317" t="str">
        <x:v>D — módulo/capa localizable, testeable y analizable por Sonar</x:v>
      </x:c>
      <x:c r="AE47" s="317" t="str">
        <x:v>S — depende de env, Docker y despliegue estandarizado</x:v>
      </x:c>
      <x:c r="AF47" s="317" t="str">
        <x:v>Seguridad + autorización + auditoría + regresión; asociar RF → caso → evidencia dentro de la matriz de 86 casos.</x:v>
      </x:c>
      <x:c r="AG47" s="317" t="str">
        <x:v>Seguridad + autorización + auditoría + regresión</x:v>
      </x:c>
      <x:c r="AH47" s="317" t="str">
        <x:v>Dado un usuario/contexto válido, cuando ejecuta la función con datos válidos, entonces completa la operación respetando permisos, validaciones y persistencia; errores deben ser controlados.</x:v>
      </x:c>
      <x:c r="AI47" s="317" t="str">
        <x:v>GitHub/código + respuesta UI/API + persistencia/log; Sonar/QA según riesgo. https://taller1-frontend.vercel.app</x:v>
      </x:c>
      <x:c r="AJ47" s="317" t="str">
        <x:v>Gestión de privilegios, logging, protección de credenciales, segregación de funciones.</x:v>
      </x:c>
      <x:c r="AK47" s="317" t="str">
        <x:v>Audit/Settings + admin/accounts/settings + audit util</x:v>
      </x:c>
      <x:c r="AL47" s="317" t="str">
        <x:v>AuditView; SettingsView; administración | admin.controller.ts; accounts-export.controller.ts; settings.controller.ts; utils/audit.ts | User; Role; Permission; AuditLog; SystemConfig</x:v>
      </x:c>
      <x:c r="AM47" s="317" t="str">
        <x:v>Escalada de privilegio; secreto expuesto; log faltante; stats incorrectas; configuración no autorizada.</x:v>
      </x:c>
      <x:c r="AN47" s="317" t="str">
        <x:v>Revisar rutas authorize(admin) → admin/accounts/settings controller → audit → schema/config.</x:v>
      </x:c>
      <x:c r="AO47" s="317" t="str">
        <x:v>403 no admin; CRUD admin; logs; stats; export sin password; configuración; auditoría.</x:v>
      </x:c>
      <x:c r="AP47" s="317" t="str">
        <x:v>Revocar privilegios/sesiones; restaurar configuración previa; preservar logs; rotar secreto si hubo exposición.</x:v>
      </x:c>
      <x:c r="AQ47" s="317" t="str">
        <x:v>Variable intermedia — Sistema web inteligente</x:v>
      </x:c>
      <x:c r="AR47" s="317" t="str">
        <x:v>Gestión, trazabilidad y calidad operativa</x:v>
      </x:c>
      <x:c r="AS47" s="317" t="str">
        <x:v>Auditoría, confiabilidad, mantenibilidad y control administrativo</x:v>
      </x:c>
      <x:c r="AT47" s="317" t="str">
        <x:v>P18 / Anexo 07 (requisito RF-042)</x:v>
      </x:c>
      <x:c r="AU47" s="317" t="str">
        <x:v>Vercel/Railway/MySQL</x:v>
      </x:c>
      <x:c r="AV47" s="317" t="str">
        <x:v>ISO 9001 → ISO/IEC 25010 → P18 → Administrar usuarios → RF-042 → AuditView; SettingsView; administración → /admin/users; /admin/audit-logs; /admin/system-stats; /admin/cuentas-acceso; /admin/settings → User; Role; Permission; AuditLog; SystemConfig → prueba/evidencia</x:v>
      </x:c>
      <x:c r="AW47" s="318" t="str">
        <x:v>APUNTES · ANEXO07 · TESIS · GITHUB(dataset-definitivo-2026) · VERCEL(ref. evidencia)</x:v>
      </x:c>
    </x:row>
    <x:row r="48" ht="92" customHeight="1">
      <x:c r="A48" s="330" t="str">
        <x:v>RF-043</x:v>
      </x:c>
      <x:c r="B48" s="331" t="str">
        <x:v>RF</x:v>
      </x:c>
      <x:c r="C48" s="323" t="str">
        <x:v>Administración y auditoría</x:v>
      </x:c>
      <x:c r="D48" s="317" t="str">
        <x:v>5.3 roles; 7.5 registros; 9.2 auditoría; 9.1 evaluación; 10.2 corrección.</x:v>
      </x:c>
      <x:c r="E48" s="317" t="str">
        <x:v>MP01 Gestión institucional y acceso</x:v>
      </x:c>
      <x:c r="F48" s="317" t="str">
        <x:v>P18</x:v>
      </x:c>
      <x:c r="G48" s="317" t="str">
        <x:v>Consultar logs</x:v>
      </x:c>
      <x:c r="H48" s="317" t="str">
        <x:v>El Director debe consultar logs de auditoría.</x:v>
      </x:c>
      <x:c r="I48" s="317" t="str">
        <x:v>Proporciona control administrativo, auditoría, configuración y trazabilidad de operaciones críticas.</x:v>
      </x:c>
      <x:c r="J48" s="317" t="str">
        <x:v>Usuario admin, filtros/acción administrativa</x:v>
      </x:c>
      <x:c r="K48" s="317" t="str">
        <x:v>Solo Director/admin; no exponer password; toda operación crítica debe ser trazable.</x:v>
      </x:c>
      <x:c r="L48" s="317" t="str">
        <x:v>Usuarios, logs, estadísticas o configuración</x:v>
      </x:c>
      <x:c r="M48" s="334" t="str">
        <x:v>Consulta</x:v>
      </x:c>
      <x:c r="N48" s="334" t="str">
        <x:v>No</x:v>
      </x:c>
      <x:c r="O48" s="334" t="str">
        <x:v>No</x:v>
      </x:c>
      <x:c r="P48" s="317" t="str">
        <x:v>AuditView; SettingsView; administración</x:v>
      </x:c>
      <x:c r="Q48" s="317" t="str">
        <x:v>/admin/users; /admin/audit-logs; /admin/system-stats; /admin/cuentas-acceso; /admin/settings</x:v>
      </x:c>
      <x:c r="R48" s="317" t="str">
        <x:v>admin.controller.ts; accounts-export.controller.ts; settings.controller.ts; utils/audit.ts</x:v>
      </x:c>
      <x:c r="S48" s="317" t="str">
        <x:v>User; Role; Permission; AuditLog; SystemConfig</x:v>
      </x:c>
      <x:c r="T48" s="317" t="str">
        <x:v>Next.js/React + Express + Prisma/MySQL + AuditLog/SystemConfig</x:v>
      </x:c>
      <x:c r="U48" s="317" t="str">
        <x:v>UI administración → Express admin-only → Prisma → MySQL</x:v>
      </x:c>
      <x:c r="V48" s="317" t="str">
        <x:v>Sin IA directa / soporte al sistema</x:v>
      </x:c>
      <x:c r="W48" s="317" t="str">
        <x:v>Cuentas demo rotuladas; nunca exportar contraseña en claro.</x:v>
      </x:c>
      <x:c r="X48" s="317" t="str">
        <x:v>D — cumple requisito, validación, regla y salida esperada</x:v>
      </x:c>
      <x:c r="Y48" s="317" t="str">
        <x:v>S — operación debe mantenerse dentro de umbrales del entorno</x:v>
      </x:c>
      <x:c r="Z48" s="317" t="str">
        <x:v>D — contrato entre UI/API/BD/ML debe ser compatible</x:v>
      </x:c>
      <x:c r="AA48" s="317" t="str">
        <x:v>D — navegación/formulario/mensaje comprensible por rol</x:v>
      </x:c>
      <x:c r="AB48" s="317" t="str">
        <x:v>S — no debe degradar consistencia ni continuidad</x:v>
      </x:c>
      <x:c r="AC48" s="317" t="str">
        <x:v>D — RBAC/privacidad/integridad/secretos aplican directamente</x:v>
      </x:c>
      <x:c r="AD48" s="317" t="str">
        <x:v>D — módulo/capa localizable, testeable y analizable por Sonar</x:v>
      </x:c>
      <x:c r="AE48" s="317" t="str">
        <x:v>S — depende de env, Docker y despliegue estandarizado</x:v>
      </x:c>
      <x:c r="AF48" s="317" t="str">
        <x:v>Seguridad + autorización + auditoría + regresión; asociar RF → caso → evidencia dentro de la matriz de 86 casos.</x:v>
      </x:c>
      <x:c r="AG48" s="317" t="str">
        <x:v>Seguridad + autorización + auditoría + regresión</x:v>
      </x:c>
      <x:c r="AH48" s="317" t="str">
        <x:v>Dado un usuario/contexto válido, cuando ejecuta la función con datos válidos, entonces completa la operación respetando permisos, validaciones y persistencia; errores deben ser controlados.</x:v>
      </x:c>
      <x:c r="AI48" s="317" t="str">
        <x:v>GitHub/código + respuesta UI/API + persistencia/log; Sonar/QA según riesgo. https://taller1-frontend.vercel.app</x:v>
      </x:c>
      <x:c r="AJ48" s="317" t="str">
        <x:v>Gestión de privilegios, logging, protección de credenciales, segregación de funciones.</x:v>
      </x:c>
      <x:c r="AK48" s="317" t="str">
        <x:v>Audit/Settings + admin/accounts/settings + audit util</x:v>
      </x:c>
      <x:c r="AL48" s="317" t="str">
        <x:v>AuditView; SettingsView; administración | admin.controller.ts; accounts-export.controller.ts; settings.controller.ts; utils/audit.ts | User; Role; Permission; AuditLog; SystemConfig</x:v>
      </x:c>
      <x:c r="AM48" s="317" t="str">
        <x:v>Escalada de privilegio; secreto expuesto; log faltante; stats incorrectas; configuración no autorizada.</x:v>
      </x:c>
      <x:c r="AN48" s="317" t="str">
        <x:v>Revisar rutas authorize(admin) → admin/accounts/settings controller → audit → schema/config.</x:v>
      </x:c>
      <x:c r="AO48" s="317" t="str">
        <x:v>403 no admin; CRUD admin; logs; stats; export sin password; configuración; auditoría.</x:v>
      </x:c>
      <x:c r="AP48" s="317" t="str">
        <x:v>Revocar privilegios/sesiones; restaurar configuración previa; preservar logs; rotar secreto si hubo exposición.</x:v>
      </x:c>
      <x:c r="AQ48" s="317" t="str">
        <x:v>Variable intermedia — Sistema web inteligente</x:v>
      </x:c>
      <x:c r="AR48" s="317" t="str">
        <x:v>Gestión, trazabilidad y calidad operativa</x:v>
      </x:c>
      <x:c r="AS48" s="317" t="str">
        <x:v>Auditoría, confiabilidad, mantenibilidad y control administrativo</x:v>
      </x:c>
      <x:c r="AT48" s="317" t="str">
        <x:v>P18 / Anexo 07 (requisito RF-043)</x:v>
      </x:c>
      <x:c r="AU48" s="317" t="str">
        <x:v>Vercel/Railway/MySQL</x:v>
      </x:c>
      <x:c r="AV48" s="317" t="str">
        <x:v>ISO 9001 → ISO/IEC 25010 → P18 → Consultar logs → RF-043 → AuditView; SettingsView; administración → /admin/users; /admin/audit-logs; /admin/system-stats; /admin/cuentas-acceso; /admin/settings → User; Role; Permission; AuditLog; SystemConfig → prueba/evidencia</x:v>
      </x:c>
      <x:c r="AW48" s="318" t="str">
        <x:v>APUNTES · ANEXO07 · TESIS · GITHUB(dataset-definitivo-2026) · VERCEL(ref. evidencia)</x:v>
      </x:c>
    </x:row>
    <x:row r="49" ht="92" customHeight="1">
      <x:c r="A49" s="330" t="str">
        <x:v>RF-044</x:v>
      </x:c>
      <x:c r="B49" s="331" t="str">
        <x:v>RF</x:v>
      </x:c>
      <x:c r="C49" s="323" t="str">
        <x:v>Administración y auditoría</x:v>
      </x:c>
      <x:c r="D49" s="317" t="str">
        <x:v>5.3 roles; 7.5 registros; 9.2 auditoría; 9.1 evaluación; 10.2 corrección.</x:v>
      </x:c>
      <x:c r="E49" s="317" t="str">
        <x:v>MP01 Gestión institucional y acceso</x:v>
      </x:c>
      <x:c r="F49" s="317" t="str">
        <x:v>P18</x:v>
      </x:c>
      <x:c r="G49" s="317" t="str">
        <x:v>Consultar estadísticas del sistema</x:v>
      </x:c>
      <x:c r="H49" s="317" t="str">
        <x:v>El Director debe consultar estadísticas del sistema.</x:v>
      </x:c>
      <x:c r="I49" s="317" t="str">
        <x:v>Proporciona control administrativo, auditoría, configuración y trazabilidad de operaciones críticas.</x:v>
      </x:c>
      <x:c r="J49" s="317" t="str">
        <x:v>Usuario admin, filtros/acción administrativa</x:v>
      </x:c>
      <x:c r="K49" s="317" t="str">
        <x:v>Solo Director/admin; no exponer password; toda operación crítica debe ser trazable.</x:v>
      </x:c>
      <x:c r="L49" s="317" t="str">
        <x:v>Usuarios, logs, estadísticas o configuración</x:v>
      </x:c>
      <x:c r="M49" s="334" t="str">
        <x:v>Consulta</x:v>
      </x:c>
      <x:c r="N49" s="334" t="str">
        <x:v>No</x:v>
      </x:c>
      <x:c r="O49" s="334" t="str">
        <x:v>No</x:v>
      </x:c>
      <x:c r="P49" s="317" t="str">
        <x:v>AuditView; SettingsView; administración</x:v>
      </x:c>
      <x:c r="Q49" s="317" t="str">
        <x:v>/admin/users; /admin/audit-logs; /admin/system-stats; /admin/cuentas-acceso; /admin/settings</x:v>
      </x:c>
      <x:c r="R49" s="317" t="str">
        <x:v>admin.controller.ts; accounts-export.controller.ts; settings.controller.ts; utils/audit.ts</x:v>
      </x:c>
      <x:c r="S49" s="317" t="str">
        <x:v>User; Role; Permission; AuditLog; SystemConfig</x:v>
      </x:c>
      <x:c r="T49" s="317" t="str">
        <x:v>Next.js/React + Express + Prisma/MySQL + AuditLog/SystemConfig</x:v>
      </x:c>
      <x:c r="U49" s="317" t="str">
        <x:v>UI administración → Express admin-only → Prisma → MySQL</x:v>
      </x:c>
      <x:c r="V49" s="317" t="str">
        <x:v>Sin IA directa / soporte al sistema</x:v>
      </x:c>
      <x:c r="W49" s="317" t="str">
        <x:v>Cuentas demo rotuladas; nunca exportar contraseña en claro.</x:v>
      </x:c>
      <x:c r="X49" s="317" t="str">
        <x:v>D — cumple requisito, validación, regla y salida esperada</x:v>
      </x:c>
      <x:c r="Y49" s="317" t="str">
        <x:v>S — operación debe mantenerse dentro de umbrales del entorno</x:v>
      </x:c>
      <x:c r="Z49" s="317" t="str">
        <x:v>D — contrato entre UI/API/BD/ML debe ser compatible</x:v>
      </x:c>
      <x:c r="AA49" s="317" t="str">
        <x:v>D — navegación/formulario/mensaje comprensible por rol</x:v>
      </x:c>
      <x:c r="AB49" s="317" t="str">
        <x:v>S — no debe degradar consistencia ni continuidad</x:v>
      </x:c>
      <x:c r="AC49" s="317" t="str">
        <x:v>D — RBAC/privacidad/integridad/secretos aplican directamente</x:v>
      </x:c>
      <x:c r="AD49" s="317" t="str">
        <x:v>D — módulo/capa localizable, testeable y analizable por Sonar</x:v>
      </x:c>
      <x:c r="AE49" s="317" t="str">
        <x:v>S — depende de env, Docker y despliegue estandarizado</x:v>
      </x:c>
      <x:c r="AF49" s="317" t="str">
        <x:v>Seguridad + autorización + auditoría + regresión; asociar RF → caso → evidencia dentro de la matriz de 86 casos.</x:v>
      </x:c>
      <x:c r="AG49" s="317" t="str">
        <x:v>Seguridad + autorización + auditoría + regresión</x:v>
      </x:c>
      <x:c r="AH49" s="317" t="str">
        <x:v>Dado un usuario/contexto válido, cuando ejecuta la función con datos válidos, entonces completa la operación respetando permisos, validaciones y persistencia; errores deben ser controlados.</x:v>
      </x:c>
      <x:c r="AI49" s="317" t="str">
        <x:v>GitHub/código + respuesta UI/API + persistencia/log; Sonar/QA según riesgo. https://taller1-frontend.vercel.app</x:v>
      </x:c>
      <x:c r="AJ49" s="317" t="str">
        <x:v>Gestión de privilegios, logging, protección de credenciales, segregación de funciones.</x:v>
      </x:c>
      <x:c r="AK49" s="317" t="str">
        <x:v>Audit/Settings + admin/accounts/settings + audit util</x:v>
      </x:c>
      <x:c r="AL49" s="317" t="str">
        <x:v>AuditView; SettingsView; administración | admin.controller.ts; accounts-export.controller.ts; settings.controller.ts; utils/audit.ts | User; Role; Permission; AuditLog; SystemConfig</x:v>
      </x:c>
      <x:c r="AM49" s="317" t="str">
        <x:v>Escalada de privilegio; secreto expuesto; log faltante; stats incorrectas; configuración no autorizada.</x:v>
      </x:c>
      <x:c r="AN49" s="317" t="str">
        <x:v>Revisar rutas authorize(admin) → admin/accounts/settings controller → audit → schema/config.</x:v>
      </x:c>
      <x:c r="AO49" s="317" t="str">
        <x:v>403 no admin; CRUD admin; logs; stats; export sin password; configuración; auditoría.</x:v>
      </x:c>
      <x:c r="AP49" s="317" t="str">
        <x:v>Revocar privilegios/sesiones; restaurar configuración previa; preservar logs; rotar secreto si hubo exposición.</x:v>
      </x:c>
      <x:c r="AQ49" s="317" t="str">
        <x:v>Variable intermedia — Sistema web inteligente</x:v>
      </x:c>
      <x:c r="AR49" s="317" t="str">
        <x:v>Gestión, trazabilidad y calidad operativa</x:v>
      </x:c>
      <x:c r="AS49" s="317" t="str">
        <x:v>Auditoría, confiabilidad, mantenibilidad y control administrativo</x:v>
      </x:c>
      <x:c r="AT49" s="317" t="str">
        <x:v>P18 / Anexo 07 (requisito RF-044)</x:v>
      </x:c>
      <x:c r="AU49" s="317" t="str">
        <x:v>Vercel/Railway/MySQL</x:v>
      </x:c>
      <x:c r="AV49" s="317" t="str">
        <x:v>ISO 9001 → ISO/IEC 25010 → P18 → Consultar estadísticas del sistema → RF-044 → AuditView; SettingsView; administración → /admin/users; /admin/audit-logs; /admin/system-stats; /admin/cuentas-acceso; /admin/settings → User; Role; Permission; AuditLog; SystemConfig → prueba/evidencia</x:v>
      </x:c>
      <x:c r="AW49" s="318" t="str">
        <x:v>APUNTES · ANEXO07 · TESIS · GITHUB(dataset-definitivo-2026) · VERCEL(ref. evidencia)</x:v>
      </x:c>
    </x:row>
    <x:row r="50" ht="92" customHeight="1">
      <x:c r="A50" s="330" t="str">
        <x:v>RF-045</x:v>
      </x:c>
      <x:c r="B50" s="331" t="str">
        <x:v>RF</x:v>
      </x:c>
      <x:c r="C50" s="323" t="str">
        <x:v>Administración y auditoría</x:v>
      </x:c>
      <x:c r="D50" s="317" t="str">
        <x:v>5.3 roles; 7.5 registros; 9.2 auditoría; 9.1 evaluación; 10.2 corrección.</x:v>
      </x:c>
      <x:c r="E50" s="317" t="str">
        <x:v>MP01 Gestión institucional y acceso</x:v>
      </x:c>
      <x:c r="F50" s="317" t="str">
        <x:v>P18</x:v>
      </x:c>
      <x:c r="G50" s="317" t="str">
        <x:v>Exportar cuentas sin contraseñas</x:v>
      </x:c>
      <x:c r="H50" s="317" t="str">
        <x:v>El sistema debe permitir exportar información de cuentas sin versionar contraseñas.</x:v>
      </x:c>
      <x:c r="I50" s="317" t="str">
        <x:v>Proporciona control administrativo, auditoría, configuración y trazabilidad de operaciones críticas.</x:v>
      </x:c>
      <x:c r="J50" s="317" t="str">
        <x:v>Usuario admin, filtros/acción administrativa</x:v>
      </x:c>
      <x:c r="K50" s="317" t="str">
        <x:v>Solo Director/admin; no exponer password; toda operación crítica debe ser trazable.</x:v>
      </x:c>
      <x:c r="L50" s="317" t="str">
        <x:v>Usuarios, logs, estadísticas o configuración</x:v>
      </x:c>
      <x:c r="M50" s="334" t="str">
        <x:v>Exporta</x:v>
      </x:c>
      <x:c r="N50" s="334" t="str">
        <x:v>No</x:v>
      </x:c>
      <x:c r="O50" s="334" t="str">
        <x:v>No</x:v>
      </x:c>
      <x:c r="P50" s="317" t="str">
        <x:v>AuditView; SettingsView; administración</x:v>
      </x:c>
      <x:c r="Q50" s="317" t="str">
        <x:v>/admin/users; /admin/audit-logs; /admin/system-stats; /admin/cuentas-acceso; /admin/settings</x:v>
      </x:c>
      <x:c r="R50" s="317" t="str">
        <x:v>admin.controller.ts; accounts-export.controller.ts; settings.controller.ts; utils/audit.ts</x:v>
      </x:c>
      <x:c r="S50" s="317" t="str">
        <x:v>User; Role; Permission; AuditLog; SystemConfig</x:v>
      </x:c>
      <x:c r="T50" s="317" t="str">
        <x:v>Next.js/React + Express + Prisma/MySQL + AuditLog/SystemConfig</x:v>
      </x:c>
      <x:c r="U50" s="317" t="str">
        <x:v>UI administración → Express admin-only → Prisma → MySQL</x:v>
      </x:c>
      <x:c r="V50" s="317" t="str">
        <x:v>Sin IA directa / soporte al sistema</x:v>
      </x:c>
      <x:c r="W50" s="317" t="str">
        <x:v>Cuentas demo rotuladas; nunca exportar contraseña en claro.</x:v>
      </x:c>
      <x:c r="X50" s="317" t="str">
        <x:v>D — cumple requisito, validación, regla y salida esperada</x:v>
      </x:c>
      <x:c r="Y50" s="317" t="str">
        <x:v>S — operación debe mantenerse dentro de umbrales del entorno</x:v>
      </x:c>
      <x:c r="Z50" s="317" t="str">
        <x:v>D — contrato entre UI/API/BD/ML debe ser compatible</x:v>
      </x:c>
      <x:c r="AA50" s="317" t="str">
        <x:v>D — navegación/formulario/mensaje comprensible por rol</x:v>
      </x:c>
      <x:c r="AB50" s="317" t="str">
        <x:v>S — no debe degradar consistencia ni continuidad</x:v>
      </x:c>
      <x:c r="AC50" s="317" t="str">
        <x:v>D — RBAC/privacidad/integridad/secretos aplican directamente</x:v>
      </x:c>
      <x:c r="AD50" s="317" t="str">
        <x:v>D — módulo/capa localizable, testeable y analizable por Sonar</x:v>
      </x:c>
      <x:c r="AE50" s="317" t="str">
        <x:v>S — depende de env, Docker y despliegue estandarizado</x:v>
      </x:c>
      <x:c r="AF50" s="317" t="str">
        <x:v>Seguridad + autorización + auditoría + regresión; asociar RF → caso → evidencia dentro de la matriz de 86 casos.</x:v>
      </x:c>
      <x:c r="AG50" s="317" t="str">
        <x:v>Seguridad + autorización + auditoría + regresión</x:v>
      </x:c>
      <x:c r="AH50" s="317" t="str">
        <x:v>Dado un usuario/contexto válido, cuando ejecuta la función con datos válidos, entonces completa la operación respetando permisos, validaciones y persistencia; errores deben ser controlados.</x:v>
      </x:c>
      <x:c r="AI50" s="317" t="str">
        <x:v>GitHub/código + respuesta UI/API + persistencia/log; Sonar/QA según riesgo. https://taller1-frontend.vercel.app</x:v>
      </x:c>
      <x:c r="AJ50" s="317" t="str">
        <x:v>Gestión de privilegios, logging, protección de credenciales, segregación de funciones.</x:v>
      </x:c>
      <x:c r="AK50" s="317" t="str">
        <x:v>Audit/Settings + admin/accounts/settings + audit util</x:v>
      </x:c>
      <x:c r="AL50" s="317" t="str">
        <x:v>AuditView; SettingsView; administración | admin.controller.ts; accounts-export.controller.ts; settings.controller.ts; utils/audit.ts | User; Role; Permission; AuditLog; SystemConfig</x:v>
      </x:c>
      <x:c r="AM50" s="317" t="str">
        <x:v>Escalada de privilegio; secreto expuesto; log faltante; stats incorrectas; configuración no autorizada.</x:v>
      </x:c>
      <x:c r="AN50" s="317" t="str">
        <x:v>Revisar rutas authorize(admin) → admin/accounts/settings controller → audit → schema/config.</x:v>
      </x:c>
      <x:c r="AO50" s="317" t="str">
        <x:v>403 no admin; CRUD admin; logs; stats; export sin password; configuración; auditoría.</x:v>
      </x:c>
      <x:c r="AP50" s="317" t="str">
        <x:v>Revocar privilegios/sesiones; restaurar configuración previa; preservar logs; rotar secreto si hubo exposición.</x:v>
      </x:c>
      <x:c r="AQ50" s="317" t="str">
        <x:v>Variable intermedia — Sistema web inteligente</x:v>
      </x:c>
      <x:c r="AR50" s="317" t="str">
        <x:v>Gestión, trazabilidad y calidad operativa</x:v>
      </x:c>
      <x:c r="AS50" s="317" t="str">
        <x:v>Auditoría, confiabilidad, mantenibilidad y control administrativo</x:v>
      </x:c>
      <x:c r="AT50" s="317" t="str">
        <x:v>P18 / Anexo 07 (requisito RF-045)</x:v>
      </x:c>
      <x:c r="AU50" s="317" t="str">
        <x:v>Vercel/Railway/MySQL</x:v>
      </x:c>
      <x:c r="AV50" s="317" t="str">
        <x:v>ISO 9001 → ISO/IEC 25010 → P18 → Exportar cuentas sin contraseñas → RF-045 → AuditView; SettingsView; administración → /admin/users; /admin/audit-logs; /admin/system-stats; /admin/cuentas-acceso; /admin/settings → User; Role; Permission; AuditLog; SystemConfig → prueba/evidencia</x:v>
      </x:c>
      <x:c r="AW50" s="318" t="str">
        <x:v>APUNTES · ANEXO07 · TESIS · GITHUB(dataset-definitivo-2026) · VERCEL(ref. evidencia)</x:v>
      </x:c>
    </x:row>
    <x:row r="51" ht="92" customHeight="1">
      <x:c r="A51" s="330" t="str">
        <x:v>RF-046</x:v>
      </x:c>
      <x:c r="B51" s="331" t="str">
        <x:v>RF</x:v>
      </x:c>
      <x:c r="C51" s="323" t="str">
        <x:v>Administración y auditoría</x:v>
      </x:c>
      <x:c r="D51" s="317" t="str">
        <x:v>5.3 roles; 7.5 registros; 9.2 auditoría; 9.1 evaluación; 10.2 corrección.</x:v>
      </x:c>
      <x:c r="E51" s="317" t="str">
        <x:v>MP01 Gestión institucional y acceso</x:v>
      </x:c>
      <x:c r="F51" s="317" t="str">
        <x:v>P18</x:v>
      </x:c>
      <x:c r="G51" s="317" t="str">
        <x:v>Registrar operación crítica</x:v>
      </x:c>
      <x:c r="H51" s="317" t="str">
        <x:v>El sistema debe registrar operaciones críticas para trazabilidad.</x:v>
      </x:c>
      <x:c r="I51" s="317" t="str">
        <x:v>Proporciona control administrativo, auditoría, configuración y trazabilidad de operaciones críticas.</x:v>
      </x:c>
      <x:c r="J51" s="317" t="str">
        <x:v>Usuario admin, filtros/acción administrativa</x:v>
      </x:c>
      <x:c r="K51" s="317" t="str">
        <x:v>Solo Director/admin; no exponer password; toda operación crítica debe ser trazable.</x:v>
      </x:c>
      <x:c r="L51" s="317" t="str">
        <x:v>Usuarios, logs, estadísticas o configuración</x:v>
      </x:c>
      <x:c r="M51" s="334" t="str">
        <x:v>Consulta</x:v>
      </x:c>
      <x:c r="N51" s="334" t="str">
        <x:v>Genera al operar</x:v>
      </x:c>
      <x:c r="O51" s="334" t="str">
        <x:v>Genera al operar</x:v>
      </x:c>
      <x:c r="P51" s="317" t="str">
        <x:v>AuditView; SettingsView; administración</x:v>
      </x:c>
      <x:c r="Q51" s="317" t="str">
        <x:v>/admin/users; /admin/audit-logs; /admin/system-stats; /admin/cuentas-acceso; /admin/settings</x:v>
      </x:c>
      <x:c r="R51" s="317" t="str">
        <x:v>admin.controller.ts; accounts-export.controller.ts; settings.controller.ts; utils/audit.ts</x:v>
      </x:c>
      <x:c r="S51" s="317" t="str">
        <x:v>User; Role; Permission; AuditLog; SystemConfig</x:v>
      </x:c>
      <x:c r="T51" s="317" t="str">
        <x:v>Next.js/React + Express + Prisma/MySQL + AuditLog/SystemConfig</x:v>
      </x:c>
      <x:c r="U51" s="317" t="str">
        <x:v>UI administración → Express admin-only → Prisma → MySQL</x:v>
      </x:c>
      <x:c r="V51" s="317" t="str">
        <x:v>Sin IA directa / soporte al sistema</x:v>
      </x:c>
      <x:c r="W51" s="317" t="str">
        <x:v>Cuentas demo rotuladas; nunca exportar contraseña en claro.</x:v>
      </x:c>
      <x:c r="X51" s="317" t="str">
        <x:v>D — cumple requisito, validación, regla y salida esperada</x:v>
      </x:c>
      <x:c r="Y51" s="317" t="str">
        <x:v>S — operación debe mantenerse dentro de umbrales del entorno</x:v>
      </x:c>
      <x:c r="Z51" s="317" t="str">
        <x:v>D — contrato entre UI/API/BD/ML debe ser compatible</x:v>
      </x:c>
      <x:c r="AA51" s="317" t="str">
        <x:v>D — navegación/formulario/mensaje comprensible por rol</x:v>
      </x:c>
      <x:c r="AB51" s="317" t="str">
        <x:v>S — no debe degradar consistencia ni continuidad</x:v>
      </x:c>
      <x:c r="AC51" s="317" t="str">
        <x:v>D — RBAC/privacidad/integridad/secretos aplican directamente</x:v>
      </x:c>
      <x:c r="AD51" s="317" t="str">
        <x:v>D — módulo/capa localizable, testeable y analizable por Sonar</x:v>
      </x:c>
      <x:c r="AE51" s="317" t="str">
        <x:v>S — depende de env, Docker y despliegue estandarizado</x:v>
      </x:c>
      <x:c r="AF51" s="317" t="str">
        <x:v>Seguridad + autorización + auditoría + regresión; asociar RF → caso → evidencia dentro de la matriz de 86 casos.</x:v>
      </x:c>
      <x:c r="AG51" s="317" t="str">
        <x:v>Seguridad + autorización + auditoría + regresión</x:v>
      </x:c>
      <x:c r="AH51" s="317" t="str">
        <x:v>Dado un usuario/contexto válido, cuando ejecuta la función con datos válidos, entonces completa la operación respetando permisos, validaciones y persistencia; errores deben ser controlados.</x:v>
      </x:c>
      <x:c r="AI51" s="317" t="str">
        <x:v>GitHub/código + respuesta UI/API + persistencia/log; Sonar/QA según riesgo. https://taller1-frontend.vercel.app</x:v>
      </x:c>
      <x:c r="AJ51" s="317" t="str">
        <x:v>Gestión de privilegios, logging, protección de credenciales, segregación de funciones.</x:v>
      </x:c>
      <x:c r="AK51" s="317" t="str">
        <x:v>Audit/Settings + admin/accounts/settings + audit util</x:v>
      </x:c>
      <x:c r="AL51" s="317" t="str">
        <x:v>AuditView; SettingsView; administración | admin.controller.ts; accounts-export.controller.ts; settings.controller.ts; utils/audit.ts | User; Role; Permission; AuditLog; SystemConfig</x:v>
      </x:c>
      <x:c r="AM51" s="317" t="str">
        <x:v>Escalada de privilegio; secreto expuesto; log faltante; stats incorrectas; configuración no autorizada.</x:v>
      </x:c>
      <x:c r="AN51" s="317" t="str">
        <x:v>Revisar rutas authorize(admin) → admin/accounts/settings controller → audit → schema/config.</x:v>
      </x:c>
      <x:c r="AO51" s="317" t="str">
        <x:v>403 no admin; CRUD admin; logs; stats; export sin password; configuración; auditoría.</x:v>
      </x:c>
      <x:c r="AP51" s="317" t="str">
        <x:v>Revocar privilegios/sesiones; restaurar configuración previa; preservar logs; rotar secreto si hubo exposición.</x:v>
      </x:c>
      <x:c r="AQ51" s="317" t="str">
        <x:v>Variable intermedia — Sistema web inteligente</x:v>
      </x:c>
      <x:c r="AR51" s="317" t="str">
        <x:v>Gestión, trazabilidad y calidad operativa</x:v>
      </x:c>
      <x:c r="AS51" s="317" t="str">
        <x:v>Auditoría, confiabilidad, mantenibilidad y control administrativo</x:v>
      </x:c>
      <x:c r="AT51" s="317" t="str">
        <x:v>P18 / Anexo 07 (requisito RF-046)</x:v>
      </x:c>
      <x:c r="AU51" s="317" t="str">
        <x:v>Vercel/Railway/MySQL</x:v>
      </x:c>
      <x:c r="AV51" s="317" t="str">
        <x:v>ISO 9001 → ISO/IEC 25010 → P18 → Registrar operación crítica → RF-046 → AuditView; SettingsView; administración → /admin/users; /admin/audit-logs; /admin/system-stats; /admin/cuentas-acceso; /admin/settings → User; Role; Permission; AuditLog; SystemConfig → prueba/evidencia</x:v>
      </x:c>
      <x:c r="AW51" s="318" t="str">
        <x:v>APUNTES · ANEXO07 · TESIS · GITHUB(dataset-definitivo-2026) · VERCEL(ref. evidencia)</x:v>
      </x:c>
    </x:row>
    <x:row r="52" ht="92" customHeight="1">
      <x:c r="A52" s="350" t="str">
        <x:v>RNF-001</x:v>
      </x:c>
      <x:c r="B52" s="351" t="str">
        <x:v>RNF</x:v>
      </x:c>
      <x:c r="C52" s="343" t="str">
        <x:v>Seguridad</x:v>
      </x:c>
      <x:c r="D52" s="337" t="str">
        <x:v>4.4 enfoque por procesos; 5.3 roles; 7.5 información documentada; 8.1 control operacional; 9.1 seguimiento.</x:v>
      </x:c>
      <x:c r="E52" s="337" t="str">
        <x:v>MP01 Gestión institucional y acceso</x:v>
      </x:c>
      <x:c r="F52" s="337" t="str">
        <x:v>P17</x:v>
      </x:c>
      <x:c r="G52" s="337" t="str">
        <x:v>Proteger contraseñas</x:v>
      </x:c>
      <x:c r="H52" s="337" t="str">
        <x:v>Las contraseñas no deben almacenarse en texto plano; deben usar hash seguro.</x:v>
      </x:c>
      <x:c r="I52" s="337" t="str">
        <x:v>Permite acceso seguro y segmentado al sistema; es la puerta de entrada para aplicar identidad, sesión, rol y trazabilidad.</x:v>
      </x:c>
      <x:c r="J52" s="337" t="str">
        <x:v>Credenciales, token/refresh token, identidad y rol</x:v>
      </x:c>
      <x:c r="K52" s="337" t="str">
        <x:v>Autenticación obligatoria; contraseña con hash; RBAC; sesión revocable; límite de intentos; 401/403/429 controlados.</x:v>
      </x:c>
      <x:c r="L52" s="337" t="str">
        <x:v>Sesión autenticada, autorizada, renovada o revocada</x:v>
      </x:c>
      <x:c r="M52" s="354" t="str">
        <x:v>Aplica / controla</x:v>
      </x:c>
      <x:c r="N52" s="354" t="str">
        <x:v>Aplica / usa</x:v>
      </x:c>
      <x:c r="O52" s="354" t="str">
        <x:v>Aplica / usa</x:v>
      </x:c>
      <x:c r="P52" s="337" t="str">
        <x:v>frontend/src/app/(auth)/login/page.tsx; frontend/src/contexts/AuthProvider.tsx</x:v>
      </x:c>
      <x:c r="Q52" s="337" t="str">
        <x:v>/auth/login; /auth/refresh; /auth/logout; /auth/me; /auth/change-password</x:v>
      </x:c>
      <x:c r="R52" s="337" t="str">
        <x:v>backend/src/controllers/auth.controller.ts; backend/src/middleware/auth.ts; backend/src/validators/schemas.ts</x:v>
      </x:c>
      <x:c r="S52" s="337" t="str">
        <x:v>User; Role; RolePermission; Permission; Session; IntentoLogin; AuditLog</x:v>
      </x:c>
      <x:c r="T52" s="337" t="str">
        <x:v>Next.js + React + TypeScript + AuthProvider + Node/Express + bcrypt + JWT + Prisma + MySQL</x:v>
      </x:c>
      <x:c r="U52" s="337" t="str">
        <x:v>Vercel/Next.js → AuthProvider/api client → Express auth routes/controller → Prisma → MySQL</x:v>
      </x:c>
      <x:c r="V52" s="337" t="str">
        <x:v>Soporte de calidad del software</x:v>
      </x:c>
      <x:c r="W52" s="337" t="str">
        <x:v>Cuentas demo sirven para QA funcional; credenciales reales/secretos no deben versionarse.</x:v>
      </x:c>
      <x:c r="X52" s="337" t="str">
        <x:v>S — restricción transversal que condiciona el funcionamiento</x:v>
      </x:c>
      <x:c r="Y52" s="337" t="str">
        <x:v>S — operación debe mantenerse dentro de umbrales del entorno</x:v>
      </x:c>
      <x:c r="Z52" s="337" t="str">
        <x:v>D — contrato entre UI/API/BD/ML debe ser compatible</x:v>
      </x:c>
      <x:c r="AA52" s="337" t="str">
        <x:v>D — navegación/formulario/mensaje comprensible por rol</x:v>
      </x:c>
      <x:c r="AB52" s="337" t="str">
        <x:v>D — manejo de error, persistencia y recuperación verificables</x:v>
      </x:c>
      <x:c r="AC52" s="337" t="str">
        <x:v>D — requisito principal: controles preventivos/detectivos y evidencia de acceso seguro</x:v>
      </x:c>
      <x:c r="AD52" s="337" t="str">
        <x:v>D — módulo/capa localizable, testeable y analizable por Sonar</x:v>
      </x:c>
      <x:c r="AE52" s="337" t="str">
        <x:v>S — depende de env, Docker y despliegue estandarizado</x:v>
      </x:c>
      <x:c r="AF52" s="337" t="str">
        <x:v>Caja negra + seguridad + integración + regresión; evidencia objetiva del RNF en pruebas no funcionales/estáticas/regresión.</x:v>
      </x:c>
      <x:c r="AG52" s="337" t="str">
        <x:v>Caja negra + seguridad + integración + regresión</x:v>
      </x:c>
      <x:c r="AH52" s="337" t="str">
        <x:v>El requisito de calidad se verifica mediante evidencia objetiva: configuración/código + ejecución de prueba + log/captura/resultado reproducible.</x:v>
      </x:c>
      <x:c r="AI52" s="337" t="str">
        <x:v>Configuración/código + QA + logs/capturas + Sonar/health/deployment según RNF.</x:v>
      </x:c>
      <x:c r="AJ52" s="337" t="str">
        <x:v>Confidencialidad + integridad + disponibilidad: hash bcrypt, JWT, RBAC, rate limit, sesiones, auditoría, secretos por env.</x:v>
      </x:c>
      <x:c r="AK52" s="337" t="str">
        <x:v>sonar-project.properties → frontend/src + backend/src; revisar vulnerabilidades, hotspots, code smells y duplicación.</x:v>
      </x:c>
      <x:c r="AL52" s="337" t="str">
        <x:v>frontend/src/app/(auth)/login/page.tsx; frontend/src/contexts/AuthProvider.tsx | backend/src/controllers/auth.controller.ts; backend/src/middleware/auth.ts; backend/src/validators/schemas.ts | User; Role; RolePermission; Permission; Session; IntentoLogin; AuditLog</x:v>
      </x:c>
      <x:c r="AM52" s="337" t="str">
        <x:v>401/403/429 inesperado; token expirado; sesión no restaurada; rol incorrecto; CORS/env mal configurado.</x:v>
      </x:c>
      <x:c r="AN52" s="337" t="str">
        <x:v>Revisar UI/validación → AuthProvider/api → auth.controller → middleware auth/RBAC → env/JWT → Session/User en Prisma.</x:v>
      </x:c>
      <x:c r="AO52" s="337" t="str">
        <x:v>Login válido/inválido; refresh; logout; restore session; cambio de contraseña; 401/403/429; UAT de 3 roles.</x:v>
      </x:c>
      <x:c r="AP52" s="337" t="str">
        <x:v>Revocar sesiones comprometidas; restaurar configuración/env previa; rollback de deployment; preservar AuditLog.</x:v>
      </x:c>
      <x:c r="AQ52" s="337" t="str">
        <x:v>Variable intermedia — Sistema web inteligente</x:v>
      </x:c>
      <x:c r="AR52" s="337" t="str">
        <x:v>Gestión, trazabilidad y calidad operativa</x:v>
      </x:c>
      <x:c r="AS52" s="337" t="str">
        <x:v>Autenticación/seguridad, trazabilidad de acceso y control por rol</x:v>
      </x:c>
      <x:c r="AT52" s="337" t="str">
        <x:v>P17 / Anexo 07 (requisito RNF-001)</x:v>
      </x:c>
      <x:c r="AU52" s="337" t="str">
        <x:v>Frontend Vercel + Backend Railway + MySQL Railway/local; variables NEXT_PUBLIC_API_URL, JWT_SECRET, CORS_ORIGIN.</x:v>
      </x:c>
      <x:c r="AV52" s="337" t="str">
        <x:v>ISO 9001 → ISO/IEC 25010 → P17 → Proteger contraseñas → RNF-001 → arquitectura/configuración → prueba no funcional → evidencia</x:v>
      </x:c>
      <x:c r="AW52" s="338" t="str">
        <x:v>APUNTES · ANEXO07 · TESIS · GITHUB(dataset-definitivo-2026) · VERCEL(ref. evidencia)</x:v>
      </x:c>
    </x:row>
    <x:row r="53" ht="92" customHeight="1">
      <x:c r="A53" s="350" t="str">
        <x:v>RNF-002</x:v>
      </x:c>
      <x:c r="B53" s="351" t="str">
        <x:v>RNF</x:v>
      </x:c>
      <x:c r="C53" s="343" t="str">
        <x:v>Seguridad</x:v>
      </x:c>
      <x:c r="D53" s="337" t="str">
        <x:v>7.1 recursos; 8.1 control operacional; 8.6 liberación; 9.1 evaluación; 10.2 acción correctiva.</x:v>
      </x:c>
      <x:c r="E53" s="337" t="str">
        <x:v>MP05 Operación tecnológica</x:v>
      </x:c>
      <x:c r="F53" s="337" t="str">
        <x:v>P19</x:v>
      </x:c>
      <x:c r="G53" s="337" t="str">
        <x:v>Gestionar secretos por entorno</x:v>
      </x:c>
      <x:c r="H53" s="337" t="str">
        <x:v>JWT_SECRET y contraseñas demo deben suministrarse por variables de entorno, no en código.</x:v>
      </x:c>
      <x:c r="I53" s="337" t="str">
        <x:v>Hace reproducible, verificable, desplegable y mantenible la solución completa en entornos local y nube.</x:v>
      </x:c>
      <x:c r="J53" s="337" t="str">
        <x:v>Código versionado, variables, migraciones, artefactos</x:v>
      </x:c>
      <x:c r="K53" s="337" t="str">
        <x:v>No ejecutar seed/db push destructivo en producción; variables por entorno; health/smoke antes de cerrar release.</x:v>
      </x:c>
      <x:c r="L53" s="337" t="str">
        <x:v>Versión desplegada, observable y verificable</x:v>
      </x:c>
      <x:c r="M53" s="354" t="str">
        <x:v>Aplica / controla</x:v>
      </x:c>
      <x:c r="N53" s="354" t="str">
        <x:v>Aplica / usa</x:v>
      </x:c>
      <x:c r="O53" s="354" t="str">
        <x:v>Aplica / usa</x:v>
      </x:c>
      <x:c r="P53" s="337" t="str">
        <x:v>No corresponde a una pantalla única</x:v>
      </x:c>
      <x:c r="Q53" s="337" t="str">
        <x:v>/health; build/CI/deploy</x:v>
      </x:c>
      <x:c r="R53" s="337" t="str">
        <x:v>backend/src/index.ts; config/env.ts; docker-compose.yml; .github/workflows; docs/DEPLOY.md</x:v>
      </x:c>
      <x:c r="S53" s="337" t="str">
        <x:v>MySQL + Prisma migrations; volúmenes/backups según entorno</x:v>
      </x:c>
      <x:c r="T53" s="337" t="str">
        <x:v>Git/GitHub + GitHub Actions + SonarCloud/SonarQube + Vercel + Railway + Docker Compose + MySQL + FastAPI</x:v>
      </x:c>
      <x:c r="U53" s="337" t="str">
        <x:v>GitHub → CI/QA/Sonar → Vercel frontend + Railway backend/MySQL + FastAPI ML independiente</x:v>
      </x:c>
      <x:c r="V53" s="337" t="str">
        <x:v>Soporte de calidad del software</x:v>
      </x:c>
      <x:c r="W53" s="337" t="str">
        <x:v>Seed solo en entorno autorizado de QA; producción preserva datos.</x:v>
      </x:c>
      <x:c r="X53" s="337" t="str">
        <x:v>S — restricción transversal que condiciona el funcionamiento</x:v>
      </x:c>
      <x:c r="Y53" s="337" t="str">
        <x:v>S — operación debe mantenerse dentro de umbrales del entorno</x:v>
      </x:c>
      <x:c r="Z53" s="337" t="str">
        <x:v>D — contrato entre UI/API/BD/ML debe ser compatible</x:v>
      </x:c>
      <x:c r="AA53" s="337" t="str">
        <x:v>S — evidencia técnica consumida por UI/operación</x:v>
      </x:c>
      <x:c r="AB53" s="337" t="str">
        <x:v>D — manejo de error, persistencia y recuperación verificables</x:v>
      </x:c>
      <x:c r="AC53" s="337" t="str">
        <x:v>D — requisito principal: controles preventivos/detectivos y evidencia de acceso seguro</x:v>
      </x:c>
      <x:c r="AD53" s="337" t="str">
        <x:v>D — módulo/capa localizable, testeable y analizable por Sonar</x:v>
      </x:c>
      <x:c r="AE53" s="337" t="str">
        <x:v>D — configuración/despliegue reproducible local/nube</x:v>
      </x:c>
      <x:c r="AF53" s="337" t="str">
        <x:v>Estática + integración + smoke + aceptación + regresión; evidencia objetiva del RNF en pruebas no funcionales/estáticas/regresión.</x:v>
      </x:c>
      <x:c r="AG53" s="337" t="str">
        <x:v>Estática + integración + smoke + aceptación + regresión</x:v>
      </x:c>
      <x:c r="AH53" s="337" t="str">
        <x:v>El requisito de calidad se verifica mediante evidencia objetiva: configuración/código + ejecución de prueba + log/captura/resultado reproducible.</x:v>
      </x:c>
      <x:c r="AI53" s="337" t="str">
        <x:v>Configuración/código + QA + logs/capturas + Sonar/health/deployment según RNF.</x:v>
      </x:c>
      <x:c r="AJ53" s="337" t="str">
        <x:v>Gestión de secretos/configuración, disponibilidad, backups, hardening y segregación de entornos.</x:v>
      </x:c>
      <x:c r="AK53" s="337" t="str">
        <x:v>sonar-project.properties + Quality Gate; GitHub Actions/QA pipeline.</x:v>
      </x:c>
      <x:c r="AL53" s="337" t="str">
        <x:v>No corresponde a una pantalla única | backend/src/index.ts; config/env.ts; docker-compose.yml; .github/workflows; docs/DEPLOY.md | MySQL + Prisma migrations; volúmenes/backups según entorno</x:v>
      </x:c>
      <x:c r="AM53" s="337" t="str">
        <x:v>Build falla; env faltante; CORS; health 5xx; migración P3009; deployment apunta a URL antigua.</x:v>
      </x:c>
      <x:c r="AN53" s="337" t="str">
        <x:v>Revisar CI/build → env → migrate deploy → health/logs → CORS → URLs → rollback si corresponde.</x:v>
      </x:c>
      <x:c r="AO53" s="337" t="str">
        <x:v>type-check, lint, tests, build, smoke, health, DB connectivity, auth, RBAC, predicción si disponible.</x:v>
      </x:c>
      <x:c r="AP53" s="337" t="str">
        <x:v>Rollback de deployment; restauración de backup antes de migración; no borrar datos para 'arreglar' P3009.</x:v>
      </x:c>
      <x:c r="AQ53" s="337" t="str">
        <x:v>Variable intermedia — Sistema web inteligente</x:v>
      </x:c>
      <x:c r="AR53" s="337" t="str">
        <x:v>Gestión, trazabilidad y calidad operativa</x:v>
      </x:c>
      <x:c r="AS53" s="337" t="str">
        <x:v>Confiabilidad, mantenibilidad, disponibilidad y portabilidad</x:v>
      </x:c>
      <x:c r="AT53" s="337" t="str">
        <x:v>P19 / Anexo 07 (requisito RNF-002)</x:v>
      </x:c>
      <x:c r="AU53" s="337" t="str">
        <x:v>Vercel + Railway + Docker local + SonarCloud + GitHub Actions.</x:v>
      </x:c>
      <x:c r="AV53" s="337" t="str">
        <x:v>ISO 9001 → ISO/IEC 25010 → P19 → Gestionar secretos por entorno → RNF-002 → arquitectura/configuración → prueba no funcional → evidencia</x:v>
      </x:c>
      <x:c r="AW53" s="338" t="str">
        <x:v>APUNTES · ANEXO07 · TESIS · GITHUB(dataset-definitivo-2026) · VERCEL(ref. evidencia)</x:v>
      </x:c>
    </x:row>
    <x:row r="54" ht="92" customHeight="1">
      <x:c r="A54" s="350" t="str">
        <x:v>RNF-003</x:v>
      </x:c>
      <x:c r="B54" s="351" t="str">
        <x:v>RNF</x:v>
      </x:c>
      <x:c r="C54" s="343" t="str">
        <x:v>Seguridad</x:v>
      </x:c>
      <x:c r="D54" s="337" t="str">
        <x:v>7.1 recursos; 8.1 control operacional; 8.6 liberación; 9.1 evaluación; 10.2 acción correctiva.</x:v>
      </x:c>
      <x:c r="E54" s="337" t="str">
        <x:v>MP05 Operación tecnológica</x:v>
      </x:c>
      <x:c r="F54" s="337" t="str">
        <x:v>P19</x:v>
      </x:c>
      <x:c r="G54" s="337" t="str">
        <x:v>Endurecer API</x:v>
      </x:c>
      <x:c r="H54" s="337" t="str">
        <x:v>La API debe usar Helmet, CORS controlado, rate limiting y validación/sanitización de entradas.</x:v>
      </x:c>
      <x:c r="I54" s="337" t="str">
        <x:v>Hace reproducible, verificable, desplegable y mantenible la solución completa en entornos local y nube.</x:v>
      </x:c>
      <x:c r="J54" s="337" t="str">
        <x:v>Código versionado, variables, migraciones, artefactos</x:v>
      </x:c>
      <x:c r="K54" s="337" t="str">
        <x:v>No ejecutar seed/db push destructivo en producción; variables por entorno; health/smoke antes de cerrar release.</x:v>
      </x:c>
      <x:c r="L54" s="337" t="str">
        <x:v>Versión desplegada, observable y verificable</x:v>
      </x:c>
      <x:c r="M54" s="354" t="str">
        <x:v>Aplica / controla</x:v>
      </x:c>
      <x:c r="N54" s="354" t="str">
        <x:v>Aplica / usa</x:v>
      </x:c>
      <x:c r="O54" s="354" t="str">
        <x:v>Aplica / usa</x:v>
      </x:c>
      <x:c r="P54" s="337" t="str">
        <x:v>No corresponde a una pantalla única</x:v>
      </x:c>
      <x:c r="Q54" s="337" t="str">
        <x:v>/health; build/CI/deploy</x:v>
      </x:c>
      <x:c r="R54" s="337" t="str">
        <x:v>backend/src/index.ts; config/env.ts; docker-compose.yml; .github/workflows; docs/DEPLOY.md</x:v>
      </x:c>
      <x:c r="S54" s="337" t="str">
        <x:v>MySQL + Prisma migrations; volúmenes/backups según entorno</x:v>
      </x:c>
      <x:c r="T54" s="337" t="str">
        <x:v>Git/GitHub + GitHub Actions + SonarCloud/SonarQube + Vercel + Railway + Docker Compose + MySQL + FastAPI</x:v>
      </x:c>
      <x:c r="U54" s="337" t="str">
        <x:v>GitHub → CI/QA/Sonar → Vercel frontend + Railway backend/MySQL + FastAPI ML independiente</x:v>
      </x:c>
      <x:c r="V54" s="337" t="str">
        <x:v>Soporte de calidad del software</x:v>
      </x:c>
      <x:c r="W54" s="337" t="str">
        <x:v>Seed solo en entorno autorizado de QA; producción preserva datos.</x:v>
      </x:c>
      <x:c r="X54" s="337" t="str">
        <x:v>S — restricción transversal que condiciona el funcionamiento</x:v>
      </x:c>
      <x:c r="Y54" s="337" t="str">
        <x:v>S — operación debe mantenerse dentro de umbrales del entorno</x:v>
      </x:c>
      <x:c r="Z54" s="337" t="str">
        <x:v>D — contrato entre UI/API/BD/ML debe ser compatible</x:v>
      </x:c>
      <x:c r="AA54" s="337" t="str">
        <x:v>S — evidencia técnica consumida por UI/operación</x:v>
      </x:c>
      <x:c r="AB54" s="337" t="str">
        <x:v>D — manejo de error, persistencia y recuperación verificables</x:v>
      </x:c>
      <x:c r="AC54" s="337" t="str">
        <x:v>D — requisito principal: controles preventivos/detectivos y evidencia de acceso seguro</x:v>
      </x:c>
      <x:c r="AD54" s="337" t="str">
        <x:v>D — módulo/capa localizable, testeable y analizable por Sonar</x:v>
      </x:c>
      <x:c r="AE54" s="337" t="str">
        <x:v>D — configuración/despliegue reproducible local/nube</x:v>
      </x:c>
      <x:c r="AF54" s="337" t="str">
        <x:v>Estática + integración + smoke + aceptación + regresión; evidencia objetiva del RNF en pruebas no funcionales/estáticas/regresión.</x:v>
      </x:c>
      <x:c r="AG54" s="337" t="str">
        <x:v>Estática + integración + smoke + aceptación + regresión</x:v>
      </x:c>
      <x:c r="AH54" s="337" t="str">
        <x:v>El requisito de calidad se verifica mediante evidencia objetiva: configuración/código + ejecución de prueba + log/captura/resultado reproducible.</x:v>
      </x:c>
      <x:c r="AI54" s="337" t="str">
        <x:v>Configuración/código + QA + logs/capturas + Sonar/health/deployment según RNF.</x:v>
      </x:c>
      <x:c r="AJ54" s="337" t="str">
        <x:v>Gestión de secretos/configuración, disponibilidad, backups, hardening y segregación de entornos.</x:v>
      </x:c>
      <x:c r="AK54" s="337" t="str">
        <x:v>sonar-project.properties + Quality Gate; GitHub Actions/QA pipeline.</x:v>
      </x:c>
      <x:c r="AL54" s="337" t="str">
        <x:v>No corresponde a una pantalla única | backend/src/index.ts; config/env.ts; docker-compose.yml; .github/workflows; docs/DEPLOY.md | MySQL + Prisma migrations; volúmenes/backups según entorno</x:v>
      </x:c>
      <x:c r="AM54" s="337" t="str">
        <x:v>Build falla; env faltante; CORS; health 5xx; migración P3009; deployment apunta a URL antigua.</x:v>
      </x:c>
      <x:c r="AN54" s="337" t="str">
        <x:v>Revisar CI/build → env → migrate deploy → health/logs → CORS → URLs → rollback si corresponde.</x:v>
      </x:c>
      <x:c r="AO54" s="337" t="str">
        <x:v>type-check, lint, tests, build, smoke, health, DB connectivity, auth, RBAC, predicción si disponible.</x:v>
      </x:c>
      <x:c r="AP54" s="337" t="str">
        <x:v>Rollback de deployment; restauración de backup antes de migración; no borrar datos para 'arreglar' P3009.</x:v>
      </x:c>
      <x:c r="AQ54" s="337" t="str">
        <x:v>Variable intermedia — Sistema web inteligente</x:v>
      </x:c>
      <x:c r="AR54" s="337" t="str">
        <x:v>Gestión, trazabilidad y calidad operativa</x:v>
      </x:c>
      <x:c r="AS54" s="337" t="str">
        <x:v>Confiabilidad, mantenibilidad, disponibilidad y portabilidad</x:v>
      </x:c>
      <x:c r="AT54" s="337" t="str">
        <x:v>P19 / Anexo 07 (requisito RNF-003)</x:v>
      </x:c>
      <x:c r="AU54" s="337" t="str">
        <x:v>Vercel + Railway + Docker local + SonarCloud + GitHub Actions.</x:v>
      </x:c>
      <x:c r="AV54" s="337" t="str">
        <x:v>ISO 9001 → ISO/IEC 25010 → P19 → Endurecer API → RNF-003 → arquitectura/configuración → prueba no funcional → evidencia</x:v>
      </x:c>
      <x:c r="AW54" s="338" t="str">
        <x:v>APUNTES · ANEXO07 · TESIS · GITHUB(dataset-definitivo-2026) · VERCEL(ref. evidencia)</x:v>
      </x:c>
    </x:row>
    <x:row r="55" ht="92" customHeight="1">
      <x:c r="A55" s="350" t="str">
        <x:v>RNF-004</x:v>
      </x:c>
      <x:c r="B55" s="351" t="str">
        <x:v>RNF</x:v>
      </x:c>
      <x:c r="C55" s="343" t="str">
        <x:v>Seguridad</x:v>
      </x:c>
      <x:c r="D55" s="337" t="str">
        <x:v>4.4 enfoque por procesos; 5.3 roles; 7.5 información documentada; 8.1 control operacional; 9.1 seguimiento.</x:v>
      </x:c>
      <x:c r="E55" s="337" t="str">
        <x:v>MP01 Gestión institucional y acceso</x:v>
      </x:c>
      <x:c r="F55" s="337" t="str">
        <x:v>P17</x:v>
      </x:c>
      <x:c r="G55" s="337" t="str">
        <x:v>Aplicar RBAC y scopes</x:v>
      </x:c>
      <x:c r="H55" s="337" t="str">
        <x:v>El acceso a datos debe respetar RBAC y scopes por rol.</x:v>
      </x:c>
      <x:c r="I55" s="337" t="str">
        <x:v>Permite acceso seguro y segmentado al sistema; es la puerta de entrada para aplicar identidad, sesión, rol y trazabilidad.</x:v>
      </x:c>
      <x:c r="J55" s="337" t="str">
        <x:v>Credenciales, token/refresh token, identidad y rol</x:v>
      </x:c>
      <x:c r="K55" s="337" t="str">
        <x:v>Autenticación obligatoria; contraseña con hash; RBAC; sesión revocable; límite de intentos; 401/403/429 controlados.</x:v>
      </x:c>
      <x:c r="L55" s="337" t="str">
        <x:v>Sesión autenticada, autorizada, renovada o revocada</x:v>
      </x:c>
      <x:c r="M55" s="354" t="str">
        <x:v>Aplica / controla</x:v>
      </x:c>
      <x:c r="N55" s="354" t="str">
        <x:v>Aplica / usa</x:v>
      </x:c>
      <x:c r="O55" s="354" t="str">
        <x:v>Aplica / usa</x:v>
      </x:c>
      <x:c r="P55" s="337" t="str">
        <x:v>frontend/src/app/(auth)/login/page.tsx; frontend/src/contexts/AuthProvider.tsx</x:v>
      </x:c>
      <x:c r="Q55" s="337" t="str">
        <x:v>/auth/login; /auth/refresh; /auth/logout; /auth/me; /auth/change-password</x:v>
      </x:c>
      <x:c r="R55" s="337" t="str">
        <x:v>backend/src/controllers/auth.controller.ts; backend/src/middleware/auth.ts; backend/src/validators/schemas.ts</x:v>
      </x:c>
      <x:c r="S55" s="337" t="str">
        <x:v>User; Role; RolePermission; Permission; Session; IntentoLogin; AuditLog</x:v>
      </x:c>
      <x:c r="T55" s="337" t="str">
        <x:v>Next.js + React + TypeScript + AuthProvider + Node/Express + bcrypt + JWT + Prisma + MySQL</x:v>
      </x:c>
      <x:c r="U55" s="337" t="str">
        <x:v>Vercel/Next.js → AuthProvider/api client → Express auth routes/controller → Prisma → MySQL</x:v>
      </x:c>
      <x:c r="V55" s="337" t="str">
        <x:v>Soporte de calidad del software</x:v>
      </x:c>
      <x:c r="W55" s="337" t="str">
        <x:v>Cuentas demo sirven para QA funcional; credenciales reales/secretos no deben versionarse.</x:v>
      </x:c>
      <x:c r="X55" s="337" t="str">
        <x:v>S — restricción transversal que condiciona el funcionamiento</x:v>
      </x:c>
      <x:c r="Y55" s="337" t="str">
        <x:v>S — operación debe mantenerse dentro de umbrales del entorno</x:v>
      </x:c>
      <x:c r="Z55" s="337" t="str">
        <x:v>D — contrato entre UI/API/BD/ML debe ser compatible</x:v>
      </x:c>
      <x:c r="AA55" s="337" t="str">
        <x:v>D — navegación/formulario/mensaje comprensible por rol</x:v>
      </x:c>
      <x:c r="AB55" s="337" t="str">
        <x:v>D — manejo de error, persistencia y recuperación verificables</x:v>
      </x:c>
      <x:c r="AC55" s="337" t="str">
        <x:v>D — requisito principal: controles preventivos/detectivos y evidencia de acceso seguro</x:v>
      </x:c>
      <x:c r="AD55" s="337" t="str">
        <x:v>D — módulo/capa localizable, testeable y analizable por Sonar</x:v>
      </x:c>
      <x:c r="AE55" s="337" t="str">
        <x:v>S — depende de env, Docker y despliegue estandarizado</x:v>
      </x:c>
      <x:c r="AF55" s="337" t="str">
        <x:v>Caja negra + seguridad + integración + regresión; evidencia objetiva del RNF en pruebas no funcionales/estáticas/regresión.</x:v>
      </x:c>
      <x:c r="AG55" s="337" t="str">
        <x:v>Caja negra + seguridad + integración + regresión</x:v>
      </x:c>
      <x:c r="AH55" s="337" t="str">
        <x:v>El requisito de calidad se verifica mediante evidencia objetiva: configuración/código + ejecución de prueba + log/captura/resultado reproducible.</x:v>
      </x:c>
      <x:c r="AI55" s="337" t="str">
        <x:v>Configuración/código + QA + logs/capturas + Sonar/health/deployment según RNF.</x:v>
      </x:c>
      <x:c r="AJ55" s="337" t="str">
        <x:v>Confidencialidad + integridad + disponibilidad: hash bcrypt, JWT, RBAC, rate limit, sesiones, auditoría, secretos por env.</x:v>
      </x:c>
      <x:c r="AK55" s="337" t="str">
        <x:v>sonar-project.properties → frontend/src + backend/src; revisar vulnerabilidades, hotspots, code smells y duplicación.</x:v>
      </x:c>
      <x:c r="AL55" s="337" t="str">
        <x:v>frontend/src/app/(auth)/login/page.tsx; frontend/src/contexts/AuthProvider.tsx | backend/src/controllers/auth.controller.ts; backend/src/middleware/auth.ts; backend/src/validators/schemas.ts | User; Role; RolePermission; Permission; Session; IntentoLogin; AuditLog</x:v>
      </x:c>
      <x:c r="AM55" s="337" t="str">
        <x:v>401/403/429 inesperado; token expirado; sesión no restaurada; rol incorrecto; CORS/env mal configurado.</x:v>
      </x:c>
      <x:c r="AN55" s="337" t="str">
        <x:v>Revisar UI/validación → AuthProvider/api → auth.controller → middleware auth/RBAC → env/JWT → Session/User en Prisma.</x:v>
      </x:c>
      <x:c r="AO55" s="337" t="str">
        <x:v>Login válido/inválido; refresh; logout; restore session; cambio de contraseña; 401/403/429; UAT de 3 roles.</x:v>
      </x:c>
      <x:c r="AP55" s="337" t="str">
        <x:v>Revocar sesiones comprometidas; restaurar configuración/env previa; rollback de deployment; preservar AuditLog.</x:v>
      </x:c>
      <x:c r="AQ55" s="337" t="str">
        <x:v>Variable intermedia — Sistema web inteligente</x:v>
      </x:c>
      <x:c r="AR55" s="337" t="str">
        <x:v>Gestión, trazabilidad y calidad operativa</x:v>
      </x:c>
      <x:c r="AS55" s="337" t="str">
        <x:v>Autenticación/seguridad, trazabilidad de acceso y control por rol</x:v>
      </x:c>
      <x:c r="AT55" s="337" t="str">
        <x:v>P17 / Anexo 07 (requisito RNF-004)</x:v>
      </x:c>
      <x:c r="AU55" s="337" t="str">
        <x:v>Frontend Vercel + Backend Railway + MySQL Railway/local; variables NEXT_PUBLIC_API_URL, JWT_SECRET, CORS_ORIGIN.</x:v>
      </x:c>
      <x:c r="AV55" s="337" t="str">
        <x:v>ISO 9001 → ISO/IEC 25010 → P17 → Aplicar RBAC y scopes → RNF-004 → arquitectura/configuración → prueba no funcional → evidencia</x:v>
      </x:c>
      <x:c r="AW55" s="338" t="str">
        <x:v>APUNTES · ANEXO07 · TESIS · GITHUB(dataset-definitivo-2026) · VERCEL(ref. evidencia)</x:v>
      </x:c>
    </x:row>
    <x:row r="56" ht="92" customHeight="1">
      <x:c r="A56" s="350" t="str">
        <x:v>RNF-005</x:v>
      </x:c>
      <x:c r="B56" s="351" t="str">
        <x:v>RNF</x:v>
      </x:c>
      <x:c r="C56" s="343" t="str">
        <x:v>Fiabilidad</x:v>
      </x:c>
      <x:c r="D56" s="337" t="str">
        <x:v>7.1 recursos; 8.1 control operacional; 8.6 liberación; 9.1 evaluación; 10.2 acción correctiva.</x:v>
      </x:c>
      <x:c r="E56" s="337" t="str">
        <x:v>MP05 Operación tecnológica</x:v>
      </x:c>
      <x:c r="F56" s="337" t="str">
        <x:v>P19</x:v>
      </x:c>
      <x:c r="G56" s="337" t="str">
        <x:v>Exponer health y errores controlados</x:v>
      </x:c>
      <x:c r="H56" s="337" t="str">
        <x:v>El backend debe exponer health check y manejar errores de forma centralizada.</x:v>
      </x:c>
      <x:c r="I56" s="337" t="str">
        <x:v>Hace reproducible, verificable, desplegable y mantenible la solución completa en entornos local y nube.</x:v>
      </x:c>
      <x:c r="J56" s="337" t="str">
        <x:v>Código versionado, variables, migraciones, artefactos</x:v>
      </x:c>
      <x:c r="K56" s="337" t="str">
        <x:v>No ejecutar seed/db push destructivo en producción; variables por entorno; health/smoke antes de cerrar release.</x:v>
      </x:c>
      <x:c r="L56" s="337" t="str">
        <x:v>Versión desplegada, observable y verificable</x:v>
      </x:c>
      <x:c r="M56" s="354" t="str">
        <x:v>Aplica / controla</x:v>
      </x:c>
      <x:c r="N56" s="354" t="str">
        <x:v>Aplica / usa</x:v>
      </x:c>
      <x:c r="O56" s="354" t="str">
        <x:v>Aplica / usa</x:v>
      </x:c>
      <x:c r="P56" s="337" t="str">
        <x:v>No corresponde a una pantalla única</x:v>
      </x:c>
      <x:c r="Q56" s="337" t="str">
        <x:v>/health; build/CI/deploy</x:v>
      </x:c>
      <x:c r="R56" s="337" t="str">
        <x:v>backend/src/index.ts; config/env.ts; docker-compose.yml; .github/workflows; docs/DEPLOY.md</x:v>
      </x:c>
      <x:c r="S56" s="337" t="str">
        <x:v>MySQL + Prisma migrations; volúmenes/backups según entorno</x:v>
      </x:c>
      <x:c r="T56" s="337" t="str">
        <x:v>Git/GitHub + GitHub Actions + SonarCloud/SonarQube + Vercel + Railway + Docker Compose + MySQL + FastAPI</x:v>
      </x:c>
      <x:c r="U56" s="337" t="str">
        <x:v>GitHub → CI/QA/Sonar → Vercel frontend + Railway backend/MySQL + FastAPI ML independiente</x:v>
      </x:c>
      <x:c r="V56" s="337" t="str">
        <x:v>Soporte de calidad del software</x:v>
      </x:c>
      <x:c r="W56" s="337" t="str">
        <x:v>Seed solo en entorno autorizado de QA; producción preserva datos.</x:v>
      </x:c>
      <x:c r="X56" s="337" t="str">
        <x:v>S — restricción transversal que condiciona el funcionamiento</x:v>
      </x:c>
      <x:c r="Y56" s="337" t="str">
        <x:v>S — operación debe mantenerse dentro de umbrales del entorno</x:v>
      </x:c>
      <x:c r="Z56" s="337" t="str">
        <x:v>D — contrato entre UI/API/BD/ML debe ser compatible</x:v>
      </x:c>
      <x:c r="AA56" s="337" t="str">
        <x:v>S — evidencia técnica consumida por UI/operación</x:v>
      </x:c>
      <x:c r="AB56" s="337" t="str">
        <x:v>D — requisito principal: disponibilidad, errores controlados y recuperación</x:v>
      </x:c>
      <x:c r="AC56" s="337" t="str">
        <x:v>S — control de acceso y mínimo privilegio</x:v>
      </x:c>
      <x:c r="AD56" s="337" t="str">
        <x:v>D — módulo/capa localizable, testeable y analizable por Sonar</x:v>
      </x:c>
      <x:c r="AE56" s="337" t="str">
        <x:v>D — configuración/despliegue reproducible local/nube</x:v>
      </x:c>
      <x:c r="AF56" s="337" t="str">
        <x:v>Estática + integración + smoke + aceptación + regresión; evidencia objetiva del RNF en pruebas no funcionales/estáticas/regresión.</x:v>
      </x:c>
      <x:c r="AG56" s="337" t="str">
        <x:v>Estática + integración + smoke + aceptación + regresión</x:v>
      </x:c>
      <x:c r="AH56" s="337" t="str">
        <x:v>El requisito de calidad se verifica mediante evidencia objetiva: configuración/código + ejecución de prueba + log/captura/resultado reproducible.</x:v>
      </x:c>
      <x:c r="AI56" s="337" t="str">
        <x:v>Configuración/código + QA + logs/capturas + Sonar/health/deployment según RNF.</x:v>
      </x:c>
      <x:c r="AJ56" s="337" t="str">
        <x:v>Gestión de secretos/configuración, disponibilidad, backups, hardening y segregación de entornos.</x:v>
      </x:c>
      <x:c r="AK56" s="337" t="str">
        <x:v>sonar-project.properties + Quality Gate; GitHub Actions/QA pipeline.</x:v>
      </x:c>
      <x:c r="AL56" s="337" t="str">
        <x:v>No corresponde a una pantalla única | backend/src/index.ts; config/env.ts; docker-compose.yml; .github/workflows; docs/DEPLOY.md | MySQL + Prisma migrations; volúmenes/backups según entorno</x:v>
      </x:c>
      <x:c r="AM56" s="337" t="str">
        <x:v>Build falla; env faltante; CORS; health 5xx; migración P3009; deployment apunta a URL antigua.</x:v>
      </x:c>
      <x:c r="AN56" s="337" t="str">
        <x:v>Revisar CI/build → env → migrate deploy → health/logs → CORS → URLs → rollback si corresponde.</x:v>
      </x:c>
      <x:c r="AO56" s="337" t="str">
        <x:v>type-check, lint, tests, build, smoke, health, DB connectivity, auth, RBAC, predicción si disponible.</x:v>
      </x:c>
      <x:c r="AP56" s="337" t="str">
        <x:v>Rollback de deployment; restauración de backup antes de migración; no borrar datos para 'arreglar' P3009.</x:v>
      </x:c>
      <x:c r="AQ56" s="337" t="str">
        <x:v>Variable intermedia — Sistema web inteligente</x:v>
      </x:c>
      <x:c r="AR56" s="337" t="str">
        <x:v>Gestión, trazabilidad y calidad operativa</x:v>
      </x:c>
      <x:c r="AS56" s="337" t="str">
        <x:v>Confiabilidad, mantenibilidad, disponibilidad y portabilidad</x:v>
      </x:c>
      <x:c r="AT56" s="337" t="str">
        <x:v>P19 / Anexo 07 (requisito RNF-005)</x:v>
      </x:c>
      <x:c r="AU56" s="337" t="str">
        <x:v>Vercel + Railway + Docker local + SonarCloud + GitHub Actions.</x:v>
      </x:c>
      <x:c r="AV56" s="337" t="str">
        <x:v>ISO 9001 → ISO/IEC 25010 → P19 → Exponer health y errores controlados → RNF-005 → arquitectura/configuración → prueba no funcional → evidencia</x:v>
      </x:c>
      <x:c r="AW56" s="338" t="str">
        <x:v>APUNTES · ANEXO07 · TESIS · GITHUB(dataset-definitivo-2026) · VERCEL(ref. evidencia)</x:v>
      </x:c>
    </x:row>
    <x:row r="57" ht="92" customHeight="1">
      <x:c r="A57" s="350" t="str">
        <x:v>RNF-006</x:v>
      </x:c>
      <x:c r="B57" s="351" t="str">
        <x:v>RNF</x:v>
      </x:c>
      <x:c r="C57" s="343" t="str">
        <x:v>Fiabilidad</x:v>
      </x:c>
      <x:c r="D57" s="337" t="str">
        <x:v>7.1 recursos; 8.1 control operacional; 8.6 liberación; 9.1 evaluación; 10.2 acción correctiva.</x:v>
      </x:c>
      <x:c r="E57" s="337" t="str">
        <x:v>MP05 Operación tecnológica</x:v>
      </x:c>
      <x:c r="F57" s="337" t="str">
        <x:v>P19/P20</x:v>
      </x:c>
      <x:c r="G57" s="337" t="str">
        <x:v>Proteger migraciones productivas</x:v>
      </x:c>
      <x:c r="H57" s="337" t="str">
        <x:v>Las migraciones productivas no deben ejecutar borrados automáticos ante errores P3009.</x:v>
      </x:c>
      <x:c r="I57" s="337" t="str">
        <x:v>Hace reproducible, verificable, desplegable y mantenible la solución completa en entornos local y nube.</x:v>
      </x:c>
      <x:c r="J57" s="337" t="str">
        <x:v>Código versionado, variables, migraciones, artefactos</x:v>
      </x:c>
      <x:c r="K57" s="337" t="str">
        <x:v>No ejecutar seed/db push destructivo en producción; variables por entorno; health/smoke antes de cerrar release.</x:v>
      </x:c>
      <x:c r="L57" s="337" t="str">
        <x:v>Versión desplegada, observable y verificable</x:v>
      </x:c>
      <x:c r="M57" s="354" t="str">
        <x:v>Aplica / controla</x:v>
      </x:c>
      <x:c r="N57" s="354" t="str">
        <x:v>Aplica / usa</x:v>
      </x:c>
      <x:c r="O57" s="354" t="str">
        <x:v>Aplica / usa</x:v>
      </x:c>
      <x:c r="P57" s="337" t="str">
        <x:v>No corresponde a una pantalla única</x:v>
      </x:c>
      <x:c r="Q57" s="337" t="str">
        <x:v>/health; build/CI/deploy</x:v>
      </x:c>
      <x:c r="R57" s="337" t="str">
        <x:v>backend/src/index.ts; config/env.ts; docker-compose.yml; .github/workflows; docs/DEPLOY.md</x:v>
      </x:c>
      <x:c r="S57" s="337" t="str">
        <x:v>MySQL + Prisma migrations; volúmenes/backups según entorno</x:v>
      </x:c>
      <x:c r="T57" s="337" t="str">
        <x:v>Git/GitHub + GitHub Actions + SonarCloud/SonarQube + Vercel + Railway + Docker Compose + MySQL + FastAPI</x:v>
      </x:c>
      <x:c r="U57" s="337" t="str">
        <x:v>GitHub → CI/QA/Sonar → Vercel frontend + Railway backend/MySQL + FastAPI ML independiente</x:v>
      </x:c>
      <x:c r="V57" s="337" t="str">
        <x:v>Soporte de calidad del software</x:v>
      </x:c>
      <x:c r="W57" s="337" t="str">
        <x:v>Seed solo en entorno autorizado de QA; producción preserva datos.</x:v>
      </x:c>
      <x:c r="X57" s="337" t="str">
        <x:v>S — restricción transversal que condiciona el funcionamiento</x:v>
      </x:c>
      <x:c r="Y57" s="337" t="str">
        <x:v>S — operación debe mantenerse dentro de umbrales del entorno</x:v>
      </x:c>
      <x:c r="Z57" s="337" t="str">
        <x:v>D — contrato entre UI/API/BD/ML debe ser compatible</x:v>
      </x:c>
      <x:c r="AA57" s="337" t="str">
        <x:v>S — evidencia técnica consumida por UI/operación</x:v>
      </x:c>
      <x:c r="AB57" s="337" t="str">
        <x:v>D — requisito principal: disponibilidad, errores controlados y recuperación</x:v>
      </x:c>
      <x:c r="AC57" s="337" t="str">
        <x:v>S — control de acceso y mínimo privilegio</x:v>
      </x:c>
      <x:c r="AD57" s="337" t="str">
        <x:v>D — módulo/capa localizable, testeable y analizable por Sonar</x:v>
      </x:c>
      <x:c r="AE57" s="337" t="str">
        <x:v>D — configuración/despliegue reproducible local/nube</x:v>
      </x:c>
      <x:c r="AF57" s="337" t="str">
        <x:v>Estática + integración + smoke + aceptación + regresión; evidencia objetiva del RNF en pruebas no funcionales/estáticas/regresión.</x:v>
      </x:c>
      <x:c r="AG57" s="337" t="str">
        <x:v>Estática + integración + smoke + aceptación + regresión</x:v>
      </x:c>
      <x:c r="AH57" s="337" t="str">
        <x:v>El requisito de calidad se verifica mediante evidencia objetiva: configuración/código + ejecución de prueba + log/captura/resultado reproducible.</x:v>
      </x:c>
      <x:c r="AI57" s="337" t="str">
        <x:v>Configuración/código + QA + logs/capturas + Sonar/health/deployment según RNF.</x:v>
      </x:c>
      <x:c r="AJ57" s="337" t="str">
        <x:v>Gestión de secretos/configuración, disponibilidad, backups, hardening y segregación de entornos.</x:v>
      </x:c>
      <x:c r="AK57" s="337" t="str">
        <x:v>sonar-project.properties + Quality Gate; GitHub Actions/QA pipeline.</x:v>
      </x:c>
      <x:c r="AL57" s="337" t="str">
        <x:v>No corresponde a una pantalla única | backend/src/index.ts; config/env.ts; docker-compose.yml; .github/workflows; docs/DEPLOY.md | MySQL + Prisma migrations; volúmenes/backups según entorno</x:v>
      </x:c>
      <x:c r="AM57" s="337" t="str">
        <x:v>Build falla; env faltante; CORS; health 5xx; migración P3009; deployment apunta a URL antigua.</x:v>
      </x:c>
      <x:c r="AN57" s="337" t="str">
        <x:v>Revisar CI/build → env → migrate deploy → health/logs → CORS → URLs → rollback si corresponde.</x:v>
      </x:c>
      <x:c r="AO57" s="337" t="str">
        <x:v>type-check, lint, tests, build, smoke, health, DB connectivity, auth, RBAC, predicción si disponible.</x:v>
      </x:c>
      <x:c r="AP57" s="337" t="str">
        <x:v>Rollback de deployment; restauración de backup antes de migración; no borrar datos para 'arreglar' P3009.</x:v>
      </x:c>
      <x:c r="AQ57" s="337" t="str">
        <x:v>Variable intermedia — Sistema web inteligente</x:v>
      </x:c>
      <x:c r="AR57" s="337" t="str">
        <x:v>Gestión, trazabilidad y calidad operativa</x:v>
      </x:c>
      <x:c r="AS57" s="337" t="str">
        <x:v>Confiabilidad, mantenibilidad, disponibilidad y portabilidad</x:v>
      </x:c>
      <x:c r="AT57" s="337" t="str">
        <x:v>P19/P20 / Anexo 07 (requisito RNF-006)</x:v>
      </x:c>
      <x:c r="AU57" s="337" t="str">
        <x:v>Vercel + Railway + Docker local + SonarCloud + GitHub Actions.</x:v>
      </x:c>
      <x:c r="AV57" s="337" t="str">
        <x:v>ISO 9001 → ISO/IEC 25010 → P19/P20 → Proteger migraciones productivas → RNF-006 → arquitectura/configuración → prueba no funcional → evidencia</x:v>
      </x:c>
      <x:c r="AW57" s="338" t="str">
        <x:v>APUNTES · ANEXO07 · TESIS · GITHUB(dataset-definitivo-2026) · VERCEL(ref. evidencia)</x:v>
      </x:c>
    </x:row>
    <x:row r="58" ht="92" customHeight="1">
      <x:c r="A58" s="350" t="str">
        <x:v>RNF-007</x:v>
      </x:c>
      <x:c r="B58" s="351" t="str">
        <x:v>RNF</x:v>
      </x:c>
      <x:c r="C58" s="343" t="str">
        <x:v>Mantenibilidad</x:v>
      </x:c>
      <x:c r="D58" s="337" t="str">
        <x:v>7.1 recursos; 8.1 control operacional; 8.6 liberación; 9.1 evaluación; 10.2 acción correctiva.</x:v>
      </x:c>
      <x:c r="E58" s="337" t="str">
        <x:v>MP05 Operación tecnológica</x:v>
      </x:c>
      <x:c r="F58" s="337" t="str">
        <x:v>P20</x:v>
      </x:c>
      <x:c r="G58" s="337" t="str">
        <x:v>Mantener arquitectura desacoplada</x:v>
      </x:c>
      <x:c r="H58" s="337" t="str">
        <x:v>Frontend, backend y ML deben mantenerse desacoplados y modularizados.</x:v>
      </x:c>
      <x:c r="I58" s="337" t="str">
        <x:v>Hace reproducible, verificable, desplegable y mantenible la solución completa en entornos local y nube.</x:v>
      </x:c>
      <x:c r="J58" s="337" t="str">
        <x:v>Código versionado, variables, migraciones, artefactos</x:v>
      </x:c>
      <x:c r="K58" s="337" t="str">
        <x:v>No ejecutar seed/db push destructivo en producción; variables por entorno; health/smoke antes de cerrar release.</x:v>
      </x:c>
      <x:c r="L58" s="337" t="str">
        <x:v>Versión desplegada, observable y verificable</x:v>
      </x:c>
      <x:c r="M58" s="354" t="str">
        <x:v>Aplica / controla</x:v>
      </x:c>
      <x:c r="N58" s="354" t="str">
        <x:v>Aplica / usa</x:v>
      </x:c>
      <x:c r="O58" s="354" t="str">
        <x:v>Indirecto</x:v>
      </x:c>
      <x:c r="P58" s="337" t="str">
        <x:v>No corresponde a una pantalla única</x:v>
      </x:c>
      <x:c r="Q58" s="337" t="str">
        <x:v>/health; build/CI/deploy</x:v>
      </x:c>
      <x:c r="R58" s="337" t="str">
        <x:v>backend/src/index.ts; config/env.ts; docker-compose.yml; .github/workflows; docs/DEPLOY.md</x:v>
      </x:c>
      <x:c r="S58" s="337" t="str">
        <x:v>MySQL + Prisma migrations; volúmenes/backups según entorno</x:v>
      </x:c>
      <x:c r="T58" s="337" t="str">
        <x:v>Git/GitHub + GitHub Actions + SonarCloud/SonarQube + Vercel + Railway + Docker Compose + MySQL + FastAPI</x:v>
      </x:c>
      <x:c r="U58" s="337" t="str">
        <x:v>GitHub → CI/QA/Sonar → Vercel frontend + Railway backend/MySQL + FastAPI ML independiente</x:v>
      </x:c>
      <x:c r="V58" s="337" t="str">
        <x:v>Soporte de calidad del software</x:v>
      </x:c>
      <x:c r="W58" s="337" t="str">
        <x:v>Seed solo en entorno autorizado de QA; producción preserva datos.</x:v>
      </x:c>
      <x:c r="X58" s="337" t="str">
        <x:v>S — restricción transversal que condiciona el funcionamiento</x:v>
      </x:c>
      <x:c r="Y58" s="337" t="str">
        <x:v>S — operación debe mantenerse dentro de umbrales del entorno</x:v>
      </x:c>
      <x:c r="Z58" s="337" t="str">
        <x:v>D — contrato entre UI/API/BD/ML debe ser compatible</x:v>
      </x:c>
      <x:c r="AA58" s="337" t="str">
        <x:v>S — evidencia técnica consumida por UI/operación</x:v>
      </x:c>
      <x:c r="AB58" s="337" t="str">
        <x:v>D — manejo de error, persistencia y recuperación verificables</x:v>
      </x:c>
      <x:c r="AC58" s="337" t="str">
        <x:v>S — control de acceso y mínimo privilegio</x:v>
      </x:c>
      <x:c r="AD58" s="337" t="str">
        <x:v>D — requisito principal: modularidad, analizabilidad, pruebas y control de cambios</x:v>
      </x:c>
      <x:c r="AE58" s="337" t="str">
        <x:v>D — configuración/despliegue reproducible local/nube</x:v>
      </x:c>
      <x:c r="AF58" s="337" t="str">
        <x:v>Estática + integración + smoke + aceptación + regresión; evidencia objetiva del RNF en pruebas no funcionales/estáticas/regresión.</x:v>
      </x:c>
      <x:c r="AG58" s="337" t="str">
        <x:v>Estática + integración + smoke + aceptación + regresión</x:v>
      </x:c>
      <x:c r="AH58" s="337" t="str">
        <x:v>El requisito de calidad se verifica mediante evidencia objetiva: configuración/código + ejecución de prueba + log/captura/resultado reproducible.</x:v>
      </x:c>
      <x:c r="AI58" s="337" t="str">
        <x:v>Configuración/código + QA + logs/capturas + Sonar/health/deployment según RNF.</x:v>
      </x:c>
      <x:c r="AJ58" s="337" t="str">
        <x:v>Gestión de secretos/configuración, disponibilidad, backups, hardening y segregación de entornos.</x:v>
      </x:c>
      <x:c r="AK58" s="337" t="str">
        <x:v>sonar-project.properties + Quality Gate; GitHub Actions/QA pipeline.</x:v>
      </x:c>
      <x:c r="AL58" s="337" t="str">
        <x:v>No corresponde a una pantalla única | backend/src/index.ts; config/env.ts; docker-compose.yml; .github/workflows; docs/DEPLOY.md | MySQL + Prisma migrations; volúmenes/backups según entorno</x:v>
      </x:c>
      <x:c r="AM58" s="337" t="str">
        <x:v>Build falla; env faltante; CORS; health 5xx; migración P3009; deployment apunta a URL antigua.</x:v>
      </x:c>
      <x:c r="AN58" s="337" t="str">
        <x:v>Revisar CI/build → env → migrate deploy → health/logs → CORS → URLs → rollback si corresponde.</x:v>
      </x:c>
      <x:c r="AO58" s="337" t="str">
        <x:v>type-check, lint, tests, build, smoke, health, DB connectivity, auth, RBAC, predicción si disponible.</x:v>
      </x:c>
      <x:c r="AP58" s="337" t="str">
        <x:v>Rollback de deployment; restauración de backup antes de migración; no borrar datos para 'arreglar' P3009.</x:v>
      </x:c>
      <x:c r="AQ58" s="337" t="str">
        <x:v>Variable intermedia — Sistema web inteligente</x:v>
      </x:c>
      <x:c r="AR58" s="337" t="str">
        <x:v>Gestión, trazabilidad y calidad operativa</x:v>
      </x:c>
      <x:c r="AS58" s="337" t="str">
        <x:v>Confiabilidad, mantenibilidad, disponibilidad y portabilidad</x:v>
      </x:c>
      <x:c r="AT58" s="337" t="str">
        <x:v>P20 / Anexo 07 (requisito RNF-007)</x:v>
      </x:c>
      <x:c r="AU58" s="337" t="str">
        <x:v>Vercel + Railway + Docker local + SonarCloud + GitHub Actions.</x:v>
      </x:c>
      <x:c r="AV58" s="337" t="str">
        <x:v>ISO 9001 → ISO/IEC 25010 → P20 → Mantener arquitectura desacoplada → RNF-007 → arquitectura/configuración → prueba no funcional → evidencia</x:v>
      </x:c>
      <x:c r="AW58" s="338" t="str">
        <x:v>APUNTES · ANEXO07 · TESIS · GITHUB(dataset-definitivo-2026) · VERCEL(ref. evidencia)</x:v>
      </x:c>
    </x:row>
    <x:row r="59" ht="92" customHeight="1">
      <x:c r="A59" s="350" t="str">
        <x:v>RNF-008</x:v>
      </x:c>
      <x:c r="B59" s="351" t="str">
        <x:v>RNF</x:v>
      </x:c>
      <x:c r="C59" s="343" t="str">
        <x:v>Mantenibilidad</x:v>
      </x:c>
      <x:c r="D59" s="337" t="str">
        <x:v>7.1 recursos; 8.1 control operacional; 8.6 liberación; 9.1 evaluación; 10.2 acción correctiva.</x:v>
      </x:c>
      <x:c r="E59" s="337" t="str">
        <x:v>MP05 Operación tecnológica</x:v>
      </x:c>
      <x:c r="F59" s="337" t="str">
        <x:v>P20</x:v>
      </x:c>
      <x:c r="G59" s="337" t="str">
        <x:v>Superar type-check y lint</x:v>
      </x:c>
      <x:c r="H59" s="337" t="str">
        <x:v>El código TypeScript debe superar type-check y lint definidos.</x:v>
      </x:c>
      <x:c r="I59" s="337" t="str">
        <x:v>Hace reproducible, verificable, desplegable y mantenible la solución completa en entornos local y nube.</x:v>
      </x:c>
      <x:c r="J59" s="337" t="str">
        <x:v>Código versionado, variables, migraciones, artefactos</x:v>
      </x:c>
      <x:c r="K59" s="337" t="str">
        <x:v>No ejecutar seed/db push destructivo en producción; variables por entorno; health/smoke antes de cerrar release.</x:v>
      </x:c>
      <x:c r="L59" s="337" t="str">
        <x:v>Versión desplegada, observable y verificable</x:v>
      </x:c>
      <x:c r="M59" s="354" t="str">
        <x:v>Aplica / controla</x:v>
      </x:c>
      <x:c r="N59" s="354" t="str">
        <x:v>Aplica / usa</x:v>
      </x:c>
      <x:c r="O59" s="354" t="str">
        <x:v>Indirecto</x:v>
      </x:c>
      <x:c r="P59" s="337" t="str">
        <x:v>No corresponde a una pantalla única</x:v>
      </x:c>
      <x:c r="Q59" s="337" t="str">
        <x:v>/health; build/CI/deploy</x:v>
      </x:c>
      <x:c r="R59" s="337" t="str">
        <x:v>backend/src/index.ts; config/env.ts; docker-compose.yml; .github/workflows; docs/DEPLOY.md</x:v>
      </x:c>
      <x:c r="S59" s="337" t="str">
        <x:v>MySQL + Prisma migrations; volúmenes/backups según entorno</x:v>
      </x:c>
      <x:c r="T59" s="337" t="str">
        <x:v>Git/GitHub + GitHub Actions + SonarCloud/SonarQube + Vercel + Railway + Docker Compose + MySQL + FastAPI</x:v>
      </x:c>
      <x:c r="U59" s="337" t="str">
        <x:v>GitHub → CI/QA/Sonar → Vercel frontend + Railway backend/MySQL + FastAPI ML independiente</x:v>
      </x:c>
      <x:c r="V59" s="337" t="str">
        <x:v>Soporte de calidad del software</x:v>
      </x:c>
      <x:c r="W59" s="337" t="str">
        <x:v>Seed solo en entorno autorizado de QA; producción preserva datos.</x:v>
      </x:c>
      <x:c r="X59" s="337" t="str">
        <x:v>S — restricción transversal que condiciona el funcionamiento</x:v>
      </x:c>
      <x:c r="Y59" s="337" t="str">
        <x:v>S — operación debe mantenerse dentro de umbrales del entorno</x:v>
      </x:c>
      <x:c r="Z59" s="337" t="str">
        <x:v>D — contrato entre UI/API/BD/ML debe ser compatible</x:v>
      </x:c>
      <x:c r="AA59" s="337" t="str">
        <x:v>S — evidencia técnica consumida por UI/operación</x:v>
      </x:c>
      <x:c r="AB59" s="337" t="str">
        <x:v>D — manejo de error, persistencia y recuperación verificables</x:v>
      </x:c>
      <x:c r="AC59" s="337" t="str">
        <x:v>S — control de acceso y mínimo privilegio</x:v>
      </x:c>
      <x:c r="AD59" s="337" t="str">
        <x:v>D — requisito principal: modularidad, analizabilidad, pruebas y control de cambios</x:v>
      </x:c>
      <x:c r="AE59" s="337" t="str">
        <x:v>D — configuración/despliegue reproducible local/nube</x:v>
      </x:c>
      <x:c r="AF59" s="337" t="str">
        <x:v>Estática + integración + smoke + aceptación + regresión; evidencia objetiva del RNF en pruebas no funcionales/estáticas/regresión.</x:v>
      </x:c>
      <x:c r="AG59" s="337" t="str">
        <x:v>Estática + integración + smoke + aceptación + regresión</x:v>
      </x:c>
      <x:c r="AH59" s="337" t="str">
        <x:v>El requisito de calidad se verifica mediante evidencia objetiva: configuración/código + ejecución de prueba + log/captura/resultado reproducible.</x:v>
      </x:c>
      <x:c r="AI59" s="337" t="str">
        <x:v>Configuración/código + QA + logs/capturas + Sonar/health/deployment según RNF.</x:v>
      </x:c>
      <x:c r="AJ59" s="337" t="str">
        <x:v>Gestión de secretos/configuración, disponibilidad, backups, hardening y segregación de entornos.</x:v>
      </x:c>
      <x:c r="AK59" s="337" t="str">
        <x:v>sonar-project.properties + Quality Gate; GitHub Actions/QA pipeline.</x:v>
      </x:c>
      <x:c r="AL59" s="337" t="str">
        <x:v>No corresponde a una pantalla única | backend/src/index.ts; config/env.ts; docker-compose.yml; .github/workflows; docs/DEPLOY.md | MySQL + Prisma migrations; volúmenes/backups según entorno</x:v>
      </x:c>
      <x:c r="AM59" s="337" t="str">
        <x:v>Build falla; env faltante; CORS; health 5xx; migración P3009; deployment apunta a URL antigua.</x:v>
      </x:c>
      <x:c r="AN59" s="337" t="str">
        <x:v>Revisar CI/build → env → migrate deploy → health/logs → CORS → URLs → rollback si corresponde.</x:v>
      </x:c>
      <x:c r="AO59" s="337" t="str">
        <x:v>type-check, lint, tests, build, smoke, health, DB connectivity, auth, RBAC, predicción si disponible.</x:v>
      </x:c>
      <x:c r="AP59" s="337" t="str">
        <x:v>Rollback de deployment; restauración de backup antes de migración; no borrar datos para 'arreglar' P3009.</x:v>
      </x:c>
      <x:c r="AQ59" s="337" t="str">
        <x:v>Variable intermedia — Sistema web inteligente</x:v>
      </x:c>
      <x:c r="AR59" s="337" t="str">
        <x:v>Gestión, trazabilidad y calidad operativa</x:v>
      </x:c>
      <x:c r="AS59" s="337" t="str">
        <x:v>Confiabilidad, mantenibilidad, disponibilidad y portabilidad</x:v>
      </x:c>
      <x:c r="AT59" s="337" t="str">
        <x:v>P20 / Anexo 07 (requisito RNF-008)</x:v>
      </x:c>
      <x:c r="AU59" s="337" t="str">
        <x:v>Vercel + Railway + Docker local + SonarCloud + GitHub Actions.</x:v>
      </x:c>
      <x:c r="AV59" s="337" t="str">
        <x:v>ISO 9001 → ISO/IEC 25010 → P20 → Superar type-check y lint → RNF-008 → arquitectura/configuración → prueba no funcional → evidencia</x:v>
      </x:c>
      <x:c r="AW59" s="338" t="str">
        <x:v>APUNTES · ANEXO07 · TESIS · GITHUB(dataset-definitivo-2026) · VERCEL(ref. evidencia)</x:v>
      </x:c>
    </x:row>
    <x:row r="60" ht="92" customHeight="1">
      <x:c r="A60" s="350" t="str">
        <x:v>RNF-009</x:v>
      </x:c>
      <x:c r="B60" s="351" t="str">
        <x:v>RNF</x:v>
      </x:c>
      <x:c r="C60" s="343" t="str">
        <x:v>Mantenibilidad</x:v>
      </x:c>
      <x:c r="D60" s="337" t="str">
        <x:v>7.1 recursos; 8.1 control operacional; 8.6 liberación; 9.1 evaluación; 10.2 acción correctiva.</x:v>
      </x:c>
      <x:c r="E60" s="337" t="str">
        <x:v>MP05 Operación tecnológica</x:v>
      </x:c>
      <x:c r="F60" s="337" t="str">
        <x:v>P20</x:v>
      </x:c>
      <x:c r="G60" s="337" t="str">
        <x:v>Ejecutar análisis estático</x:v>
      </x:c>
      <x:c r="H60" s="337" t="str">
        <x:v>El análisis estático debe poder ejecutarse con SonarCloud/SonarQube.</x:v>
      </x:c>
      <x:c r="I60" s="337" t="str">
        <x:v>Hace reproducible, verificable, desplegable y mantenible la solución completa en entornos local y nube.</x:v>
      </x:c>
      <x:c r="J60" s="337" t="str">
        <x:v>Código versionado, variables, migraciones, artefactos</x:v>
      </x:c>
      <x:c r="K60" s="337" t="str">
        <x:v>No ejecutar seed/db push destructivo en producción; variables por entorno; health/smoke antes de cerrar release.</x:v>
      </x:c>
      <x:c r="L60" s="337" t="str">
        <x:v>Versión desplegada, observable y verificable</x:v>
      </x:c>
      <x:c r="M60" s="354" t="str">
        <x:v>Aplica / controla</x:v>
      </x:c>
      <x:c r="N60" s="354" t="str">
        <x:v>Aplica / usa</x:v>
      </x:c>
      <x:c r="O60" s="354" t="str">
        <x:v>Indirecto</x:v>
      </x:c>
      <x:c r="P60" s="337" t="str">
        <x:v>No corresponde a una pantalla única</x:v>
      </x:c>
      <x:c r="Q60" s="337" t="str">
        <x:v>/health; build/CI/deploy</x:v>
      </x:c>
      <x:c r="R60" s="337" t="str">
        <x:v>backend/src/index.ts; config/env.ts; docker-compose.yml; .github/workflows; docs/DEPLOY.md</x:v>
      </x:c>
      <x:c r="S60" s="337" t="str">
        <x:v>MySQL + Prisma migrations; volúmenes/backups según entorno</x:v>
      </x:c>
      <x:c r="T60" s="337" t="str">
        <x:v>Git/GitHub + GitHub Actions + SonarCloud/SonarQube + Vercel + Railway + Docker Compose + MySQL + FastAPI</x:v>
      </x:c>
      <x:c r="U60" s="337" t="str">
        <x:v>GitHub → CI/QA/Sonar → Vercel frontend + Railway backend/MySQL + FastAPI ML independiente</x:v>
      </x:c>
      <x:c r="V60" s="337" t="str">
        <x:v>Soporte de calidad del software</x:v>
      </x:c>
      <x:c r="W60" s="337" t="str">
        <x:v>Seed solo en entorno autorizado de QA; producción preserva datos.</x:v>
      </x:c>
      <x:c r="X60" s="337" t="str">
        <x:v>S — restricción transversal que condiciona el funcionamiento</x:v>
      </x:c>
      <x:c r="Y60" s="337" t="str">
        <x:v>S — operación debe mantenerse dentro de umbrales del entorno</x:v>
      </x:c>
      <x:c r="Z60" s="337" t="str">
        <x:v>D — contrato entre UI/API/BD/ML debe ser compatible</x:v>
      </x:c>
      <x:c r="AA60" s="337" t="str">
        <x:v>S — evidencia técnica consumida por UI/operación</x:v>
      </x:c>
      <x:c r="AB60" s="337" t="str">
        <x:v>D — manejo de error, persistencia y recuperación verificables</x:v>
      </x:c>
      <x:c r="AC60" s="337" t="str">
        <x:v>S — control de acceso y mínimo privilegio</x:v>
      </x:c>
      <x:c r="AD60" s="337" t="str">
        <x:v>D — requisito principal: modularidad, analizabilidad, pruebas y control de cambios</x:v>
      </x:c>
      <x:c r="AE60" s="337" t="str">
        <x:v>D — configuración/despliegue reproducible local/nube</x:v>
      </x:c>
      <x:c r="AF60" s="337" t="str">
        <x:v>Estática + integración + smoke + aceptación + regresión; evidencia objetiva del RNF en pruebas no funcionales/estáticas/regresión.</x:v>
      </x:c>
      <x:c r="AG60" s="337" t="str">
        <x:v>Estática + integración + smoke + aceptación + regresión</x:v>
      </x:c>
      <x:c r="AH60" s="337" t="str">
        <x:v>El requisito de calidad se verifica mediante evidencia objetiva: configuración/código + ejecución de prueba + log/captura/resultado reproducible.</x:v>
      </x:c>
      <x:c r="AI60" s="337" t="str">
        <x:v>Configuración/código + QA + logs/capturas + Sonar/health/deployment según RNF.</x:v>
      </x:c>
      <x:c r="AJ60" s="337" t="str">
        <x:v>Gestión de secretos/configuración, disponibilidad, backups, hardening y segregación de entornos.</x:v>
      </x:c>
      <x:c r="AK60" s="337" t="str">
        <x:v>sonar-project.properties + Quality Gate; GitHub Actions/QA pipeline.</x:v>
      </x:c>
      <x:c r="AL60" s="337" t="str">
        <x:v>No corresponde a una pantalla única | backend/src/index.ts; config/env.ts; docker-compose.yml; .github/workflows; docs/DEPLOY.md | MySQL + Prisma migrations; volúmenes/backups según entorno</x:v>
      </x:c>
      <x:c r="AM60" s="337" t="str">
        <x:v>Build falla; env faltante; CORS; health 5xx; migración P3009; deployment apunta a URL antigua.</x:v>
      </x:c>
      <x:c r="AN60" s="337" t="str">
        <x:v>Revisar CI/build → env → migrate deploy → health/logs → CORS → URLs → rollback si corresponde.</x:v>
      </x:c>
      <x:c r="AO60" s="337" t="str">
        <x:v>type-check, lint, tests, build, smoke, health, DB connectivity, auth, RBAC, predicción si disponible.</x:v>
      </x:c>
      <x:c r="AP60" s="337" t="str">
        <x:v>Rollback de deployment; restauración de backup antes de migración; no borrar datos para 'arreglar' P3009.</x:v>
      </x:c>
      <x:c r="AQ60" s="337" t="str">
        <x:v>Variable intermedia — Sistema web inteligente</x:v>
      </x:c>
      <x:c r="AR60" s="337" t="str">
        <x:v>Gestión, trazabilidad y calidad operativa</x:v>
      </x:c>
      <x:c r="AS60" s="337" t="str">
        <x:v>Confiabilidad, mantenibilidad, disponibilidad y portabilidad</x:v>
      </x:c>
      <x:c r="AT60" s="337" t="str">
        <x:v>P20 / Anexo 07 (requisito RNF-009)</x:v>
      </x:c>
      <x:c r="AU60" s="337" t="str">
        <x:v>Vercel + Railway + Docker local + SonarCloud + GitHub Actions.</x:v>
      </x:c>
      <x:c r="AV60" s="337" t="str">
        <x:v>ISO 9001 → ISO/IEC 25010 → P20 → Ejecutar análisis estático → RNF-009 → arquitectura/configuración → prueba no funcional → evidencia</x:v>
      </x:c>
      <x:c r="AW60" s="338" t="str">
        <x:v>APUNTES · ANEXO07 · TESIS · GITHUB(dataset-definitivo-2026) · VERCEL(ref. evidencia)</x:v>
      </x:c>
    </x:row>
    <x:row r="61" ht="92" customHeight="1">
      <x:c r="A61" s="350" t="str">
        <x:v>RNF-010</x:v>
      </x:c>
      <x:c r="B61" s="351" t="str">
        <x:v>RNF</x:v>
      </x:c>
      <x:c r="C61" s="343" t="str">
        <x:v>Rendimiento</x:v>
      </x:c>
      <x:c r="D61" s="337" t="str">
        <x:v>7.1 recursos; 8.1 control operacional; 8.6 liberación; 9.1 evaluación; 10.2 acción correctiva.</x:v>
      </x:c>
      <x:c r="E61" s="337" t="str">
        <x:v>MP05 Operación tecnológica</x:v>
      </x:c>
      <x:c r="F61" s="337" t="str">
        <x:v>P20</x:v>
      </x:c>
      <x:c r="G61" s="337" t="str">
        <x:v>Medir operaciones críticas</x:v>
      </x:c>
      <x:c r="H61" s="337" t="str">
        <x:v>Las operaciones críticas deben medirse bajo escenarios de prueba definidos.</x:v>
      </x:c>
      <x:c r="I61" s="337" t="str">
        <x:v>Hace reproducible, verificable, desplegable y mantenible la solución completa en entornos local y nube.</x:v>
      </x:c>
      <x:c r="J61" s="337" t="str">
        <x:v>Código versionado, variables, migraciones, artefactos</x:v>
      </x:c>
      <x:c r="K61" s="337" t="str">
        <x:v>No ejecutar seed/db push destructivo en producción; variables por entorno; health/smoke antes de cerrar release.</x:v>
      </x:c>
      <x:c r="L61" s="337" t="str">
        <x:v>Versión desplegada, observable y verificable</x:v>
      </x:c>
      <x:c r="M61" s="354" t="str">
        <x:v>Aplica / controla</x:v>
      </x:c>
      <x:c r="N61" s="354" t="str">
        <x:v>Aplica / usa</x:v>
      </x:c>
      <x:c r="O61" s="354" t="str">
        <x:v>Indirecto</x:v>
      </x:c>
      <x:c r="P61" s="337" t="str">
        <x:v>No corresponde a una pantalla única</x:v>
      </x:c>
      <x:c r="Q61" s="337" t="str">
        <x:v>/health; build/CI/deploy</x:v>
      </x:c>
      <x:c r="R61" s="337" t="str">
        <x:v>backend/src/index.ts; config/env.ts; docker-compose.yml; .github/workflows; docs/DEPLOY.md</x:v>
      </x:c>
      <x:c r="S61" s="337" t="str">
        <x:v>MySQL + Prisma migrations; volúmenes/backups según entorno</x:v>
      </x:c>
      <x:c r="T61" s="337" t="str">
        <x:v>Git/GitHub + GitHub Actions + SonarCloud/SonarQube + Vercel + Railway + Docker Compose + MySQL + FastAPI</x:v>
      </x:c>
      <x:c r="U61" s="337" t="str">
        <x:v>GitHub → CI/QA/Sonar → Vercel frontend + Railway backend/MySQL + FastAPI ML independiente</x:v>
      </x:c>
      <x:c r="V61" s="337" t="str">
        <x:v>Soporte de calidad del software</x:v>
      </x:c>
      <x:c r="W61" s="337" t="str">
        <x:v>Seed solo en entorno autorizado de QA; producción preserva datos.</x:v>
      </x:c>
      <x:c r="X61" s="337" t="str">
        <x:v>S — restricción transversal que condiciona el funcionamiento</x:v>
      </x:c>
      <x:c r="Y61" s="337" t="str">
        <x:v>D — requisito principal: medir y contrastar tiempos/recursos con umbral QA</x:v>
      </x:c>
      <x:c r="Z61" s="337" t="str">
        <x:v>D — contrato entre UI/API/BD/ML debe ser compatible</x:v>
      </x:c>
      <x:c r="AA61" s="337" t="str">
        <x:v>S — evidencia técnica consumida por UI/operación</x:v>
      </x:c>
      <x:c r="AB61" s="337" t="str">
        <x:v>D — manejo de error, persistencia y recuperación verificables</x:v>
      </x:c>
      <x:c r="AC61" s="337" t="str">
        <x:v>S — control de acceso y mínimo privilegio</x:v>
      </x:c>
      <x:c r="AD61" s="337" t="str">
        <x:v>D — módulo/capa localizable, testeable y analizable por Sonar</x:v>
      </x:c>
      <x:c r="AE61" s="337" t="str">
        <x:v>D — configuración/despliegue reproducible local/nube</x:v>
      </x:c>
      <x:c r="AF61" s="337" t="str">
        <x:v>Estática + integración + smoke + aceptación + regresión; evidencia objetiva del RNF en pruebas no funcionales/estáticas/regresión.</x:v>
      </x:c>
      <x:c r="AG61" s="337" t="str">
        <x:v>Estática + integración + smoke + aceptación + regresión</x:v>
      </x:c>
      <x:c r="AH61" s="337" t="str">
        <x:v>El requisito de calidad se verifica mediante evidencia objetiva: configuración/código + ejecución de prueba + log/captura/resultado reproducible.</x:v>
      </x:c>
      <x:c r="AI61" s="337" t="str">
        <x:v>Configuración/código + QA + logs/capturas + Sonar/health/deployment según RNF.</x:v>
      </x:c>
      <x:c r="AJ61" s="337" t="str">
        <x:v>Gestión de secretos/configuración, disponibilidad, backups, hardening y segregación de entornos.</x:v>
      </x:c>
      <x:c r="AK61" s="337" t="str">
        <x:v>sonar-project.properties + Quality Gate; GitHub Actions/QA pipeline.</x:v>
      </x:c>
      <x:c r="AL61" s="337" t="str">
        <x:v>No corresponde a una pantalla única | backend/src/index.ts; config/env.ts; docker-compose.yml; .github/workflows; docs/DEPLOY.md | MySQL + Prisma migrations; volúmenes/backups según entorno</x:v>
      </x:c>
      <x:c r="AM61" s="337" t="str">
        <x:v>Build falla; env faltante; CORS; health 5xx; migración P3009; deployment apunta a URL antigua.</x:v>
      </x:c>
      <x:c r="AN61" s="337" t="str">
        <x:v>Revisar CI/build → env → migrate deploy → health/logs → CORS → URLs → rollback si corresponde.</x:v>
      </x:c>
      <x:c r="AO61" s="337" t="str">
        <x:v>type-check, lint, tests, build, smoke, health, DB connectivity, auth, RBAC, predicción si disponible.</x:v>
      </x:c>
      <x:c r="AP61" s="337" t="str">
        <x:v>Rollback de deployment; restauración de backup antes de migración; no borrar datos para 'arreglar' P3009.</x:v>
      </x:c>
      <x:c r="AQ61" s="337" t="str">
        <x:v>Variable intermedia — Sistema web inteligente</x:v>
      </x:c>
      <x:c r="AR61" s="337" t="str">
        <x:v>Gestión, trazabilidad y calidad operativa</x:v>
      </x:c>
      <x:c r="AS61" s="337" t="str">
        <x:v>Confiabilidad, mantenibilidad, disponibilidad y portabilidad</x:v>
      </x:c>
      <x:c r="AT61" s="337" t="str">
        <x:v>P20 / Anexo 07 (requisito RNF-010)</x:v>
      </x:c>
      <x:c r="AU61" s="337" t="str">
        <x:v>Vercel + Railway + Docker local + SonarCloud + GitHub Actions.</x:v>
      </x:c>
      <x:c r="AV61" s="337" t="str">
        <x:v>ISO 9001 → ISO/IEC 25010 → P20 → Medir operaciones críticas → RNF-010 → arquitectura/configuración → prueba no funcional → evidencia</x:v>
      </x:c>
      <x:c r="AW61" s="338" t="str">
        <x:v>APUNTES · ANEXO07 · TESIS · GITHUB(dataset-definitivo-2026) · VERCEL(ref. evidencia)</x:v>
      </x:c>
    </x:row>
    <x:row r="62" ht="92" customHeight="1">
      <x:c r="A62" s="350" t="str">
        <x:v>RNF-011</x:v>
      </x:c>
      <x:c r="B62" s="351" t="str">
        <x:v>RNF</x:v>
      </x:c>
      <x:c r="C62" s="343" t="str">
        <x:v>Usabilidad</x:v>
      </x:c>
      <x:c r="D62" s="337" t="str">
        <x:v>9.1 seguimiento/medición/análisis; 7.5 evidencia; 10 mejora basada en datos.</x:v>
      </x:c>
      <x:c r="E62" s="337" t="str">
        <x:v>MP04 Alerta y seguimiento</x:v>
      </x:c>
      <x:c r="F62" s="337" t="str">
        <x:v>P14</x:v>
      </x:c>
      <x:c r="G62" s="337" t="str">
        <x:v>Navegar según permisos</x:v>
      </x:c>
      <x:c r="H62" s="337" t="str">
        <x:v>La navegación debe adaptarse a los permisos y mostrar únicamente secciones autorizadas.</x:v>
      </x:c>
      <x:c r="I62" s="337" t="str">
        <x:v>Integra los indicadores del proyecto en una vista por rol para seguimiento y toma de decisiones.</x:v>
      </x:c>
      <x:c r="J62" s="337" t="str">
        <x:v>Datos académicos, LMS, alertas, predicciones y matrícula</x:v>
      </x:c>
      <x:c r="K62" s="337" t="str">
        <x:v>Indicadores deben corresponder a matriz de operacionalización; no fabricar KPI faltante; scope estricto.</x:v>
      </x:c>
      <x:c r="L62" s="337" t="str">
        <x:v>KPIs/gráficos filtrados por rol</x:v>
      </x:c>
      <x:c r="M62" s="354" t="str">
        <x:v>Supervisa</x:v>
      </x:c>
      <x:c r="N62" s="354" t="str">
        <x:v>Aplica / usa</x:v>
      </x:c>
      <x:c r="O62" s="354" t="str">
        <x:v>Aplica / usa</x:v>
      </x:c>
      <x:c r="P62" s="337" t="str">
        <x:v>RoleDashboard; StudentDashboard</x:v>
      </x:c>
      <x:c r="Q62" s="337" t="str">
        <x:v>/dashboard/kpis; /profesor/dashboard; /estudiante/dashboard</x:v>
      </x:c>
      <x:c r="R62" s="337" t="str">
        <x:v>predict.controller/dashboardStats; profesor.controller; estudiante.controller; agregados</x:v>
      </x:c>
      <x:c r="S62" s="337" t="str">
        <x:v>Student; Matricula; Grade; Attendance; LmsEvent; Prediction; Alert; DashboardSnapshot</x:v>
      </x:c>
      <x:c r="T62" s="337" t="str">
        <x:v>Next.js/React + TypeScript + agregados API + gráficos + Prisma/MySQL</x:v>
      </x:c>
      <x:c r="U62" s="337" t="str">
        <x:v>MySQL/agregados → Express por scope → Next.js dashboard/gráficos</x:v>
      </x:c>
      <x:c r="V62" s="337" t="str">
        <x:v>Soporte de calidad del software</x:v>
      </x:c>
      <x:c r="W62" s="337" t="str">
        <x:v>Dashboard puede usar V5 para QA, rotulado como demo; indicadores científicos se completan con datos reales.</x:v>
      </x:c>
      <x:c r="X62" s="337" t="str">
        <x:v>S — restricción transversal que condiciona el funcionamiento</x:v>
      </x:c>
      <x:c r="Y62" s="337" t="str">
        <x:v>S — operación debe mantenerse dentro de umbrales del entorno</x:v>
      </x:c>
      <x:c r="Z62" s="337" t="str">
        <x:v>D — contrato entre UI/API/BD/ML debe ser compatible</x:v>
      </x:c>
      <x:c r="AA62" s="337" t="str">
        <x:v>D — requisito principal: navegación, validación y mensajes comprensibles</x:v>
      </x:c>
      <x:c r="AB62" s="337" t="str">
        <x:v>S — no debe degradar consistencia ni continuidad</x:v>
      </x:c>
      <x:c r="AC62" s="337" t="str">
        <x:v>S — control de acceso y mínimo privilegio</x:v>
      </x:c>
      <x:c r="AD62" s="337" t="str">
        <x:v>D — módulo/capa localizable, testeable y analizable por Sonar</x:v>
      </x:c>
      <x:c r="AE62" s="337" t="str">
        <x:v>S — depende de env, Docker y despliegue estandarizado</x:v>
      </x:c>
      <x:c r="AF62" s="337" t="str">
        <x:v>Datos + visualización + filtros + UAT + regresión; evidencia objetiva del RNF en pruebas no funcionales/estáticas/regresión.</x:v>
      </x:c>
      <x:c r="AG62" s="337" t="str">
        <x:v>Datos + visualización + filtros + UAT + regresión</x:v>
      </x:c>
      <x:c r="AH62" s="337" t="str">
        <x:v>El requisito de calidad se verifica mediante evidencia objetiva: configuración/código + ejecución de prueba + log/captura/resultado reproducible.</x:v>
      </x:c>
      <x:c r="AI62" s="337" t="str">
        <x:v>Configuración/código + QA + logs/capturas + Sonar/health/deployment según RNF.</x:v>
      </x:c>
      <x:c r="AJ62" s="337" t="str">
        <x:v>RBAC, privacidad, mínimo dato necesario y protección de agregados.</x:v>
      </x:c>
      <x:c r="AK62" s="337" t="str">
        <x:v>dashboard components + controllers/agregates</x:v>
      </x:c>
      <x:c r="AL62" s="337" t="str">
        <x:v>RoleDashboard; StudentDashboard | predict.controller/dashboardStats; profesor.controller; estudiante.controller; agregados | Student; Matricula; Grade; Attendance; LmsEvent; Prediction; Alert; DashboardSnapshot</x:v>
      </x:c>
      <x:c r="AM62" s="337" t="str">
        <x:v>KPI no coincide con fuente; filtro por rol roto; gráfico muestra datos legacy; métrica ML ficticia.</x:v>
      </x:c>
      <x:c r="AN62" s="337" t="str">
        <x:v>Revisar fórmula/agregado backend → servicio frontend → componente gráfico → fuente de datos → indicador de tesis.</x:v>
      </x:c>
      <x:c r="AO62" s="337" t="str">
        <x:v>Director global; Profesor scope; Estudiante personal; filtros; vacíos; responsive; comparación con query fuente.</x:v>
      </x:c>
      <x:c r="AP62" s="337" t="str">
        <x:v>Volver a fórmula/query anterior si rompe consistencia; ocultar KPI sin fuente válida antes que inventarlo.</x:v>
      </x:c>
      <x:c r="AQ62" s="337" t="str">
        <x:v>Variable intermedia — Sistema web inteligente</x:v>
      </x:c>
      <x:c r="AR62" s="337" t="str">
        <x:v>Visualización y alerta temprana</x:v>
      </x:c>
      <x:c r="AS62" s="337" t="str">
        <x:v>Dashboard, filtros, KPIs e indicadores de seguimiento de la operacionalización</x:v>
      </x:c>
      <x:c r="AT62" s="337" t="str">
        <x:v>P14 / Anexo 07 (requisito RNF-011)</x:v>
      </x:c>
      <x:c r="AU62" s="337" t="str">
        <x:v>Vercel/Railway/MySQL</x:v>
      </x:c>
      <x:c r="AV62" s="337" t="str">
        <x:v>ISO 9001 → ISO/IEC 25010 → P14 → Navegar según permisos → RNF-011 → arquitectura/configuración → prueba no funcional → evidencia</x:v>
      </x:c>
      <x:c r="AW62" s="338" t="str">
        <x:v>APUNTES · ANEXO07 · TESIS · GITHUB(dataset-definitivo-2026) · VERCEL(ref. evidencia)</x:v>
      </x:c>
    </x:row>
    <x:row r="63" ht="92" customHeight="1">
      <x:c r="A63" s="350" t="str">
        <x:v>RNF-012</x:v>
      </x:c>
      <x:c r="B63" s="351" t="str">
        <x:v>RNF</x:v>
      </x:c>
      <x:c r="C63" s="343" t="str">
        <x:v>Usabilidad</x:v>
      </x:c>
      <x:c r="D63" s="337" t="str">
        <x:v>7.5 información documentada; 8.1/8.5 control del servicio; 9.1 seguimiento de registros.</x:v>
      </x:c>
      <x:c r="E63" s="337" t="str">
        <x:v>MP01 Gestión institucional y acceso</x:v>
      </x:c>
      <x:c r="F63" s="337" t="str">
        <x:v>P02/P03/P05/P06</x:v>
      </x:c>
      <x:c r="G63" s="337" t="str">
        <x:v>Validar formularios y mensajes</x:v>
      </x:c>
      <x:c r="H63" s="337" t="str">
        <x:v>Los formularios deben proporcionar validación y mensajes comprensibles.</x:v>
      </x:c>
      <x:c r="I63" s="337" t="str">
        <x:v>Centraliza la identidad académica del estudiante y enlaza su información con matrícula, notas, asistencia, LMS, predicción y alertas.</x:v>
      </x:c>
      <x:c r="J63" s="337" t="str">
        <x:v>Datos personales, sección, estado, cuenta</x:v>
      </x:c>
      <x:c r="K63" s="337" t="str">
        <x:v>Director administra; profesor consulta solo su scope; estudiante solo su identidad; desactivación sin pérdida histórica.</x:v>
      </x:c>
      <x:c r="L63" s="337" t="str">
        <x:v>Registro de estudiante disponible para seguimiento</x:v>
      </x:c>
      <x:c r="M63" s="354" t="str">
        <x:v>Supervisa</x:v>
      </x:c>
      <x:c r="N63" s="354" t="str">
        <x:v>Aplica / usa</x:v>
      </x:c>
      <x:c r="O63" s="354" t="str">
        <x:v>Aplica / usa</x:v>
      </x:c>
      <x:c r="P63" s="337" t="str">
        <x:v>StudentsView; ProfessorStudentsView; perfil estudiante</x:v>
      </x:c>
      <x:c r="Q63" s="337" t="str">
        <x:v>/students; /profesor/estudiantes; /estudiante/perfil</x:v>
      </x:c>
      <x:c r="R63" s="337" t="str">
        <x:v>students.controller.ts; profesor.controller.ts; estudiante.controller.ts</x:v>
      </x:c>
      <x:c r="S63" s="337" t="str">
        <x:v>Student; User; Seccion; StudentApoderado; Matricula; Enrollment</x:v>
      </x:c>
      <x:c r="T63" s="337" t="str">
        <x:v>Next.js/React + Express + Prisma + MySQL + RBAC/scope</x:v>
      </x:c>
      <x:c r="U63" s="337" t="str">
        <x:v>Next.js estudiantes/perfil → Express por rol → Prisma → MySQL</x:v>
      </x:c>
      <x:c r="V63" s="337" t="str">
        <x:v>Soporte de calidad del software</x:v>
      </x:c>
      <x:c r="W63" s="337" t="str">
        <x:v>Seed funcional puede poblar estudiantes para QA; no equivale a población científica.</x:v>
      </x:c>
      <x:c r="X63" s="337" t="str">
        <x:v>S — restricción transversal que condiciona el funcionamiento</x:v>
      </x:c>
      <x:c r="Y63" s="337" t="str">
        <x:v>S — operación debe mantenerse dentro de umbrales del entorno</x:v>
      </x:c>
      <x:c r="Z63" s="337" t="str">
        <x:v>S — compatibilidad interna de datos/tipos</x:v>
      </x:c>
      <x:c r="AA63" s="337" t="str">
        <x:v>D — requisito principal: navegación, validación y mensajes comprensibles</x:v>
      </x:c>
      <x:c r="AB63" s="337" t="str">
        <x:v>S — no debe degradar consistencia ni continuidad</x:v>
      </x:c>
      <x:c r="AC63" s="337" t="str">
        <x:v>S — control de acceso y mínimo privilegio</x:v>
      </x:c>
      <x:c r="AD63" s="337" t="str">
        <x:v>D — módulo/capa localizable, testeable y analizable por Sonar</x:v>
      </x:c>
      <x:c r="AE63" s="337" t="str">
        <x:v>S — depende de env, Docker y despliegue estandarizado</x:v>
      </x:c>
      <x:c r="AF63" s="337" t="str">
        <x:v>Caja negra + RBAC + validación + integración; evidencia objetiva del RNF en pruebas no funcionales/estáticas/regresión.</x:v>
      </x:c>
      <x:c r="AG63" s="337" t="str">
        <x:v>Caja negra + RBAC + validación + integración</x:v>
      </x:c>
      <x:c r="AH63" s="337" t="str">
        <x:v>El requisito de calidad se verifica mediante evidencia objetiva: configuración/código + ejecución de prueba + log/captura/resultado reproducible.</x:v>
      </x:c>
      <x:c r="AI63" s="337" t="str">
        <x:v>Configuración/código + QA + logs/capturas + Sonar/health/deployment según RNF.</x:v>
      </x:c>
      <x:c r="AJ63" s="337" t="str">
        <x:v>Privacidad, minimización y RBAC; confidencialidad de datos personales.</x:v>
      </x:c>
      <x:c r="AK63" s="337" t="str">
        <x:v>StudentsView/ProfessorStudentsView + students/profesor/estudiante controllers</x:v>
      </x:c>
      <x:c r="AL63" s="337" t="str">
        <x:v>StudentsView; ProfessorStudentsView; perfil estudiante | students.controller.ts; profesor.controller.ts; estudiante.controller.ts | Student; User; Seccion; StudentApoderado; Matricula; Enrollment</x:v>
      </x:c>
      <x:c r="AM63" s="337" t="str">
        <x:v>Registro duplicado; perfil ajeno; sección inválida; scope docente roto; datos incompletos.</x:v>
      </x:c>
      <x:c r="AN63" s="337" t="str">
        <x:v>Revisar StudentsView/ProfessorStudentsView → students/profesor/estudiante controllers → student-scope → Student/User/Seccion.</x:v>
      </x:c>
      <x:c r="AO63" s="337" t="str">
        <x:v>CRUD Director; scope Profesor; perfil Estudiante; validaciones; duplicidad; desactivación; auditoría.</x:v>
      </x:c>
      <x:c r="AP63" s="337" t="str">
        <x:v>Reactivar registro si fue desactivado por error; no borrar historial académico; restaurar datos desde backup si corresponde.</x:v>
      </x:c>
      <x:c r="AQ63" s="337" t="str">
        <x:v>Variable dependiente — Riesgo de deserción estudiantil</x:v>
      </x:c>
      <x:c r="AR63" s="337" t="str">
        <x:v>Rendimiento y trayectoria académica</x:v>
      </x:c>
      <x:c r="AS63" s="337" t="str">
        <x:v>Identidad, continuidad y contexto del estudiante</x:v>
      </x:c>
      <x:c r="AT63" s="337" t="str">
        <x:v>P02/P03/P05/P06 / Anexo 07 (requisito RNF-012)</x:v>
      </x:c>
      <x:c r="AU63" s="337" t="str">
        <x:v>Vercel/Railway/MySQL</x:v>
      </x:c>
      <x:c r="AV63" s="337" t="str">
        <x:v>ISO 9001 → ISO/IEC 25010 → P02/P03/P05/P06 → Validar formularios y mensajes → RNF-012 → arquitectura/configuración → prueba no funcional → evidencia</x:v>
      </x:c>
      <x:c r="AW63" s="338" t="str">
        <x:v>APUNTES · ANEXO07 · TESIS · GITHUB(dataset-definitivo-2026) · VERCEL(ref. evidencia)</x:v>
      </x:c>
    </x:row>
    <x:row r="64" ht="92" customHeight="1">
      <x:c r="A64" s="350" t="str">
        <x:v>RNF-013</x:v>
      </x:c>
      <x:c r="B64" s="351" t="str">
        <x:v>RNF</x:v>
      </x:c>
      <x:c r="C64" s="343" t="str">
        <x:v>Portabilidad</x:v>
      </x:c>
      <x:c r="D64" s="337" t="str">
        <x:v>7.1 recursos; 8.1 control operacional; 8.6 liberación; 9.1 evaluación; 10.2 acción correctiva.</x:v>
      </x:c>
      <x:c r="E64" s="337" t="str">
        <x:v>MP05 Operación tecnológica</x:v>
      </x:c>
      <x:c r="F64" s="337" t="str">
        <x:v>P19</x:v>
      </x:c>
      <x:c r="G64" s="337" t="str">
        <x:v>Configurar local/nube por env</x:v>
      </x:c>
      <x:c r="H64" s="337" t="str">
        <x:v>La configuración debe utilizar variables de entorno para local y nube.</x:v>
      </x:c>
      <x:c r="I64" s="337" t="str">
        <x:v>Hace reproducible, verificable, desplegable y mantenible la solución completa en entornos local y nube.</x:v>
      </x:c>
      <x:c r="J64" s="337" t="str">
        <x:v>Código versionado, variables, migraciones, artefactos</x:v>
      </x:c>
      <x:c r="K64" s="337" t="str">
        <x:v>No ejecutar seed/db push destructivo en producción; variables por entorno; health/smoke antes de cerrar release.</x:v>
      </x:c>
      <x:c r="L64" s="337" t="str">
        <x:v>Versión desplegada, observable y verificable</x:v>
      </x:c>
      <x:c r="M64" s="354" t="str">
        <x:v>Aplica / controla</x:v>
      </x:c>
      <x:c r="N64" s="354" t="str">
        <x:v>Aplica / usa</x:v>
      </x:c>
      <x:c r="O64" s="354" t="str">
        <x:v>Indirecto</x:v>
      </x:c>
      <x:c r="P64" s="337" t="str">
        <x:v>No corresponde a una pantalla única</x:v>
      </x:c>
      <x:c r="Q64" s="337" t="str">
        <x:v>/health; build/CI/deploy</x:v>
      </x:c>
      <x:c r="R64" s="337" t="str">
        <x:v>backend/src/index.ts; config/env.ts; docker-compose.yml; .github/workflows; docs/DEPLOY.md</x:v>
      </x:c>
      <x:c r="S64" s="337" t="str">
        <x:v>MySQL + Prisma migrations; volúmenes/backups según entorno</x:v>
      </x:c>
      <x:c r="T64" s="337" t="str">
        <x:v>Git/GitHub + GitHub Actions + SonarCloud/SonarQube + Vercel + Railway + Docker Compose + MySQL + FastAPI</x:v>
      </x:c>
      <x:c r="U64" s="337" t="str">
        <x:v>GitHub → CI/QA/Sonar → Vercel frontend + Railway backend/MySQL + FastAPI ML independiente</x:v>
      </x:c>
      <x:c r="V64" s="337" t="str">
        <x:v>Soporte de calidad del software</x:v>
      </x:c>
      <x:c r="W64" s="337" t="str">
        <x:v>Seed solo en entorno autorizado de QA; producción preserva datos.</x:v>
      </x:c>
      <x:c r="X64" s="337" t="str">
        <x:v>S — restricción transversal que condiciona el funcionamiento</x:v>
      </x:c>
      <x:c r="Y64" s="337" t="str">
        <x:v>S — operación debe mantenerse dentro de umbrales del entorno</x:v>
      </x:c>
      <x:c r="Z64" s="337" t="str">
        <x:v>D — contrato entre UI/API/BD/ML debe ser compatible</x:v>
      </x:c>
      <x:c r="AA64" s="337" t="str">
        <x:v>S — evidencia técnica consumida por UI/operación</x:v>
      </x:c>
      <x:c r="AB64" s="337" t="str">
        <x:v>D — manejo de error, persistencia y recuperación verificables</x:v>
      </x:c>
      <x:c r="AC64" s="337" t="str">
        <x:v>S — control de acceso y mínimo privilegio</x:v>
      </x:c>
      <x:c r="AD64" s="337" t="str">
        <x:v>D — módulo/capa localizable, testeable y analizable por Sonar</x:v>
      </x:c>
      <x:c r="AE64" s="337" t="str">
        <x:v>D — requisito principal: configuración reproducible local/nube/Docker</x:v>
      </x:c>
      <x:c r="AF64" s="337" t="str">
        <x:v>Estática + integración + smoke + aceptación + regresión; evidencia objetiva del RNF en pruebas no funcionales/estáticas/regresión.</x:v>
      </x:c>
      <x:c r="AG64" s="337" t="str">
        <x:v>Estática + integración + smoke + aceptación + regresión</x:v>
      </x:c>
      <x:c r="AH64" s="337" t="str">
        <x:v>El requisito de calidad se verifica mediante evidencia objetiva: configuración/código + ejecución de prueba + log/captura/resultado reproducible.</x:v>
      </x:c>
      <x:c r="AI64" s="337" t="str">
        <x:v>Configuración/código + QA + logs/capturas + Sonar/health/deployment según RNF.</x:v>
      </x:c>
      <x:c r="AJ64" s="337" t="str">
        <x:v>Gestión de secretos/configuración, disponibilidad, backups, hardening y segregación de entornos.</x:v>
      </x:c>
      <x:c r="AK64" s="337" t="str">
        <x:v>sonar-project.properties + Quality Gate; GitHub Actions/QA pipeline.</x:v>
      </x:c>
      <x:c r="AL64" s="337" t="str">
        <x:v>No corresponde a una pantalla única | backend/src/index.ts; config/env.ts; docker-compose.yml; .github/workflows; docs/DEPLOY.md | MySQL + Prisma migrations; volúmenes/backups según entorno</x:v>
      </x:c>
      <x:c r="AM64" s="337" t="str">
        <x:v>Build falla; env faltante; CORS; health 5xx; migración P3009; deployment apunta a URL antigua.</x:v>
      </x:c>
      <x:c r="AN64" s="337" t="str">
        <x:v>Revisar CI/build → env → migrate deploy → health/logs → CORS → URLs → rollback si corresponde.</x:v>
      </x:c>
      <x:c r="AO64" s="337" t="str">
        <x:v>type-check, lint, tests, build, smoke, health, DB connectivity, auth, RBAC, predicción si disponible.</x:v>
      </x:c>
      <x:c r="AP64" s="337" t="str">
        <x:v>Rollback de deployment; restauración de backup antes de migración; no borrar datos para 'arreglar' P3009.</x:v>
      </x:c>
      <x:c r="AQ64" s="337" t="str">
        <x:v>Variable intermedia — Sistema web inteligente</x:v>
      </x:c>
      <x:c r="AR64" s="337" t="str">
        <x:v>Gestión, trazabilidad y calidad operativa</x:v>
      </x:c>
      <x:c r="AS64" s="337" t="str">
        <x:v>Confiabilidad, mantenibilidad, disponibilidad y portabilidad</x:v>
      </x:c>
      <x:c r="AT64" s="337" t="str">
        <x:v>P19 / Anexo 07 (requisito RNF-013)</x:v>
      </x:c>
      <x:c r="AU64" s="337" t="str">
        <x:v>Vercel + Railway + Docker local + SonarCloud + GitHub Actions.</x:v>
      </x:c>
      <x:c r="AV64" s="337" t="str">
        <x:v>ISO 9001 → ISO/IEC 25010 → P19 → Configurar local/nube por env → RNF-013 → arquitectura/configuración → prueba no funcional → evidencia</x:v>
      </x:c>
      <x:c r="AW64" s="338" t="str">
        <x:v>APUNTES · ANEXO07 · TESIS · GITHUB(dataset-definitivo-2026) · VERCEL(ref. evidencia)</x:v>
      </x:c>
    </x:row>
    <x:row r="65" ht="92" customHeight="1">
      <x:c r="A65" s="350" t="str">
        <x:v>RNF-014</x:v>
      </x:c>
      <x:c r="B65" s="351" t="str">
        <x:v>RNF</x:v>
      </x:c>
      <x:c r="C65" s="343" t="str">
        <x:v>Portabilidad</x:v>
      </x:c>
      <x:c r="D65" s="337" t="str">
        <x:v>7.1 recursos; 8.1 control operacional; 8.6 liberación; 9.1 evaluación; 10.2 acción correctiva.</x:v>
      </x:c>
      <x:c r="E65" s="337" t="str">
        <x:v>MP05 Operación tecnológica</x:v>
      </x:c>
      <x:c r="F65" s="337" t="str">
        <x:v>P19</x:v>
      </x:c>
      <x:c r="G65" s="337" t="str">
        <x:v>Ejecutar MySQL local/Docker</x:v>
      </x:c>
      <x:c r="H65" s="337" t="str">
        <x:v>MySQL debe poder ejecutarse mediante instalación local o Docker Compose.</x:v>
      </x:c>
      <x:c r="I65" s="337" t="str">
        <x:v>Hace reproducible, verificable, desplegable y mantenible la solución completa en entornos local y nube.</x:v>
      </x:c>
      <x:c r="J65" s="337" t="str">
        <x:v>Código versionado, variables, migraciones, artefactos</x:v>
      </x:c>
      <x:c r="K65" s="337" t="str">
        <x:v>No ejecutar seed/db push destructivo en producción; variables por entorno; health/smoke antes de cerrar release.</x:v>
      </x:c>
      <x:c r="L65" s="337" t="str">
        <x:v>Versión desplegada, observable y verificable</x:v>
      </x:c>
      <x:c r="M65" s="354" t="str">
        <x:v>Aplica / controla</x:v>
      </x:c>
      <x:c r="N65" s="354" t="str">
        <x:v>Aplica / usa</x:v>
      </x:c>
      <x:c r="O65" s="354" t="str">
        <x:v>Indirecto</x:v>
      </x:c>
      <x:c r="P65" s="337" t="str">
        <x:v>No corresponde a una pantalla única</x:v>
      </x:c>
      <x:c r="Q65" s="337" t="str">
        <x:v>/health; build/CI/deploy</x:v>
      </x:c>
      <x:c r="R65" s="337" t="str">
        <x:v>backend/src/index.ts; config/env.ts; docker-compose.yml; .github/workflows; docs/DEPLOY.md</x:v>
      </x:c>
      <x:c r="S65" s="337" t="str">
        <x:v>MySQL + Prisma migrations; volúmenes/backups según entorno</x:v>
      </x:c>
      <x:c r="T65" s="337" t="str">
        <x:v>Git/GitHub + GitHub Actions + SonarCloud/SonarQube + Vercel + Railway + Docker Compose + MySQL + FastAPI</x:v>
      </x:c>
      <x:c r="U65" s="337" t="str">
        <x:v>GitHub → CI/QA/Sonar → Vercel frontend + Railway backend/MySQL + FastAPI ML independiente</x:v>
      </x:c>
      <x:c r="V65" s="337" t="str">
        <x:v>Soporte de calidad del software</x:v>
      </x:c>
      <x:c r="W65" s="337" t="str">
        <x:v>Seed solo en entorno autorizado de QA; producción preserva datos.</x:v>
      </x:c>
      <x:c r="X65" s="337" t="str">
        <x:v>S — restricción transversal que condiciona el funcionamiento</x:v>
      </x:c>
      <x:c r="Y65" s="337" t="str">
        <x:v>S — operación debe mantenerse dentro de umbrales del entorno</x:v>
      </x:c>
      <x:c r="Z65" s="337" t="str">
        <x:v>D — contrato entre UI/API/BD/ML debe ser compatible</x:v>
      </x:c>
      <x:c r="AA65" s="337" t="str">
        <x:v>S — evidencia técnica consumida por UI/operación</x:v>
      </x:c>
      <x:c r="AB65" s="337" t="str">
        <x:v>D — manejo de error, persistencia y recuperación verificables</x:v>
      </x:c>
      <x:c r="AC65" s="337" t="str">
        <x:v>S — control de acceso y mínimo privilegio</x:v>
      </x:c>
      <x:c r="AD65" s="337" t="str">
        <x:v>D — módulo/capa localizable, testeable y analizable por Sonar</x:v>
      </x:c>
      <x:c r="AE65" s="337" t="str">
        <x:v>D — requisito principal: configuración reproducible local/nube/Docker</x:v>
      </x:c>
      <x:c r="AF65" s="337" t="str">
        <x:v>Estática + integración + smoke + aceptación + regresión; evidencia objetiva del RNF en pruebas no funcionales/estáticas/regresión.</x:v>
      </x:c>
      <x:c r="AG65" s="337" t="str">
        <x:v>Estática + integración + smoke + aceptación + regresión</x:v>
      </x:c>
      <x:c r="AH65" s="337" t="str">
        <x:v>El requisito de calidad se verifica mediante evidencia objetiva: configuración/código + ejecución de prueba + log/captura/resultado reproducible.</x:v>
      </x:c>
      <x:c r="AI65" s="337" t="str">
        <x:v>Configuración/código + QA + logs/capturas + Sonar/health/deployment según RNF.</x:v>
      </x:c>
      <x:c r="AJ65" s="337" t="str">
        <x:v>Gestión de secretos/configuración, disponibilidad, backups, hardening y segregación de entornos.</x:v>
      </x:c>
      <x:c r="AK65" s="337" t="str">
        <x:v>sonar-project.properties + Quality Gate; GitHub Actions/QA pipeline.</x:v>
      </x:c>
      <x:c r="AL65" s="337" t="str">
        <x:v>No corresponde a una pantalla única | backend/src/index.ts; config/env.ts; docker-compose.yml; .github/workflows; docs/DEPLOY.md | MySQL + Prisma migrations; volúmenes/backups según entorno</x:v>
      </x:c>
      <x:c r="AM65" s="337" t="str">
        <x:v>Build falla; env faltante; CORS; health 5xx; migración P3009; deployment apunta a URL antigua.</x:v>
      </x:c>
      <x:c r="AN65" s="337" t="str">
        <x:v>Revisar CI/build → env → migrate deploy → health/logs → CORS → URLs → rollback si corresponde.</x:v>
      </x:c>
      <x:c r="AO65" s="337" t="str">
        <x:v>type-check, lint, tests, build, smoke, health, DB connectivity, auth, RBAC, predicción si disponible.</x:v>
      </x:c>
      <x:c r="AP65" s="337" t="str">
        <x:v>Rollback de deployment; restauración de backup antes de migración; no borrar datos para 'arreglar' P3009.</x:v>
      </x:c>
      <x:c r="AQ65" s="337" t="str">
        <x:v>Variable intermedia — Sistema web inteligente</x:v>
      </x:c>
      <x:c r="AR65" s="337" t="str">
        <x:v>Gestión, trazabilidad y calidad operativa</x:v>
      </x:c>
      <x:c r="AS65" s="337" t="str">
        <x:v>Confiabilidad, mantenibilidad, disponibilidad y portabilidad</x:v>
      </x:c>
      <x:c r="AT65" s="337" t="str">
        <x:v>P19 / Anexo 07 (requisito RNF-014)</x:v>
      </x:c>
      <x:c r="AU65" s="337" t="str">
        <x:v>Vercel + Railway + Docker local + SonarCloud + GitHub Actions.</x:v>
      </x:c>
      <x:c r="AV65" s="337" t="str">
        <x:v>ISO 9001 → ISO/IEC 25010 → P19 → Ejecutar MySQL local/Docker → RNF-014 → arquitectura/configuración → prueba no funcional → evidencia</x:v>
      </x:c>
      <x:c r="AW65" s="338" t="str">
        <x:v>APUNTES · ANEXO07 · TESIS · GITHUB(dataset-definitivo-2026) · VERCEL(ref. evidencia)</x:v>
      </x:c>
    </x:row>
    <x:row r="66" ht="92" customHeight="1">
      <x:c r="A66" s="350" t="str">
        <x:v>RNF-015</x:v>
      </x:c>
      <x:c r="B66" s="351" t="str">
        <x:v>RNF</x:v>
      </x:c>
      <x:c r="C66" s="343" t="str">
        <x:v>Trazabilidad</x:v>
      </x:c>
      <x:c r="D66" s="337" t="str">
        <x:v>6.1 riesgos; 8.1 control operacional; 9.1 análisis/evaluación; 7.5 trazabilidad de resultados.</x:v>
      </x:c>
      <x:c r="E66" s="337" t="str">
        <x:v>MP03 Analítica predictiva</x:v>
      </x:c>
      <x:c r="F66" s="337" t="str">
        <x:v>P12</x:v>
      </x:c>
      <x:c r="G66" s="337" t="str">
        <x:v>Trazar inferencias</x:v>
      </x:c>
      <x:c r="H66" s="337" t="str">
        <x:v>Las predicciones deben conservar versión de modelo, fecha, probabilidad y factores cuando estén disponibles.</x:v>
      </x:c>
      <x:c r="I66" s="337" t="str">
        <x:v>Convierte los datos y el modelo ML en una inferencia utilizable y trazable dentro del sistema web.</x:v>
      </x:c>
      <x:c r="J66" s="337" t="str">
        <x:v>Estudiante autorizado + características construibles + modelo compatible</x:v>
      </x:c>
      <x:c r="K66" s="337" t="str">
        <x:v>No inventar inferencia; si ML no está disponible mostrar estado controlado; conservar fecha/modelo/features/factores.</x:v>
      </x:c>
      <x:c r="L66" s="337" t="str">
        <x:v>Probabilidad, nivel, factores/recomendación y registro trazable</x:v>
      </x:c>
      <x:c r="M66" s="354" t="str">
        <x:v>Aplica / controla</x:v>
      </x:c>
      <x:c r="N66" s="354" t="str">
        <x:v>Aplica / usa</x:v>
      </x:c>
      <x:c r="O66" s="354" t="str">
        <x:v>Indirecto</x:v>
      </x:c>
      <x:c r="P66" s="337" t="str">
        <x:v>PredictionView; ProfessorPredictionView; StudentPredictionView; PredictionHistoryView</x:v>
      </x:c>
      <x:c r="Q66" s="337" t="str">
        <x:v>POST /predict; GET /predictions; /profesor/predicciones; /profesor/historial-predicciones; /estudiante/prediccion; /ml/metrics</x:v>
      </x:c>
      <x:c r="R66" s="337" t="str">
        <x:v>predict.controller.ts; predictions.controller.ts; profesor.controller.ts; estudiante.controller.ts; services/ml-client.ts</x:v>
      </x:c>
      <x:c r="S66" s="337" t="str">
        <x:v>Prediction; MlFeatureDef; MlModelo; MlMetrica; Student; Grade; Attendance; LmsEvent</x:v>
      </x:c>
      <x:c r="T66" s="337" t="str">
        <x:v>Next.js/React + Express + Prisma/MySQL + ML client + Python/FastAPI + modelo Ensemble</x:v>
      </x:c>
      <x:c r="U66" s="337" t="str">
        <x:v>Next.js Predicción → Express → feature builder → ML_SERVICE_URL → FastAPI/modelo → Express → Prisma/MySQL</x:v>
      </x:c>
      <x:c r="V66" s="337" t="str">
        <x:v>Transversal a IA/ML</x:v>
      </x:c>
      <x:c r="W66" s="337" t="str">
        <x:v>Seed solo verifica flujo. Entrenamiento/métricas científicas requieren dataset institucional real autorizado.</x:v>
      </x:c>
      <x:c r="X66" s="337" t="str">
        <x:v>S — restricción transversal que condiciona el funcionamiento</x:v>
      </x:c>
      <x:c r="Y66" s="337" t="str">
        <x:v>S — operación debe mantenerse dentro de umbrales del entorno</x:v>
      </x:c>
      <x:c r="Z66" s="337" t="str">
        <x:v>D — contrato entre UI/API/BD/ML debe ser compatible</x:v>
      </x:c>
      <x:c r="AA66" s="337" t="str">
        <x:v>D — navegación/formulario/mensaje comprensible por rol</x:v>
      </x:c>
      <x:c r="AB66" s="337" t="str">
        <x:v>S — no debe degradar consistencia ni continuidad</x:v>
      </x:c>
      <x:c r="AC66" s="337" t="str">
        <x:v>D — RBAC/privacidad/integridad/secretos aplican directamente</x:v>
      </x:c>
      <x:c r="AD66" s="337" t="str">
        <x:v>D — módulo/capa localizable, testeable y analizable por Sonar</x:v>
      </x:c>
      <x:c r="AE66" s="337" t="str">
        <x:v>S — depende de env, Docker y despliegue estandarizado</x:v>
      </x:c>
      <x:c r="AF66" s="337" t="str">
        <x:v>Integración API–ML + caja negra + seguridad + regresión; evidencia objetiva del RNF en pruebas no funcionales/estáticas/regresión.</x:v>
      </x:c>
      <x:c r="AG66" s="337" t="str">
        <x:v>Integración API–ML + caja negra + seguridad + regresión</x:v>
      </x:c>
      <x:c r="AH66" s="337" t="str">
        <x:v>El requisito de calidad se verifica mediante evidencia objetiva: configuración/código + ejecución de prueba + log/captura/resultado reproducible.</x:v>
      </x:c>
      <x:c r="AI66" s="337" t="str">
        <x:v>Configuración/código + QA + logs/capturas + Sonar/health/deployment según RNF.</x:v>
      </x:c>
      <x:c r="AJ66" s="337" t="str">
        <x:v>Confidencialidad del estudiante + integridad de inferencia + disponibilidad controlada del servicio ML + RBAC.</x:v>
      </x:c>
      <x:c r="AK66" s="337" t="str">
        <x:v>Prediction views + predict/predictions + ml-client + machine-learning/app/train.py</x:v>
      </x:c>
      <x:c r="AL66" s="337" t="str">
        <x:v>PredictionView; ProfessorPredictionView; StudentPredictionView; PredictionHistoryView | predict.controller.ts; predictions.controller.ts; profesor.controller.ts; estudiante.controller.ts; services/ml-client.ts | Prediction; MlFeatureDef; MlModelo; MlMetrica; Student; Grade; Attendance; LmsEvent</x:v>
      </x:c>
      <x:c r="AM66" s="337" t="str">
        <x:v>ML_SERVICE_URL caído; feature mismatch; modelo incompatible; timeout; predicción no persiste; historial ajeno.</x:v>
      </x:c>
      <x:c r="AN66" s="337" t="str">
        <x:v>Revisar vistas → predict/predictions/profesor/estudiante → ml-client → FastAPI/model artifact → Prediction/Ml*.</x:v>
      </x:c>
      <x:c r="AO66" s="337" t="str">
        <x:v>Contrato API-ML; modelo no disponible; persistencia; historial; scope; estudiante propio; métricas autorizadas.</x:v>
      </x:c>
      <x:c r="AP66" s="337" t="str">
        <x:v>Deshabilitar inferencia y mostrar 'Sin predicción' ante incompatibilidad; volver a artefacto/modelo compatible.</x:v>
      </x:c>
      <x:c r="AQ66" s="337" t="str">
        <x:v>Variable intermedia + variable dependiente</x:v>
      </x:c>
      <x:c r="AR66" s="337" t="str">
        <x:v>Integración/explicabilidad predictiva + permanencia e identificación temprana</x:v>
      </x:c>
      <x:c r="AS66" s="337" t="str">
        <x:v>Probabilidad estimada, nivel de riesgo, factores, fecha/modelo y detección temprana</x:v>
      </x:c>
      <x:c r="AT66" s="337" t="str">
        <x:v>P12 / Anexo 07 (requisito RNF-015)</x:v>
      </x:c>
      <x:c r="AU66" s="337" t="str">
        <x:v>Vercel → Railway backend → FastAPI ML independiente; ML_SERVICE_URL.</x:v>
      </x:c>
      <x:c r="AV66" s="337" t="str">
        <x:v>ISO 9001 → ISO/IEC 25010 → P12 → Trazar inferencias → RNF-015 → arquitectura/configuración → prueba no funcional → evidencia</x:v>
      </x:c>
      <x:c r="AW66" s="338" t="str">
        <x:v>APUNTES · ANEXO07 · TESIS · GITHUB(dataset-definitivo-2026) · VERCEL(ref. evidencia)</x:v>
      </x:c>
    </x:row>
    <x:row r="67" ht="92" customHeight="1">
      <x:c r="A67" s="350" t="str">
        <x:v>RNF-016</x:v>
      </x:c>
      <x:c r="B67" s="351" t="str">
        <x:v>RNF</x:v>
      </x:c>
      <x:c r="C67" s="343" t="str">
        <x:v>Trazabilidad</x:v>
      </x:c>
      <x:c r="D67" s="337" t="str">
        <x:v>4.4 proceso; 7.5 información documentada; 8.1 control de entradas; 9.1 medición.</x:v>
      </x:c>
      <x:c r="E67" s="337" t="str">
        <x:v>MP03 Analítica predictiva</x:v>
      </x:c>
      <x:c r="F67" s="337" t="str">
        <x:v>P08/P20</x:v>
      </x:c>
      <x:c r="G67" s="337" t="str">
        <x:v>Separar demo y ciencia</x:v>
      </x:c>
      <x:c r="H67" s="337" t="str">
        <x:v>Las evidencias científicas deben diferenciarse de datos demo o simulados.</x:v>
      </x:c>
      <x:c r="I67" s="337" t="str">
        <x:v>Construye la base científica de datos integrada y controlada que podrá utilizarse para entrenar/evaluar el modelo.</x:v>
      </x:c>
      <x:c r="J67" s="337" t="str">
        <x:v>Datos institucionales académicos + LMS autorizados</x:v>
      </x:c>
      <x:c r="K67" s="337" t="str">
        <x:v>Identificadores homologados; anonimización; versión; separación temporal; no mezclar demo con evidencia científica.</x:v>
      </x:c>
      <x:c r="L67" s="337" t="str">
        <x:v>Dataset integrado y trazable</x:v>
      </x:c>
      <x:c r="M67" s="354" t="str">
        <x:v>Aplica / controla</x:v>
      </x:c>
      <x:c r="N67" s="354" t="str">
        <x:v>Aplica / usa</x:v>
      </x:c>
      <x:c r="O67" s="354" t="str">
        <x:v>Indirecto</x:v>
      </x:c>
      <x:c r="P67" s="337" t="str">
        <x:v>No es UI ordinaria; evidencia en notebook/reportes</x:v>
      </x:c>
      <x:c r="Q67" s="337" t="str">
        <x:v>Scripts/pipeline de datos; consumo posterior por ML</x:v>
      </x:c>
      <x:c r="R67" s="337" t="str">
        <x:v>machine-learning + scripts de preparación; documentación CRISP-DM</x:v>
      </x:c>
      <x:c r="S67" s="337" t="str">
        <x:v>Student; Grade; Attendance; Matricula; LmsEvent; MlDataset; MlFeatureDef</x:v>
      </x:c>
      <x:c r="T67" s="337" t="str">
        <x:v>Python + pandas/scikit-learn/XGBoost según pipeline + CRISP-DM + versionado de datos</x:v>
      </x:c>
      <x:c r="U67" s="337" t="str">
        <x:v>Fuentes académicas/LMS → integración/anonimización → dataset versionado → pipeline Python</x:v>
      </x:c>
      <x:c r="V67" s="337" t="str">
        <x:v>Transversal a IA/ML</x:v>
      </x:c>
      <x:c r="W67" s="337" t="str">
        <x:v>PROHIBIDO usar seed demo como evidencia científica; dataset real autorizado.</x:v>
      </x:c>
      <x:c r="X67" s="337" t="str">
        <x:v>S — restricción transversal que condiciona el funcionamiento</x:v>
      </x:c>
      <x:c r="Y67" s="337" t="str">
        <x:v>S — operación debe mantenerse dentro de umbrales del entorno</x:v>
      </x:c>
      <x:c r="Z67" s="337" t="str">
        <x:v>S — compatibilidad interna de datos/tipos</x:v>
      </x:c>
      <x:c r="AA67" s="337" t="str">
        <x:v>S — evidencia técnica consumida por UI/operación</x:v>
      </x:c>
      <x:c r="AB67" s="337" t="str">
        <x:v>S — no debe degradar consistencia ni continuidad</x:v>
      </x:c>
      <x:c r="AC67" s="337" t="str">
        <x:v>D — RBAC/privacidad/integridad/secretos aplican directamente</x:v>
      </x:c>
      <x:c r="AD67" s="337" t="str">
        <x:v>D — módulo/capa localizable, testeable y analizable por Sonar</x:v>
      </x:c>
      <x:c r="AE67" s="337" t="str">
        <x:v>S — depende de env, Docker y despliegue estandarizado</x:v>
      </x:c>
      <x:c r="AF67" s="337" t="str">
        <x:v>Calidad de datos + estática + reproducibilidad; evidencia objetiva del RNF en pruebas no funcionales/estáticas/regresión.</x:v>
      </x:c>
      <x:c r="AG67" s="337" t="str">
        <x:v>Calidad de datos + estática + reproducibilidad</x:v>
      </x:c>
      <x:c r="AH67" s="337" t="str">
        <x:v>El requisito de calidad se verifica mediante evidencia objetiva: configuración/código + ejecución de prueba + log/captura/resultado reproducible.</x:v>
      </x:c>
      <x:c r="AI67" s="337" t="str">
        <x:v>Configuración/código + QA + logs/capturas + Sonar/health/deployment según RNF.</x:v>
      </x:c>
      <x:c r="AJ67" s="337" t="str">
        <x:v>Privacidad y minimización; acceso restringido; anonimización/pseudonimización; integridad.</x:v>
      </x:c>
      <x:c r="AK67" s="337" t="str">
        <x:v>machine-learning/app; scripts permitidos; revisión de notebooks separada de Sonar si está excluida.</x:v>
      </x:c>
      <x:c r="AL67" s="337" t="str">
        <x:v>No es UI ordinaria; evidencia en notebook/reportes | machine-learning + scripts de preparación; documentación CRISP-DM | Student; Grade; Attendance; Matricula; LmsEvent; MlDataset; MlFeatureDef</x:v>
      </x:c>
      <x:c r="AM67" s="337" t="str">
        <x:v>Faltantes/duplicados; identificadores no coinciden; fuga temporal; dataset demo confundido con real.</x:v>
      </x:c>
      <x:c r="AN67" s="337" t="str">
        <x:v>Revisar extracción/joins → reglas de calidad → anonimización → versionado → diccionario de features.</x:v>
      </x:c>
      <x:c r="AO67" s="337" t="str">
        <x:v>Integridad, completitud, duplicados, correspondencia, trazabilidad, reproducibilidad.</x:v>
      </x:c>
      <x:c r="AP67" s="337" t="str">
        <x:v>Conservar dataset original inmutable; versionar transformaciones; volver a versión previa si falla control de calidad.</x:v>
      </x:c>
      <x:c r="AQ67" s="337" t="str">
        <x:v>Variable independiente — Modelo predictivo</x:v>
      </x:c>
      <x:c r="AR67" s="337" t="str">
        <x:v>Integración y calidad de datos educativos</x:v>
      </x:c>
      <x:c r="AS67" s="337" t="str">
        <x:v>Completitud, consistencia, integración académico-LMS y control temporal</x:v>
      </x:c>
      <x:c r="AT67" s="337" t="str">
        <x:v>P08/P20 / Anexo 07 (requisito RNF-016)</x:v>
      </x:c>
      <x:c r="AU67" s="337" t="str">
        <x:v>Pipeline científico versionado; artefactos fuera de secretos; almacenamiento controlado.</x:v>
      </x:c>
      <x:c r="AV67" s="337" t="str">
        <x:v>ISO 9001 → ISO/IEC 25010 → P08/P20 → Separar demo y ciencia → RNF-016 → arquitectura/configuración → prueba no funcional → evidencia</x:v>
      </x:c>
      <x:c r="AW67" s="338" t="str">
        <x:v>APUNTES · ANEXO07 · TESIS · GITHUB(dataset-definitivo-2026)</x:v>
      </x:c>
    </x:row>
    <x:row r="68" ht="92" customHeight="1">
      <x:c r="A68" s="350" t="str">
        <x:v>RNF-017</x:v>
      </x:c>
      <x:c r="B68" s="351" t="str">
        <x:v>RNF</x:v>
      </x:c>
      <x:c r="C68" s="343" t="str">
        <x:v>Privacidad</x:v>
      </x:c>
      <x:c r="D68" s="337" t="str">
        <x:v>4.4 proceso; 7.5 información documentada; 8.1 control de entradas; 9.1 medición.</x:v>
      </x:c>
      <x:c r="E68" s="337" t="str">
        <x:v>MP03 Analítica predictiva</x:v>
      </x:c>
      <x:c r="F68" s="337" t="str">
        <x:v>P08/P09</x:v>
      </x:c>
      <x:c r="G68" s="337" t="str">
        <x:v>Anonimizar dataset</x:v>
      </x:c>
      <x:c r="H68" s="337" t="str">
        <x:v>Los datasets científicos deben anonimizar identificadores y restringir acceso.</x:v>
      </x:c>
      <x:c r="I68" s="337" t="str">
        <x:v>Construye la base científica de datos integrada y controlada que podrá utilizarse para entrenar/evaluar el modelo.</x:v>
      </x:c>
      <x:c r="J68" s="337" t="str">
        <x:v>Datos institucionales académicos + LMS autorizados</x:v>
      </x:c>
      <x:c r="K68" s="337" t="str">
        <x:v>Identificadores homologados; anonimización; versión; separación temporal; no mezclar demo con evidencia científica.</x:v>
      </x:c>
      <x:c r="L68" s="337" t="str">
        <x:v>Dataset integrado y trazable</x:v>
      </x:c>
      <x:c r="M68" s="354" t="str">
        <x:v>Aplica / controla</x:v>
      </x:c>
      <x:c r="N68" s="354" t="str">
        <x:v>Aplica / usa</x:v>
      </x:c>
      <x:c r="O68" s="354" t="str">
        <x:v>Indirecto</x:v>
      </x:c>
      <x:c r="P68" s="337" t="str">
        <x:v>No es UI ordinaria; evidencia en notebook/reportes</x:v>
      </x:c>
      <x:c r="Q68" s="337" t="str">
        <x:v>Scripts/pipeline de datos; consumo posterior por ML</x:v>
      </x:c>
      <x:c r="R68" s="337" t="str">
        <x:v>machine-learning + scripts de preparación; documentación CRISP-DM</x:v>
      </x:c>
      <x:c r="S68" s="337" t="str">
        <x:v>Student; Grade; Attendance; Matricula; LmsEvent; MlDataset; MlFeatureDef</x:v>
      </x:c>
      <x:c r="T68" s="337" t="str">
        <x:v>Python + pandas/scikit-learn/XGBoost según pipeline + CRISP-DM + versionado de datos</x:v>
      </x:c>
      <x:c r="U68" s="337" t="str">
        <x:v>Fuentes académicas/LMS → integración/anonimización → dataset versionado → pipeline Python</x:v>
      </x:c>
      <x:c r="V68" s="337" t="str">
        <x:v>Transversal a IA/ML</x:v>
      </x:c>
      <x:c r="W68" s="337" t="str">
        <x:v>PROHIBIDO usar seed demo como evidencia científica; dataset real autorizado.</x:v>
      </x:c>
      <x:c r="X68" s="337" t="str">
        <x:v>S — restricción transversal que condiciona el funcionamiento</x:v>
      </x:c>
      <x:c r="Y68" s="337" t="str">
        <x:v>S — operación debe mantenerse dentro de umbrales del entorno</x:v>
      </x:c>
      <x:c r="Z68" s="337" t="str">
        <x:v>S — compatibilidad interna de datos/tipos</x:v>
      </x:c>
      <x:c r="AA68" s="337" t="str">
        <x:v>S — evidencia técnica consumida por UI/operación</x:v>
      </x:c>
      <x:c r="AB68" s="337" t="str">
        <x:v>S — no debe degradar consistencia ni continuidad</x:v>
      </x:c>
      <x:c r="AC68" s="337" t="str">
        <x:v>D — requisito principal: controles preventivos/detectivos y evidencia de acceso seguro</x:v>
      </x:c>
      <x:c r="AD68" s="337" t="str">
        <x:v>D — módulo/capa localizable, testeable y analizable por Sonar</x:v>
      </x:c>
      <x:c r="AE68" s="337" t="str">
        <x:v>S — depende de env, Docker y despliegue estandarizado</x:v>
      </x:c>
      <x:c r="AF68" s="337" t="str">
        <x:v>Calidad de datos + estática + reproducibilidad; evidencia objetiva del RNF en pruebas no funcionales/estáticas/regresión.</x:v>
      </x:c>
      <x:c r="AG68" s="337" t="str">
        <x:v>Calidad de datos + estática + reproducibilidad</x:v>
      </x:c>
      <x:c r="AH68" s="337" t="str">
        <x:v>El requisito de calidad se verifica mediante evidencia objetiva: configuración/código + ejecución de prueba + log/captura/resultado reproducible.</x:v>
      </x:c>
      <x:c r="AI68" s="337" t="str">
        <x:v>Configuración/código + QA + logs/capturas + Sonar/health/deployment según RNF.</x:v>
      </x:c>
      <x:c r="AJ68" s="337" t="str">
        <x:v>Privacidad y minimización; acceso restringido; anonimización/pseudonimización; integridad.</x:v>
      </x:c>
      <x:c r="AK68" s="337" t="str">
        <x:v>machine-learning/app; scripts permitidos; revisión de notebooks separada de Sonar si está excluida.</x:v>
      </x:c>
      <x:c r="AL68" s="337" t="str">
        <x:v>No es UI ordinaria; evidencia en notebook/reportes | machine-learning + scripts de preparación; documentación CRISP-DM | Student; Grade; Attendance; Matricula; LmsEvent; MlDataset; MlFeatureDef</x:v>
      </x:c>
      <x:c r="AM68" s="337" t="str">
        <x:v>Faltantes/duplicados; identificadores no coinciden; fuga temporal; dataset demo confundido con real.</x:v>
      </x:c>
      <x:c r="AN68" s="337" t="str">
        <x:v>Revisar extracción/joins → reglas de calidad → anonimización → versionado → diccionario de features.</x:v>
      </x:c>
      <x:c r="AO68" s="337" t="str">
        <x:v>Integridad, completitud, duplicados, correspondencia, trazabilidad, reproducibilidad.</x:v>
      </x:c>
      <x:c r="AP68" s="337" t="str">
        <x:v>Conservar dataset original inmutable; versionar transformaciones; volver a versión previa si falla control de calidad.</x:v>
      </x:c>
      <x:c r="AQ68" s="337" t="str">
        <x:v>Variable independiente — Modelo predictivo</x:v>
      </x:c>
      <x:c r="AR68" s="337" t="str">
        <x:v>Integración y calidad de datos educativos</x:v>
      </x:c>
      <x:c r="AS68" s="337" t="str">
        <x:v>Completitud, consistencia, integración académico-LMS y control temporal</x:v>
      </x:c>
      <x:c r="AT68" s="337" t="str">
        <x:v>P08/P09 / Anexo 07 (requisito RNF-017)</x:v>
      </x:c>
      <x:c r="AU68" s="337" t="str">
        <x:v>Pipeline científico versionado; artefactos fuera de secretos; almacenamiento controlado.</x:v>
      </x:c>
      <x:c r="AV68" s="337" t="str">
        <x:v>ISO 9001 → ISO/IEC 25010 → P08/P09 → Anonimizar dataset → RNF-017 → arquitectura/configuración → prueba no funcional → evidencia</x:v>
      </x:c>
      <x:c r="AW68" s="338" t="str">
        <x:v>APUNTES · ANEXO07 · TESIS · GITHUB(dataset-definitivo-2026)</x:v>
      </x:c>
    </x:row>
    <x:row r="69" ht="92" customHeight="1">
      <x:c r="A69" s="350" t="str">
        <x:v>RNF-018</x:v>
      </x:c>
      <x:c r="B69" s="351" t="str">
        <x:v>RNF</x:v>
      </x:c>
      <x:c r="C69" s="343" t="str">
        <x:v>Reproducibilidad</x:v>
      </x:c>
      <x:c r="D69" s="337" t="str">
        <x:v>7.1 recursos; 7.5 documentación; 8.1 control del proceso; 9.1 evaluación; 10 mejora.</x:v>
      </x:c>
      <x:c r="E69" s="337" t="str">
        <x:v>MP03 Analítica predictiva</x:v>
      </x:c>
      <x:c r="F69" s="337" t="str">
        <x:v>P10</x:v>
      </x:c>
      <x:c r="G69" s="337" t="str">
        <x:v>Versionar experimento ML</x:v>
      </x:c>
      <x:c r="H69" s="337" t="str">
        <x:v>El entrenamiento debe conservar versión de dataset, código, semillas, hiperparámetros y artefactos.</x:v>
      </x:c>
      <x:c r="I69" s="337" t="str">
        <x:v>Produce modelos predictivos reproducibles y versionados a partir del dataset científico autorizado.</x:v>
      </x:c>
      <x:c r="J69" s="337" t="str">
        <x:v>Dataset real preparado, semillas, hiperparámetros</x:v>
      </x:c>
      <x:c r="K69" s="337" t="str">
        <x:v>Reproducibilidad obligatoria; separar train/test; guardar versión de dataset/código/semilla/parámetros.</x:v>
      </x:c>
      <x:c r="L69" s="337" t="str">
        <x:v>Modelos y artefactos versionados</x:v>
      </x:c>
      <x:c r="M69" s="354" t="str">
        <x:v>Aplica / controla</x:v>
      </x:c>
      <x:c r="N69" s="354" t="str">
        <x:v>Aplica / usa</x:v>
      </x:c>
      <x:c r="O69" s="354" t="str">
        <x:v>Indirecto</x:v>
      </x:c>
      <x:c r="P69" s="337" t="str">
        <x:v>No es UI ordinaria; resultados se consultan vía métricas/reportes</x:v>
      </x:c>
      <x:c r="Q69" s="337" t="str">
        <x:v>machine-learning/train.py; servicio FastAPI para inferencia</x:v>
      </x:c>
      <x:c r="R69" s="337" t="str">
        <x:v>machine-learning/train.py; machine-learning/app; artifacts</x:v>
      </x:c>
      <x:c r="S69" s="337" t="str">
        <x:v>MlDataset; MlEntrenamiento; MlModelo; MlMetrica; MlFeatureDef</x:v>
      </x:c>
      <x:c r="T69" s="337" t="str">
        <x:v>Python 3.11+ + scikit-learn/XGBoost + Ensemble/Stacking + FastAPI/artefactos</x:v>
      </x:c>
      <x:c r="U69" s="337" t="str">
        <x:v>Dataset preparado → entrenamiento Python/Ensemble → artefactos/modelo → servicio FastAPI</x:v>
      </x:c>
      <x:c r="V69" s="337" t="str">
        <x:v>Transversal a IA/ML</x:v>
      </x:c>
      <x:c r="W69" s="337" t="str">
        <x:v>Solo dataset institucional real autorizado para resultados científicos.</x:v>
      </x:c>
      <x:c r="X69" s="337" t="str">
        <x:v>S — restricción transversal que condiciona el funcionamiento</x:v>
      </x:c>
      <x:c r="Y69" s="337" t="str">
        <x:v>S — operación debe mantenerse dentro de umbrales del entorno</x:v>
      </x:c>
      <x:c r="Z69" s="337" t="str">
        <x:v>S — compatibilidad interna de datos/tipos</x:v>
      </x:c>
      <x:c r="AA69" s="337" t="str">
        <x:v>S — evidencia técnica consumida por UI/operación</x:v>
      </x:c>
      <x:c r="AB69" s="337" t="str">
        <x:v>S — no debe degradar consistencia ni continuidad</x:v>
      </x:c>
      <x:c r="AC69" s="337" t="str">
        <x:v>S — control de acceso y mínimo privilegio</x:v>
      </x:c>
      <x:c r="AD69" s="337" t="str">
        <x:v>D — módulo/capa localizable, testeable y analizable por Sonar</x:v>
      </x:c>
      <x:c r="AE69" s="337" t="str">
        <x:v>S — depende de env, Docker y despliegue estandarizado</x:v>
      </x:c>
      <x:c r="AF69" s="337" t="str">
        <x:v>Unitarias Python + reproducibilidad + evaluación científica; evidencia objetiva del RNF en pruebas no funcionales/estáticas/regresión.</x:v>
      </x:c>
      <x:c r="AG69" s="337" t="str">
        <x:v>Unitarias Python + reproducibilidad + evaluación científica</x:v>
      </x:c>
      <x:c r="AH69" s="337" t="str">
        <x:v>El requisito de calidad se verifica mediante evidencia objetiva: configuración/código + ejecución de prueba + log/captura/resultado reproducible.</x:v>
      </x:c>
      <x:c r="AI69" s="337" t="str">
        <x:v>Configuración/código + QA + logs/capturas + Sonar/health/deployment según RNF.</x:v>
      </x:c>
      <x:c r="AJ69" s="337" t="str">
        <x:v>Protección del dataset/modelo, acceso a artefactos y control de cambios.</x:v>
      </x:c>
      <x:c r="AK69" s="337" t="str">
        <x:v>machine-learning/app; machine-learning/train.py; machine-learning/tests</x:v>
      </x:c>
      <x:c r="AL69" s="337" t="str">
        <x:v>No es UI ordinaria; resultados se consultan vía métricas/reportes | machine-learning/train.py; machine-learning/app; artifacts | MlDataset; MlEntrenamiento; MlModelo; MlMetrica; MlFeatureDef</x:v>
      </x:c>
      <x:c r="AM69" s="337" t="str">
        <x:v>Entrenamiento no reproducible; modelo sin metadatos; leakage; artefacto incompatible; métricas sin dataset real.</x:v>
      </x:c>
      <x:c r="AN69" s="337" t="str">
        <x:v>Revisar split/preprocesamiento → configuración/semillas → entrenamiento base/ensemble → serialización → registro Ml*.</x:v>
      </x:c>
      <x:c r="AO69" s="337" t="str">
        <x:v>Reejecución reproducible; artefactos; compatibilidad de features; pruebas unitarias Python; evaluación independiente.</x:v>
      </x:c>
      <x:c r="AP69" s="337" t="str">
        <x:v>Mantener artefactos versionados; promover solo modelo validado; revertir a artefacto anterior compatible.</x:v>
      </x:c>
      <x:c r="AQ69" s="337" t="str">
        <x:v>Variable independiente — Modelo predictivo</x:v>
      </x:c>
      <x:c r="AR69" s="337" t="str">
        <x:v>Modelado predictivo con Ensemble Learning</x:v>
      </x:c>
      <x:c r="AS69" s="337" t="str">
        <x:v>Modelos base, Ensemble, hiperparámetros y reproducibilidad</x:v>
      </x:c>
      <x:c r="AT69" s="337" t="str">
        <x:v>P10 / Anexo 07 (requisito RNF-018)</x:v>
      </x:c>
      <x:c r="AU69" s="337" t="str">
        <x:v>FastAPI independiente; artefacto validado; Docker/uvicorn si se despliega.</x:v>
      </x:c>
      <x:c r="AV69" s="337" t="str">
        <x:v>ISO 9001 → ISO/IEC 25010 → P10 → Versionar experimento ML → RNF-018 → arquitectura/configuración → prueba no funcional → evidencia</x:v>
      </x:c>
      <x:c r="AW69" s="338" t="str">
        <x:v>APUNTES · ANEXO07 · TESIS · GITHUB(dataset-definitivo-2026)</x:v>
      </x:c>
    </x:row>
    <x:row r="70" ht="92" customHeight="1">
      <x:c r="A70" s="350" t="str">
        <x:v>RNF-019</x:v>
      </x:c>
      <x:c r="B70" s="351" t="str">
        <x:v>RNF</x:v>
      </x:c>
      <x:c r="C70" s="343" t="str">
        <x:v>Calidad</x:v>
      </x:c>
      <x:c r="D70" s="337" t="str">
        <x:v>7.1 recursos; 8.1 control operacional; 8.6 liberación; 9.1 evaluación; 10.2 acción correctiva.</x:v>
      </x:c>
      <x:c r="E70" s="337" t="str">
        <x:v>MP05 Operación tecnológica</x:v>
      </x:c>
      <x:c r="F70" s="337" t="str">
        <x:v>P20</x:v>
      </x:c>
      <x:c r="G70" s="337" t="str">
        <x:v>Trazar prueba a requisito</x:v>
      </x:c>
      <x:c r="H70" s="337" t="str">
        <x:v>Las pruebas deben mantener trazabilidad requisito-historia-caso-evidencia.</x:v>
      </x:c>
      <x:c r="I70" s="337" t="str">
        <x:v>Hace reproducible, verificable, desplegable y mantenible la solución completa en entornos local y nube.</x:v>
      </x:c>
      <x:c r="J70" s="337" t="str">
        <x:v>Código versionado, variables, migraciones, artefactos</x:v>
      </x:c>
      <x:c r="K70" s="337" t="str">
        <x:v>No ejecutar seed/db push destructivo en producción; variables por entorno; health/smoke antes de cerrar release.</x:v>
      </x:c>
      <x:c r="L70" s="337" t="str">
        <x:v>Versión desplegada, observable y verificable</x:v>
      </x:c>
      <x:c r="M70" s="354" t="str">
        <x:v>Aplica / controla</x:v>
      </x:c>
      <x:c r="N70" s="354" t="str">
        <x:v>Aplica / usa</x:v>
      </x:c>
      <x:c r="O70" s="354" t="str">
        <x:v>Indirecto</x:v>
      </x:c>
      <x:c r="P70" s="337" t="str">
        <x:v>No corresponde a una pantalla única</x:v>
      </x:c>
      <x:c r="Q70" s="337" t="str">
        <x:v>/health; build/CI/deploy</x:v>
      </x:c>
      <x:c r="R70" s="337" t="str">
        <x:v>backend/src/index.ts; config/env.ts; docker-compose.yml; .github/workflows; docs/DEPLOY.md</x:v>
      </x:c>
      <x:c r="S70" s="337" t="str">
        <x:v>MySQL + Prisma migrations; volúmenes/backups según entorno</x:v>
      </x:c>
      <x:c r="T70" s="337" t="str">
        <x:v>Git/GitHub + GitHub Actions + SonarCloud/SonarQube + Vercel + Railway + Docker Compose + MySQL + FastAPI</x:v>
      </x:c>
      <x:c r="U70" s="337" t="str">
        <x:v>GitHub → CI/QA/Sonar → Vercel frontend + Railway backend/MySQL + FastAPI ML independiente</x:v>
      </x:c>
      <x:c r="V70" s="337" t="str">
        <x:v>Soporte de calidad del software</x:v>
      </x:c>
      <x:c r="W70" s="337" t="str">
        <x:v>Seed solo en entorno autorizado de QA; producción preserva datos.</x:v>
      </x:c>
      <x:c r="X70" s="337" t="str">
        <x:v>S — restricción transversal que condiciona el funcionamiento</x:v>
      </x:c>
      <x:c r="Y70" s="337" t="str">
        <x:v>S — operación debe mantenerse dentro de umbrales del entorno</x:v>
      </x:c>
      <x:c r="Z70" s="337" t="str">
        <x:v>D — contrato entre UI/API/BD/ML debe ser compatible</x:v>
      </x:c>
      <x:c r="AA70" s="337" t="str">
        <x:v>S — evidencia técnica consumida por UI/operación</x:v>
      </x:c>
      <x:c r="AB70" s="337" t="str">
        <x:v>D — manejo de error, persistencia y recuperación verificables</x:v>
      </x:c>
      <x:c r="AC70" s="337" t="str">
        <x:v>S — control de acceso y mínimo privilegio</x:v>
      </x:c>
      <x:c r="AD70" s="337" t="str">
        <x:v>D — requisito principal: modularidad, analizabilidad, pruebas y control de cambios</x:v>
      </x:c>
      <x:c r="AE70" s="337" t="str">
        <x:v>D — configuración/despliegue reproducible local/nube</x:v>
      </x:c>
      <x:c r="AF70" s="337" t="str">
        <x:v>Estática + integración + smoke + aceptación + regresión; evidencia objetiva del RNF en pruebas no funcionales/estáticas/regresión.</x:v>
      </x:c>
      <x:c r="AG70" s="337" t="str">
        <x:v>Estática + integración + smoke + aceptación + regresión</x:v>
      </x:c>
      <x:c r="AH70" s="337" t="str">
        <x:v>El requisito de calidad se verifica mediante evidencia objetiva: configuración/código + ejecución de prueba + log/captura/resultado reproducible.</x:v>
      </x:c>
      <x:c r="AI70" s="337" t="str">
        <x:v>Configuración/código + QA + logs/capturas + Sonar/health/deployment según RNF.</x:v>
      </x:c>
      <x:c r="AJ70" s="337" t="str">
        <x:v>Gestión de secretos/configuración, disponibilidad, backups, hardening y segregación de entornos.</x:v>
      </x:c>
      <x:c r="AK70" s="337" t="str">
        <x:v>sonar-project.properties + Quality Gate; GitHub Actions/QA pipeline.</x:v>
      </x:c>
      <x:c r="AL70" s="337" t="str">
        <x:v>No corresponde a una pantalla única | backend/src/index.ts; config/env.ts; docker-compose.yml; .github/workflows; docs/DEPLOY.md | MySQL + Prisma migrations; volúmenes/backups según entorno</x:v>
      </x:c>
      <x:c r="AM70" s="337" t="str">
        <x:v>Build falla; env faltante; CORS; health 5xx; migración P3009; deployment apunta a URL antigua.</x:v>
      </x:c>
      <x:c r="AN70" s="337" t="str">
        <x:v>Revisar CI/build → env → migrate deploy → health/logs → CORS → URLs → rollback si corresponde.</x:v>
      </x:c>
      <x:c r="AO70" s="337" t="str">
        <x:v>type-check, lint, tests, build, smoke, health, DB connectivity, auth, RBAC, predicción si disponible.</x:v>
      </x:c>
      <x:c r="AP70" s="337" t="str">
        <x:v>Rollback de deployment; restauración de backup antes de migración; no borrar datos para 'arreglar' P3009.</x:v>
      </x:c>
      <x:c r="AQ70" s="337" t="str">
        <x:v>Variable intermedia — Sistema web inteligente</x:v>
      </x:c>
      <x:c r="AR70" s="337" t="str">
        <x:v>Gestión, trazabilidad y calidad operativa</x:v>
      </x:c>
      <x:c r="AS70" s="337" t="str">
        <x:v>Confiabilidad, mantenibilidad, disponibilidad y portabilidad</x:v>
      </x:c>
      <x:c r="AT70" s="337" t="str">
        <x:v>P20 / Anexo 07 (requisito RNF-019)</x:v>
      </x:c>
      <x:c r="AU70" s="337" t="str">
        <x:v>Vercel + Railway + Docker local + SonarCloud + GitHub Actions.</x:v>
      </x:c>
      <x:c r="AV70" s="337" t="str">
        <x:v>ISO 9001 → ISO/IEC 25010 → P20 → Trazar prueba a requisito → RNF-019 → arquitectura/configuración → prueba no funcional → evidencia</x:v>
      </x:c>
      <x:c r="AW70" s="338" t="str">
        <x:v>APUNTES · ANEXO07 · TESIS · GITHUB(dataset-definitivo-2026) · VERCEL(ref. evidencia)</x:v>
      </x:c>
    </x:row>
    <x:row r="71" ht="92" customHeight="1">
      <x:c r="A71" s="370" t="str">
        <x:v>RNF-020</x:v>
      </x:c>
      <x:c r="B71" s="371" t="str">
        <x:v>RNF</x:v>
      </x:c>
      <x:c r="C71" s="363" t="str">
        <x:v>Escalabilidad</x:v>
      </x:c>
      <x:c r="D71" s="357" t="str">
        <x:v>6.1 riesgos; 8.1 control operacional; 9.1 análisis/evaluación; 7.5 trazabilidad de resultados.</x:v>
      </x:c>
      <x:c r="E71" s="357" t="str">
        <x:v>MP05 Operación tecnológica</x:v>
      </x:c>
      <x:c r="F71" s="357" t="str">
        <x:v>P19/P12</x:v>
      </x:c>
      <x:c r="G71" s="357" t="str">
        <x:v>Desplegar ML independiente</x:v>
      </x:c>
      <x:c r="H71" s="357" t="str">
        <x:v>El servicio ML debe poder desplegarse de forma independiente del backend.</x:v>
      </x:c>
      <x:c r="I71" s="357" t="str">
        <x:v>Convierte los datos y el modelo ML en una inferencia utilizable y trazable dentro del sistema web.</x:v>
      </x:c>
      <x:c r="J71" s="357" t="str">
        <x:v>Estudiante autorizado + características construibles + modelo compatible</x:v>
      </x:c>
      <x:c r="K71" s="357" t="str">
        <x:v>No inventar inferencia; si ML no está disponible mostrar estado controlado; conservar fecha/modelo/features/factores.</x:v>
      </x:c>
      <x:c r="L71" s="357" t="str">
        <x:v>Probabilidad, nivel, factores/recomendación y registro trazable</x:v>
      </x:c>
      <x:c r="M71" s="374" t="str">
        <x:v>Aplica / controla</x:v>
      </x:c>
      <x:c r="N71" s="374" t="str">
        <x:v>Aplica / usa</x:v>
      </x:c>
      <x:c r="O71" s="374" t="str">
        <x:v>Indirecto</x:v>
      </x:c>
      <x:c r="P71" s="357" t="str">
        <x:v>PredictionView; ProfessorPredictionView; StudentPredictionView; PredictionHistoryView</x:v>
      </x:c>
      <x:c r="Q71" s="357" t="str">
        <x:v>POST /predict; GET /predictions; /profesor/predicciones; /profesor/historial-predicciones; /estudiante/prediccion; /ml/metrics</x:v>
      </x:c>
      <x:c r="R71" s="357" t="str">
        <x:v>predict.controller.ts; predictions.controller.ts; profesor.controller.ts; estudiante.controller.ts; services/ml-client.ts</x:v>
      </x:c>
      <x:c r="S71" s="357" t="str">
        <x:v>Prediction; MlFeatureDef; MlModelo; MlMetrica; Student; Grade; Attendance; LmsEvent</x:v>
      </x:c>
      <x:c r="T71" s="357" t="str">
        <x:v>Next.js/React + Express + Prisma/MySQL + ML client + Python/FastAPI + modelo Ensemble</x:v>
      </x:c>
      <x:c r="U71" s="357" t="str">
        <x:v>Next.js Predicción → Express → feature builder → ML_SERVICE_URL → FastAPI/modelo → Express → Prisma/MySQL</x:v>
      </x:c>
      <x:c r="V71" s="357" t="str">
        <x:v>Transversal a IA/ML</x:v>
      </x:c>
      <x:c r="W71" s="357" t="str">
        <x:v>Seed solo verifica flujo. Entrenamiento/métricas científicas requieren dataset institucional real autorizado.</x:v>
      </x:c>
      <x:c r="X71" s="357" t="str">
        <x:v>S — restricción transversal que condiciona el funcionamiento</x:v>
      </x:c>
      <x:c r="Y71" s="357" t="str">
        <x:v>D — capacidad de escalar el servicio ML sin acoplar backend</x:v>
      </x:c>
      <x:c r="Z71" s="357" t="str">
        <x:v>D — contrato entre UI/API/BD/ML debe ser compatible</x:v>
      </x:c>
      <x:c r="AA71" s="357" t="str">
        <x:v>D — navegación/formulario/mensaje comprensible por rol</x:v>
      </x:c>
      <x:c r="AB71" s="357" t="str">
        <x:v>S — no debe degradar consistencia ni continuidad</x:v>
      </x:c>
      <x:c r="AC71" s="357" t="str">
        <x:v>D — RBAC/privacidad/integridad/secretos aplican directamente</x:v>
      </x:c>
      <x:c r="AD71" s="357" t="str">
        <x:v>D — módulo/capa localizable, testeable y analizable por Sonar</x:v>
      </x:c>
      <x:c r="AE71" s="357" t="str">
        <x:v>D — servicio ML desacoplado y desplegable de forma independiente</x:v>
      </x:c>
      <x:c r="AF71" s="357" t="str">
        <x:v>Integración API–ML + caja negra + seguridad + regresión; evidencia objetiva del RNF en pruebas no funcionales/estáticas/regresión.</x:v>
      </x:c>
      <x:c r="AG71" s="357" t="str">
        <x:v>Integración API–ML + caja negra + seguridad + regresión</x:v>
      </x:c>
      <x:c r="AH71" s="357" t="str">
        <x:v>El requisito de calidad se verifica mediante evidencia objetiva: configuración/código + ejecución de prueba + log/captura/resultado reproducible.</x:v>
      </x:c>
      <x:c r="AI71" s="357" t="str">
        <x:v>Configuración/código + QA + logs/capturas + Sonar/health/deployment según RNF.</x:v>
      </x:c>
      <x:c r="AJ71" s="357" t="str">
        <x:v>Confidencialidad del estudiante + integridad de inferencia + disponibilidad controlada del servicio ML + RBAC.</x:v>
      </x:c>
      <x:c r="AK71" s="357" t="str">
        <x:v>Prediction views + predict/predictions + ml-client + machine-learning/app/train.py</x:v>
      </x:c>
      <x:c r="AL71" s="357" t="str">
        <x:v>PredictionView; ProfessorPredictionView; StudentPredictionView; PredictionHistoryView | predict.controller.ts; predictions.controller.ts; profesor.controller.ts; estudiante.controller.ts; services/ml-client.ts | Prediction; MlFeatureDef; MlModelo; MlMetrica; Student; Grade; Attendance; LmsEvent</x:v>
      </x:c>
      <x:c r="AM71" s="357" t="str">
        <x:v>ML_SERVICE_URL caído; feature mismatch; modelo incompatible; timeout; predicción no persiste; historial ajeno.</x:v>
      </x:c>
      <x:c r="AN71" s="357" t="str">
        <x:v>Revisar vistas → predict/predictions/profesor/estudiante → ml-client → FastAPI/model artifact → Prediction/Ml*.</x:v>
      </x:c>
      <x:c r="AO71" s="357" t="str">
        <x:v>Contrato API-ML; modelo no disponible; persistencia; historial; scope; estudiante propio; métricas autorizadas.</x:v>
      </x:c>
      <x:c r="AP71" s="357" t="str">
        <x:v>Deshabilitar inferencia y mostrar 'Sin predicción' ante incompatibilidad; volver a artefacto/modelo compatible.</x:v>
      </x:c>
      <x:c r="AQ71" s="357" t="str">
        <x:v>Variable intermedia + variable dependiente</x:v>
      </x:c>
      <x:c r="AR71" s="357" t="str">
        <x:v>Integración/explicabilidad predictiva + permanencia e identificación temprana</x:v>
      </x:c>
      <x:c r="AS71" s="357" t="str">
        <x:v>Probabilidad estimada, nivel de riesgo, factores, fecha/modelo y detección temprana</x:v>
      </x:c>
      <x:c r="AT71" s="357" t="str">
        <x:v>P19/P12 / Anexo 07 (requisito RNF-020)</x:v>
      </x:c>
      <x:c r="AU71" s="357" t="str">
        <x:v>Vercel → Railway backend → FastAPI ML independiente; ML_SERVICE_URL.</x:v>
      </x:c>
      <x:c r="AV71" s="357" t="str">
        <x:v>ISO 9001 → ISO/IEC 25010 → P19/P12 → Desplegar ML independiente → RNF-020 → arquitectura/configuración → prueba no funcional → evidencia</x:v>
      </x:c>
      <x:c r="AW71" s="358" t="str">
        <x:v>APUNTES · ANEXO07 · TESIS · GITHUB(dataset-definitivo-2026) · VERCEL(ref. evidencia)</x:v>
      </x:c>
    </x:row>
  </x:sheetData>
  <x:mergeCells>
    <x:mergeCell ref="A1:AW1"/>
    <x:mergeCell ref="A2:AW2"/>
    <x:mergeCell ref="A3:AW3"/>
    <x:mergeCell ref="A4:C4"/>
    <x:mergeCell ref="E4:H4"/>
    <x:mergeCell ref="I4:L4"/>
    <x:mergeCell ref="M4:O4"/>
    <x:mergeCell ref="P4:W4"/>
    <x:mergeCell ref="X4:AE4"/>
    <x:mergeCell ref="AF4:AI4"/>
    <x:mergeCell ref="AJ4:AK4"/>
    <x:mergeCell ref="AL4:AP4"/>
    <x:mergeCell ref="AQ4:AS4"/>
    <x:mergeCell ref="AT4:AW4"/>
  </x:mergeCells>
  <x:pageMargins left="0.7" right="0.7" top="0.75" bottom="0.75" header="0.3" footer="0.3"/>
  <x:tableParts count="1">
    <x:tablePart xmlns:r="http://schemas.openxmlformats.org/officeDocument/2006/relationships" r:id="Rdc590b9a0e29493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0" hidden="0" customWidth="1"/>
    <x:col min="3" max="3" width="52" hidden="0" customWidth="1"/>
    <x:col min="4" max="4" width="50" hidden="0" customWidth="1"/>
    <x:col min="5" max="5" width="54" hidden="0" customWidth="1"/>
    <x:col min="6" max="6" width="36" hidden="0" customWidth="1"/>
  </x:cols>
  <x:sheetData>
    <x:row r="1" ht="34" customHeight="1">
      <x:c r="A1" s="377" t="str">
        <x:v>Cómo leer la matriz — estándares, calidad, mantenimiento y trazabilidad</x:v>
      </x:c>
      <x:c r="B1" s="377"/>
      <x:c r="C1" s="377"/>
      <x:c r="D1" s="377"/>
      <x:c r="E1" s="377"/>
      <x:c r="F1" s="377"/>
    </x:row>
    <x:row r="3">
      <x:c r="A3" s="383" t="str">
        <x:v>Eje</x:v>
      </x:c>
      <x:c r="B3" s="383" t="str">
        <x:v>Qué significa en BLENKIR</x:v>
      </x:c>
      <x:c r="C3" s="383" t="str">
        <x:v>Cómo aparece en la matriz</x:v>
      </x:c>
      <x:c r="D3" s="383" t="str">
        <x:v>Evidencia técnica</x:v>
      </x:c>
      <x:c r="E3" s="383" t="str">
        <x:v>Regla de uso</x:v>
      </x:c>
      <x:c r="F3" s="383" t="str">
        <x:v>Referencia</x:v>
      </x:c>
    </x:row>
    <x:row r="4" ht="72" customHeight="1">
      <x:c r="A4" s="406" t="str">
        <x:v>ISO 9001</x:v>
      </x:c>
      <x:c r="B4" s="407" t="str">
        <x:v>Marco de gestión por procesos: contexto, roles, planificación, operación, evaluación y mejora.</x:v>
      </x:c>
      <x:c r="C4" s="407" t="str">
        <x:v>Columna D inicia el descenso desde calidad hacia macroproceso/proceso/actividad/función.</x:v>
      </x:c>
      <x:c r="D4" s="407" t="str">
        <x:v>Anexo 07, BPMN/Bizagi, registros, indicadores, acciones correctivas.</x:v>
      </x:c>
      <x:c r="E4" s="407" t="str">
        <x:v>La tesis/Anexo 07 está documentada con ISO 9001:2015; cualquier migración de referencia debe hacerse de forma explícita y consistente.</x:v>
      </x:c>
      <x:c r="F4" s="408" t="str">
        <x:v>Anexo 07 + APUNTES</x:v>
      </x:c>
    </x:row>
    <x:row r="5" ht="72" customHeight="1">
      <x:c r="A5" s="409" t="str">
        <x:v>ISO/IEC 25000 / ISO/IEC 25010</x:v>
      </x:c>
      <x:c r="B5" s="410" t="str">
        <x:v>Modelo de calidad del producto software usado para evaluar el software desde varias características.</x:v>
      </x:c>
      <x:c r="C5" s="410" t="str">
        <x:v>Ocho columnas X–AE: adecuación funcional, eficiencia, compatibilidad, usabilidad, fiabilidad, seguridad, mantenibilidad y portabilidad.</x:v>
      </x:c>
      <x:c r="D5" s="410" t="str">
        <x:v>UI/API/BD, pruebas, Sonar, desempeño, seguridad y despliegue.</x:v>
      </x:c>
      <x:c r="E5" s="410" t="str">
        <x:v>Se usa el modelo clásico alineado con APUNTES y documentación del proyecto; no reducir calidad solo a 'funciona/no funciona'.</x:v>
      </x:c>
      <x:c r="F5" s="411" t="str">
        <x:v>docs/iso-25010 + APUNTES</x:v>
      </x:c>
    </x:row>
    <x:row r="6" ht="72" customHeight="1">
      <x:c r="A6" s="409" t="str">
        <x:v>ISO/IEC/IEEE 29119</x:v>
      </x:c>
      <x:c r="B6" s="410" t="str">
        <x:v>Disciplina de pruebas de software: planificación, diseño, ejecución y evidencia.</x:v>
      </x:c>
      <x:c r="C6" s="410" t="str">
        <x:v>Columnas AF–AI: prueba, tipo, criterio de aceptación y evidencia requerida.</x:v>
      </x:c>
      <x:c r="D6" s="410" t="str">
        <x:v>86 casos QA históricos, unitarias, caja blanca/negra, integración, seguridad, rendimiento, UAT y regresión.</x:v>
      </x:c>
      <x:c r="E6" s="410" t="str">
        <x:v>Cada RF/RNF debe poder rastrearse a caso y evidencia; la métrica científica del ML se valida por separado.</x:v>
      </x:c>
      <x:c r="F6" s="411" t="str">
        <x:v>plan-pruebas + Anexo 07</x:v>
      </x:c>
    </x:row>
    <x:row r="7" ht="72" customHeight="1">
      <x:c r="A7" s="409" t="str">
        <x:v>ISO/IEC 27000 / 27001</x:v>
      </x:c>
      <x:c r="B7" s="410" t="str">
        <x:v>Familia de seguridad de la información; 27001 se usa como referencia para controles de confidencialidad, integridad y disponibilidad.</x:v>
      </x:c>
      <x:c r="C7" s="410" t="str">
        <x:v>Columna AJ y controles de seguridad en arquitectura, roles, sesiones, privacidad y datos.</x:v>
      </x:c>
      <x:c r="D7" s="410" t="str">
        <x:v>JWT, bcrypt, RBAC, Session, AuditLog, Helmet, CORS, rate limiting, env, anonimización.</x:v>
      </x:c>
      <x:c r="E7" s="410" t="str">
        <x:v>No confundir 'seguridad' de ISO 25010 con toda la gestión de seguridad de la información; se complementan.</x:v>
      </x:c>
      <x:c r="F7" s="411" t="str">
        <x:v>Código backend + Anexo 07</x:v>
      </x:c>
    </x:row>
    <x:row r="8" ht="72" customHeight="1">
      <x:c r="A8" s="409" t="str">
        <x:v>Mantenibilidad práctica</x:v>
      </x:c>
      <x:c r="B8" s="410" t="str">
        <x:v>Indica exactamente dónde ir cuando una parte falla o debe mejorarse.</x:v>
      </x:c>
      <x:c r="C8" s="410" t="str">
        <x:v>Columnas AL–AP: dónde revisar, fallo típico, ruta de corrección, regresión y recuperación/rollback.</x:v>
      </x:c>
      <x:c r="D8" s="410" t="str">
        <x:v>Archivos frontend, controllers/services, schema Prisma, pipeline ML, QA, Git y despliegue.</x:v>
      </x:c>
      <x:c r="E8" s="410" t="str">
        <x:v>Ejemplo Login: login/page.tsx → AuthProvider → auth.controller → middleware/env → Session/User → pruebas 401/403/429 → redeploy/rollback.</x:v>
      </x:c>
      <x:c r="F8" s="411" t="str">
        <x:v>GitHub dataset-definitivo-2026</x:v>
      </x:c>
    </x:row>
    <x:row r="9" ht="72" customHeight="1">
      <x:c r="A9" s="409" t="str">
        <x:v>Puente de trazabilidad</x:v>
      </x:c>
      <x:c r="B9" s="410" t="str">
        <x:v>Amarra todo el proyecto, tal como piden los apuntes.</x:v>
      </x:c>
      <x:c r="C9" s="410" t="str">
        <x:v>ISO 9001 → macroproceso → proceso → actividad → función/RF-RNF → UI/API/BD → calidad → prueba → seguridad → mantenimiento → indicador → evidencia.</x:v>
      </x:c>
      <x:c r="D9" s="410" t="str">
        <x:v>Código, Anexo 07, dashboard, matriz de operacionalización, Sonar y despliegue.</x:v>
      </x:c>
      <x:c r="E9" s="410" t="str">
        <x:v>Una fila debe permitir explicar qué existe, cómo funciona, dónde vive, cómo se prueba y cómo se mantiene.</x:v>
      </x:c>
      <x:c r="F9" s="411" t="str">
        <x:v>Matriz principal</x:v>
      </x:c>
    </x:row>
    <x:row r="10" ht="72" customHeight="1">
      <x:c r="A10" s="409" t="str">
        <x:v>Dato funcional vs evidencia científica</x:v>
      </x:c>
      <x:c r="B10" s="410" t="str">
        <x:v>Separa software demostrado con seed de resultados científicos del modelo.</x:v>
      </x:c>
      <x:c r="C10" s="410" t="str">
        <x:v>Columnas V/W, AQ–AS y reglas ML.</x:v>
      </x:c>
      <x:c r="D10" s="410" t="str">
        <x:v>Seed demo/V5 para QA; dataset institucional real autorizado para entrenamiento/evaluación científica.</x:v>
      </x:c>
      <x:c r="E10" s="410" t="str">
        <x:v>No convertir datos simulados en Accuracy/Recall/F1/AUC ni en conclusiones de tesis.</x:v>
      </x:c>
      <x:c r="F10" s="411" t="str">
        <x:v>Tesis + Anexo 07</x:v>
      </x:c>
    </x:row>
    <x:row r="11" ht="72" customHeight="1">
      <x:c r="A11" s="409" t="str">
        <x:v>Símbolo D</x:v>
      </x:c>
      <x:c r="B11" s="410" t="str">
        <x:v>Relación directa con la característica de calidad.</x:v>
      </x:c>
      <x:c r="C11" s="410" t="str">
        <x:v>En celdas ISO/IEC 25010.</x:v>
      </x:c>
      <x:c r="D11" s="410" t="str">
        <x:v>Prueba/evidencia asociada.</x:v>
      </x:c>
      <x:c r="E11" s="410" t="str">
        <x:v>D no significa 'completo'; significa impacto directo.</x:v>
      </x:c>
      <x:c r="F11" s="411" t="str">
        <x:v>Matriz principal</x:v>
      </x:c>
    </x:row>
    <x:row r="12" ht="72" customHeight="1">
      <x:c r="A12" s="412" t="str">
        <x:v>Símbolo S</x:v>
      </x:c>
      <x:c r="B12" s="413" t="str">
        <x:v>Relación de soporte o restricción transversal.</x:v>
      </x:c>
      <x:c r="C12" s="413" t="str">
        <x:v>En celdas ISO/IEC 25010.</x:v>
      </x:c>
      <x:c r="D12" s="413" t="str">
        <x:v>Evidencia de no degradación/compatibilidad.</x:v>
      </x:c>
      <x:c r="E12" s="413" t="str">
        <x:v>S no significa 'secundario sin importancia'.</x:v>
      </x:c>
      <x:c r="F12" s="414" t="str">
        <x:v>Matriz principal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62" hidden="0" customWidth="1"/>
    <x:col min="4" max="4" width="80" hidden="0" customWidth="1"/>
    <x:col min="5" max="5" width="28" hidden="0" customWidth="1"/>
  </x:cols>
  <x:sheetData>
    <x:row r="1">
      <x:c r="A1" s="376" t="str">
        <x:v>Fuentes auditadas y relación con la matriz</x:v>
      </x:c>
      <x:c r="B1" s="376"/>
      <x:c r="C1" s="376"/>
      <x:c r="D1" s="376"/>
      <x:c r="E1" s="376"/>
    </x:row>
    <x:row r="3">
      <x:c r="A3" s="383" t="str">
        <x:v>Código</x:v>
      </x:c>
      <x:c r="B3" s="383" t="str">
        <x:v>Fuente</x:v>
      </x:c>
      <x:c r="C3" s="383" t="str">
        <x:v>Aporte a la matriz</x:v>
      </x:c>
      <x:c r="D3" s="383" t="str">
        <x:v>URL</x:v>
      </x:c>
      <x:c r="E3" s="383" t="str">
        <x:v>Uso</x:v>
      </x:c>
    </x:row>
    <x:row r="4" ht="62" customHeight="1">
      <x:c r="A4" s="406" t="str">
        <x:v>F01</x:v>
      </x:c>
      <x:c r="B4" s="407" t="str">
        <x:v>APUNTES</x:v>
      </x:c>
      <x:c r="C4" s="407" t="str">
        <x:v>Requerimiento docente: matriz de doble entrada del software, ISO 9001→25000→29119→27001, Bizagi, roles, arquitectura, dashboard, Sonar y mantenimiento.</x:v>
      </x:c>
      <x:c r="D4" s="407" t="str">
        <x:v>https://docs.google.com/document/d/1wWmM6bM-l2VRWINYW0qxjZcwrd3wOsduQfiTLWVLiNU/edit</x:v>
      </x:c>
      <x:c r="E4" s="408" t="str">
        <x:v>Fuente principal del usuario</x:v>
      </x:c>
    </x:row>
    <x:row r="5" ht="62" customHeight="1">
      <x:c r="A5" s="409" t="str">
        <x:v>F02</x:v>
      </x:c>
      <x:c r="B5" s="410" t="str">
        <x:v>Anexo 07 revisado</x:v>
      </x:c>
      <x:c r="C5" s="410" t="str">
        <x:v>20 procesos BPMN, 46 RF, 20 RNF, arquitectura, 52 modelos Prisma, 97 rutas, pruebas, despliegue y mantenimiento.</x:v>
      </x:c>
      <x:c r="D5" s="410" t="str">
        <x:v>https://docs.google.com/document/d/1jLSlxbIyCFOkYmqphqKgS6Btjy9lEd63/edit</x:v>
      </x:c>
      <x:c r="E5" s="411" t="str">
        <x:v>Fuente metodológica/técnica</x:v>
      </x:c>
    </x:row>
    <x:row r="6" ht="62" customHeight="1">
      <x:c r="A6" s="409" t="str">
        <x:v>F03</x:v>
      </x:c>
      <x:c r="B6" s="410" t="str">
        <x:v>Tesis Final</x:v>
      </x:c>
      <x:c r="C6" s="410" t="str">
        <x:v>Problema, objetivos, hipótesis, tres variables y separación de evidencia científica real frente a demo.</x:v>
      </x:c>
      <x:c r="D6" s="410" t="str">
        <x:v>https://docs.google.com/document/d/1y7oEQkqJZWUVU2y4zg569EwavZxU4iUs/edit</x:v>
      </x:c>
      <x:c r="E6" s="411" t="str">
        <x:v>Fuente de investigación</x:v>
      </x:c>
    </x:row>
    <x:row r="7" ht="62" customHeight="1">
      <x:c r="A7" s="409" t="str">
        <x:v>F04</x:v>
      </x:c>
      <x:c r="B7" s="410" t="str">
        <x:v>Matriz de operacionalización/fusionada</x:v>
      </x:c>
      <x:c r="C7" s="410" t="str">
        <x:v>Dimensiones e indicadores que deben aparecer en dataset/dashboard/evidencia.</x:v>
      </x:c>
      <x:c r="D7" s="410" t="str">
        <x:v>https://docs.google.com/document/d/1vQ2GIJRha6tOU4xjIHgYmfHLRc5GoPZY/edit</x:v>
      </x:c>
      <x:c r="E7" s="411" t="str">
        <x:v>Fuente de variables/indicadores</x:v>
      </x:c>
    </x:row>
    <x:row r="8" ht="62" customHeight="1">
      <x:c r="A8" s="409" t="str">
        <x:v>F05</x:v>
      </x:c>
      <x:c r="B8" s="410" t="str">
        <x:v>Repositorio GitHub</x:v>
      </x:c>
      <x:c r="C8" s="410" t="str">
        <x:v>Código real de frontend, backend, BD, ML, pruebas, Sonar y documentación.</x:v>
      </x:c>
      <x:c r="D8" s="410" t="str">
        <x:v>https://github.com/4dr1-2529/taller1</x:v>
      </x:c>
      <x:c r="E8" s="411" t="str">
        <x:v>Fuente técnica primaria</x:v>
      </x:c>
    </x:row>
    <x:row r="9" ht="62" customHeight="1">
      <x:c r="A9" s="409" t="str">
        <x:v>F06</x:v>
      </x:c>
      <x:c r="B9" s="410" t="str">
        <x:v>Frontend role shell</x:v>
      </x:c>
      <x:c r="C9" s="410" t="str">
        <x:v>Módulos reales y navegación Director/Profesor/Estudiante.</x:v>
      </x:c>
      <x:c r="D9" s="410" t="str">
        <x:v>https://github.com/4dr1-2529/taller1/blob/dataset-definitivo-2026/frontend/src/app/(shell)/page.tsx</x:v>
      </x:c>
      <x:c r="E9" s="411" t="str">
        <x:v>Código frontend</x:v>
      </x:c>
    </x:row>
    <x:row r="10" ht="62" customHeight="1">
      <x:c r="A10" s="409" t="str">
        <x:v>F07</x:v>
      </x:c>
      <x:c r="B10" s="410" t="str">
        <x:v>Login UI</x:v>
      </x:c>
      <x:c r="C10" s="410" t="str">
        <x:v>Formulario, validaciones y UX del acceso.</x:v>
      </x:c>
      <x:c r="D10" s="410" t="str">
        <x:v>https://github.com/4dr1-2529/taller1/blob/dataset-definitivo-2026/frontend/src/app/(auth)/login/page.tsx</x:v>
      </x:c>
      <x:c r="E10" s="411" t="str">
        <x:v>Código frontend</x:v>
      </x:c>
    </x:row>
    <x:row r="11" ht="62" customHeight="1">
      <x:c r="A11" s="409" t="str">
        <x:v>F08</x:v>
      </x:c>
      <x:c r="B11" s="410" t="str">
        <x:v>AuthProvider</x:v>
      </x:c>
      <x:c r="C11" s="410" t="str">
        <x:v>Restauración de sesión, login/logout/refresh y almacenamiento de sesión cliente.</x:v>
      </x:c>
      <x:c r="D11" s="410" t="str">
        <x:v>https://github.com/4dr1-2529/taller1/blob/dataset-definitivo-2026/frontend/src/contexts/AuthProvider.tsx</x:v>
      </x:c>
      <x:c r="E11" s="411" t="str">
        <x:v>Código frontend</x:v>
      </x:c>
    </x:row>
    <x:row r="12" ht="62" customHeight="1">
      <x:c r="A12" s="409" t="str">
        <x:v>F09</x:v>
      </x:c>
      <x:c r="B12" s="410" t="str">
        <x:v>Backend routes</x:v>
      </x:c>
      <x:c r="C12" s="410" t="str">
        <x:v>Endpoints, autorización por rol y alcance funcional.</x:v>
      </x:c>
      <x:c r="D12" s="410" t="str">
        <x:v>https://github.com/4dr1-2529/taller1/blob/dataset-definitivo-2026/backend/src/routes/index.ts</x:v>
      </x:c>
      <x:c r="E12" s="411" t="str">
        <x:v>Código backend</x:v>
      </x:c>
    </x:row>
    <x:row r="13" ht="62" customHeight="1">
      <x:c r="A13" s="409" t="str">
        <x:v>F10</x:v>
      </x:c>
      <x:c r="B13" s="410" t="str">
        <x:v>Auth controller</x:v>
      </x:c>
      <x:c r="C13" s="410" t="str">
        <x:v>bcrypt/JWT/refresh/sesiones/bloqueo de intentos/auditoría/cambio de contraseña.</x:v>
      </x:c>
      <x:c r="D13" s="410" t="str">
        <x:v>https://github.com/4dr1-2529/taller1/blob/dataset-definitivo-2026/backend/src/controllers/auth.controller.ts</x:v>
      </x:c>
      <x:c r="E13" s="411" t="str">
        <x:v>Código backend</x:v>
      </x:c>
    </x:row>
    <x:row r="14" ht="62" customHeight="1">
      <x:c r="A14" s="409" t="str">
        <x:v>F11</x:v>
      </x:c>
      <x:c r="B14" s="410" t="str">
        <x:v>Backend index</x:v>
      </x:c>
      <x:c r="C14" s="410" t="str">
        <x:v>Helmet, CORS, rate limiting, sanitización, health y error handler.</x:v>
      </x:c>
      <x:c r="D14" s="410" t="str">
        <x:v>https://github.com/4dr1-2529/taller1/blob/dataset-definitivo-2026/backend/src/index.ts</x:v>
      </x:c>
      <x:c r="E14" s="411" t="str">
        <x:v>Código backend</x:v>
      </x:c>
    </x:row>
    <x:row r="15" ht="62" customHeight="1">
      <x:c r="A15" s="409" t="str">
        <x:v>F12</x:v>
      </x:c>
      <x:c r="B15" s="410" t="str">
        <x:v>Prisma schema</x:v>
      </x:c>
      <x:c r="C15" s="410" t="str">
        <x:v>MySQL, modelos y relaciones de persistencia, incluidos roles, sesión, estudiantes, predicción y auditoría.</x:v>
      </x:c>
      <x:c r="D15" s="410" t="str">
        <x:v>https://github.com/4dr1-2529/taller1/blob/dataset-definitivo-2026/backend/prisma/schema.prisma</x:v>
      </x:c>
      <x:c r="E15" s="411" t="str">
        <x:v>Código BD</x:v>
      </x:c>
    </x:row>
    <x:row r="16" ht="62" customHeight="1">
      <x:c r="A16" s="409" t="str">
        <x:v>F13</x:v>
      </x:c>
      <x:c r="B16" s="410" t="str">
        <x:v>Sonar config</x:v>
      </x:c>
      <x:c r="C16" s="410" t="str">
        <x:v>Fuentes analizadas, tests y exclusiones del análisis estático.</x:v>
      </x:c>
      <x:c r="D16" s="410" t="str">
        <x:v>https://github.com/4dr1-2529/taller1/blob/dataset-definitivo-2026/sonar-project.properties</x:v>
      </x:c>
      <x:c r="E16" s="411" t="str">
        <x:v>Calidad de código</x:v>
      </x:c>
    </x:row>
    <x:row r="17" ht="62" customHeight="1">
      <x:c r="A17" s="409" t="str">
        <x:v>F14</x:v>
      </x:c>
      <x:c r="B17" s="410" t="str">
        <x:v>Frontend Vercel</x:v>
      </x:c>
      <x:c r="C17" s="410" t="str">
        <x:v>Frontend productivo verificado HTTP 200 en el corte V5; sirve como origen de evidencia UI. Los flujos visuales completos por rol deben conservar captura/console/network cuando se ejecuten.</x:v>
      </x:c>
      <x:c r="D17" s="410" t="str">
        <x:v>https://taller1-frontend.vercel.app</x:v>
      </x:c>
      <x:c r="E17" s="411" t="str">
        <x:v>Despliegue / evidencia vigente</x:v>
      </x:c>
    </x:row>
    <x:row r="18" ht="62" customHeight="1">
      <x:c r="A18" s="409" t="str">
        <x:v>F15</x:v>
      </x:c>
      <x:c r="B18" s="410" t="str">
        <x:v>SonarCloud</x:v>
      </x:c>
      <x:c r="C18" s="410" t="str">
        <x:v>Dashboard de análisis estático referenciado en APUNTES/Anexo 07.</x:v>
      </x:c>
      <x:c r="D18" s="410" t="str">
        <x:v>https://sonarcloud.io/project/overview?id=4dr1-2529_taller1</x:v>
      </x:c>
      <x:c r="E18" s="411" t="str">
        <x:v>Calidad / evidencia</x:v>
      </x:c>
    </x:row>
    <x:row r="19" ht="62" customHeight="1">
      <x:c r="A19" s="409" t="str">
        <x:v>F16</x:v>
      </x:c>
      <x:c r="B19" s="410" t="str">
        <x:v>ISO 9001</x:v>
      </x:c>
      <x:c r="C19" s="410" t="str">
        <x:v>Gestión de calidad y enfoque por procesos.</x:v>
      </x:c>
      <x:c r="D19" s="410" t="str">
        <x:v>https://www.iso.org/standard/62085.html</x:v>
      </x:c>
      <x:c r="E19" s="411" t="str">
        <x:v>Referencia estándar</x:v>
      </x:c>
    </x:row>
    <x:row r="20" ht="62" customHeight="1">
      <x:c r="A20" s="409" t="str">
        <x:v>F17</x:v>
      </x:c>
      <x:c r="B20" s="410" t="str">
        <x:v>ISO/IEC 25010</x:v>
      </x:c>
      <x:c r="C20" s="410" t="str">
        <x:v>Modelo de calidad de producto software.</x:v>
      </x:c>
      <x:c r="D20" s="410" t="str">
        <x:v>https://www.iso.org/standard/78176.html</x:v>
      </x:c>
      <x:c r="E20" s="411" t="str">
        <x:v>Referencia estándar</x:v>
      </x:c>
    </x:row>
    <x:row r="21" ht="62" customHeight="1">
      <x:c r="A21" s="409" t="str">
        <x:v>F18</x:v>
      </x:c>
      <x:c r="B21" s="410" t="str">
        <x:v>ISO/IEC/IEEE 29119</x:v>
      </x:c>
      <x:c r="C21" s="410" t="str">
        <x:v>Familia de estándares de pruebas de software.</x:v>
      </x:c>
      <x:c r="D21" s="410" t="str">
        <x:v>https://www.iso.org/standard/81291.html</x:v>
      </x:c>
      <x:c r="E21" s="411" t="str">
        <x:v>Referencia estándar</x:v>
      </x:c>
    </x:row>
    <x:row r="22" ht="62" customHeight="1">
      <x:c r="A22" s="412" t="str">
        <x:v>F19</x:v>
      </x:c>
      <x:c r="B22" s="413" t="str">
        <x:v>ISO/IEC 27001</x:v>
      </x:c>
      <x:c r="C22" s="413" t="str">
        <x:v>Sistema de gestión de seguridad de la información.</x:v>
      </x:c>
      <x:c r="D22" s="413" t="str">
        <x:v>https://www.iso.org/standard/27001</x:v>
      </x:c>
      <x:c r="E22" s="414" t="str">
        <x:v>Referencia estándar</x:v>
      </x:c>
    </x:row>
    <x:row r="23" ht="62" customHeight="1">
      <x:c r="A23" s="504" t="str">
        <x:v>F20</x:v>
      </x:c>
      <x:c r="B23" s="505" t="str">
        <x:v>Cierre integral BLENKIR V5 2026</x:v>
      </x:c>
      <x:c r="C23" s="505" t="str">
        <x:v>Estado técnico vigente 24/09/2026: URLs, Data Seed V5, smoke producción, pruebas locales, ML sin entrenar y hallazgo de seguridad.</x:v>
      </x:c>
      <x:c r="D23" s="505" t="str">
        <x:v>https://github.com/4dr1-2529/taller1/blob/dataset-definitivo-2026/docs/CIERRE_INTEGRAL_BLENKIR_V5_2026.md</x:v>
      </x:c>
      <x:c r="E23" s="506" t="str">
        <x:v>Fuente técnica vigente</x:v>
      </x:c>
    </x:row>
    <x:row r="24" ht="62" customHeight="1">
      <x:c r="A24" s="507" t="str">
        <x:v>F21</x:v>
      </x:c>
      <x:c r="B24" s="508" t="str">
        <x:v>package.json raíz</x:v>
      </x:c>
      <x:c r="C24" s="508" t="str">
        <x:v>Scripts actuales de dev/build/DB/ML/tests/QA; Node &gt;=20 y monorepo.</x:v>
      </x:c>
      <x:c r="D24" s="508" t="str">
        <x:v>https://github.com/4dr1-2529/taller1/blob/dataset-definitivo-2026/package.json</x:v>
      </x:c>
      <x:c r="E24" s="509" t="str">
        <x:v>Código/configuración</x:v>
      </x:c>
    </x:row>
    <x:row r="25" ht="62" customHeight="1">
      <x:c r="A25" s="507" t="str">
        <x:v>F22</x:v>
      </x:c>
      <x:c r="B25" s="508" t="str">
        <x:v>frontend/package.json</x:v>
      </x:c>
      <x:c r="C25" s="508" t="str">
        <x:v>Versiones vigentes Next.js 16.2.4, React 19.2.4, TypeScript 5, Recharts, jsPDF/xlsx.</x:v>
      </x:c>
      <x:c r="D25" s="508" t="str">
        <x:v>https://github.com/4dr1-2529/taller1/blob/dataset-definitivo-2026/frontend/package.json</x:v>
      </x:c>
      <x:c r="E25" s="509" t="str">
        <x:v>Código/configuración</x:v>
      </x:c>
    </x:row>
    <x:row r="26" ht="62" customHeight="1">
      <x:c r="A26" s="507" t="str">
        <x:v>F23</x:v>
      </x:c>
      <x:c r="B26" s="508" t="str">
        <x:v>backend/package.json</x:v>
      </x:c>
      <x:c r="C26" s="508" t="str">
        <x:v>Express 4.21.2, Prisma 6.3.1, bcrypt, JWT, Helmet, rate limit y scripts seguros/legacy deshabilitados.</x:v>
      </x:c>
      <x:c r="D26" s="508" t="str">
        <x:v>https://github.com/4dr1-2529/taller1/blob/dataset-definitivo-2026/backend/package.json</x:v>
      </x:c>
      <x:c r="E26" s="509" t="str">
        <x:v>Código/configuración</x:v>
      </x:c>
    </x:row>
    <x:row r="27" ht="62" customHeight="1">
      <x:c r="A27" s="510" t="str">
        <x:v>F24</x:v>
      </x:c>
      <x:c r="B27" s="511" t="str">
        <x:v>Matriz fusionada definitiva</x:v>
      </x:c>
      <x:c r="C27" s="511" t="str">
        <x:v>3 dimensiones por variable, 4 indicadores por dimensión y 5 medios de verificación por indicador.</x:v>
      </x:c>
      <x:c r="D27" s="511" t="str">
        <x:v>https://docs.google.com/document/d/1vQ2GIJRha6tOU4xjIHgYmfHLRc5GoPZY/edit</x:v>
      </x:c>
      <x:c r="E27" s="512" t="str">
        <x:v>Operacionalización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4" hidden="0" customWidth="1"/>
    <x:col min="4" max="4" width="62" hidden="0" customWidth="1"/>
    <x:col min="5" max="5" width="54" hidden="0" customWidth="1"/>
    <x:col min="6" max="6" width="16" hidden="0" customWidth="1"/>
  </x:cols>
  <x:sheetData>
    <x:row r="1" ht="34" customHeight="1">
      <x:c r="A1" s="444" t="str">
        <x:v>Corte técnico vigente — BLENKIR V5</x:v>
      </x:c>
      <x:c r="B1" s="444"/>
      <x:c r="C1" s="444"/>
      <x:c r="D1" s="444"/>
      <x:c r="E1" s="444"/>
      <x:c r="F1" s="444"/>
    </x:row>
    <x:row r="2" ht="42" customHeight="1">
      <x:c r="A2" s="448" t="str">
        <x:v>Evita contradicciones entre documentación histórica y el estado técnico verificado del repositorio/producción. No sustituye las matrices metodológicas; fija qué evidencia es vigente.</x:v>
      </x:c>
      <x:c r="B2" s="448"/>
      <x:c r="C2" s="448"/>
      <x:c r="D2" s="448"/>
      <x:c r="E2" s="448"/>
      <x:c r="F2" s="448"/>
    </x:row>
    <x:row r="4" ht="48" customHeight="1">
      <x:c r="A4" s="453" t="str">
        <x:v>ID</x:v>
      </x:c>
      <x:c r="B4" s="453" t="str">
        <x:v>Elemento</x:v>
      </x:c>
      <x:c r="C4" s="453" t="str">
        <x:v>Valor / estado verificado</x:v>
      </x:c>
      <x:c r="D4" s="453" t="str">
        <x:v>Interpretación para la matriz</x:v>
      </x:c>
      <x:c r="E4" s="453" t="str">
        <x:v>Evidencia / ruta</x:v>
      </x:c>
      <x:c r="F4" s="453" t="str">
        <x:v>Fecha de corte</x:v>
      </x:c>
    </x:row>
    <x:row r="5" ht="66" customHeight="1">
      <x:c r="A5" s="472" t="str">
        <x:v>CT-01</x:v>
      </x:c>
      <x:c r="B5" s="473" t="str">
        <x:v>Repositorio/rama</x:v>
      </x:c>
      <x:c r="C5" s="473" t="str">
        <x:v>dataset-definitivo-2026</x:v>
      </x:c>
      <x:c r="D5" s="473" t="str">
        <x:v>Fuente técnica vigente; prevalece sobre documentos históricos de demo.</x:v>
      </x:c>
      <x:c r="E5" s="473" t="str">
        <x:v>GitHub branch + docs/CIERRE_INTEGRAL_BLENKIR_V5_2026.md</x:v>
      </x:c>
      <x:c r="F5" s="474" t="str">
        <x:v>24/09/2026</x:v>
      </x:c>
    </x:row>
    <x:row r="6" ht="66" customHeight="1">
      <x:c r="A6" s="475" t="str">
        <x:v>CT-02</x:v>
      </x:c>
      <x:c r="B6" s="476" t="str">
        <x:v>Backend producción</x:v>
      </x:c>
      <x:c r="C6" s="476" t="str">
        <x:v>https://backend-production-fcb1.up.railway.app/api/v1</x:v>
      </x:c>
      <x:c r="D6" s="476" t="str">
        <x:v>GET /health verificado 200.</x:v>
      </x:c>
      <x:c r="E6" s="476" t="str">
        <x:v>Railway / health</x:v>
      </x:c>
      <x:c r="F6" s="477" t="str">
        <x:v>24/09/2026</x:v>
      </x:c>
    </x:row>
    <x:row r="7" ht="66" customHeight="1">
      <x:c r="A7" s="475" t="str">
        <x:v>CT-03</x:v>
      </x:c>
      <x:c r="B7" s="476" t="str">
        <x:v>Frontend producción</x:v>
      </x:c>
      <x:c r="C7" s="476" t="str">
        <x:v>https://taller1-frontend.vercel.app/login</x:v>
      </x:c>
      <x:c r="D7" s="476" t="str">
        <x:v>Carga HTML verificada 200.</x:v>
      </x:c>
      <x:c r="E7" s="476" t="str">
        <x:v>Vercel</x:v>
      </x:c>
      <x:c r="F7" s="477" t="str">
        <x:v>24/09/2026</x:v>
      </x:c>
    </x:row>
    <x:row r="8" ht="66" customHeight="1">
      <x:c r="A8" s="475" t="str">
        <x:v>CT-04</x:v>
      </x:c>
      <x:c r="B8" s="476" t="str">
        <x:v>Base de datos</x:v>
      </x:c>
      <x:c r="C8" s="476" t="str">
        <x:v>Railway MySQL production</x:v>
      </x:c>
      <x:c r="D8" s="476" t="str">
        <x:v>Lectura verificada; Prisma/MySQL como persistencia oficial.</x:v>
      </x:c>
      <x:c r="E8" s="476" t="str">
        <x:v>Railway MySQL + schema.prisma</x:v>
      </x:c>
      <x:c r="F8" s="477" t="str">
        <x:v>24/09/2026</x:v>
      </x:c>
    </x:row>
    <x:row r="9" ht="66" customHeight="1">
      <x:c r="A9" s="475" t="str">
        <x:v>CT-05</x:v>
      </x:c>
      <x:c r="B9" s="476" t="str">
        <x:v>Usuarios</x:v>
      </x:c>
      <x:c r="C9" s="476" t="str">
        <x:v>275</x:v>
      </x:c>
      <x:c r="D9" s="476" t="str">
        <x:v>250 estudiantes + 24 profesores + cuenta administrativa; studentsSinCuenta=0.</x:v>
      </x:c>
      <x:c r="E9" s="476" t="str">
        <x:v>BD productiva / cierre V5</x:v>
      </x:c>
      <x:c r="F9" s="477" t="str">
        <x:v>24/09/2026</x:v>
      </x:c>
    </x:row>
    <x:row r="10" ht="66" customHeight="1">
      <x:c r="A10" s="475" t="str">
        <x:v>CT-06</x:v>
      </x:c>
      <x:c r="B10" s="476" t="str">
        <x:v>Matrículas</x:v>
      </x:c>
      <x:c r="C10" s="476" t="str">
        <x:v>250</x:v>
      </x:c>
      <x:c r="D10" s="476" t="str">
        <x:v>225 activas / 15 retiradas / 10 trasladadas.</x:v>
      </x:c>
      <x:c r="E10" s="476" t="str">
        <x:v>Matricula</x:v>
      </x:c>
      <x:c r="F10" s="477" t="str">
        <x:v>24/09/2026</x:v>
      </x:c>
    </x:row>
    <x:row r="11" ht="66" customHeight="1">
      <x:c r="A11" s="475" t="str">
        <x:v>CT-07</x:v>
      </x:c>
      <x:c r="B11" s="476" t="str">
        <x:v>Enrollment</x:v>
      </x:c>
      <x:c r="C11" s="476" t="str">
        <x:v>3724</x:v>
      </x:c>
      <x:c r="D11" s="476" t="str">
        <x:v>3354 curso / 370 tutoría; huérfanos=0.</x:v>
      </x:c>
      <x:c r="E11" s="476" t="str">
        <x:v>Enrollment</x:v>
      </x:c>
      <x:c r="F11" s="477" t="str">
        <x:v>24/09/2026</x:v>
      </x:c>
    </x:row>
    <x:row r="12" ht="66" customHeight="1">
      <x:c r="A12" s="475" t="str">
        <x:v>CT-08</x:v>
      </x:c>
      <x:c r="B12" s="476" t="str">
        <x:v>Notas</x:v>
      </x:c>
      <x:c r="C12" s="476" t="str">
        <x:v>10209</x:v>
      </x:c>
      <x:c r="D12" s="476" t="str">
        <x:v>Evidencia operativa del sistema; no métrica científica del modelo.</x:v>
      </x:c>
      <x:c r="E12" s="476" t="str">
        <x:v>Grade</x:v>
      </x:c>
      <x:c r="F12" s="477" t="str">
        <x:v>24/09/2026</x:v>
      </x:c>
    </x:row>
    <x:row r="13" ht="66" customHeight="1">
      <x:c r="A13" s="475" t="str">
        <x:v>CT-09</x:v>
      </x:c>
      <x:c r="B13" s="476" t="str">
        <x:v>Asistencia</x:v>
      </x:c>
      <x:c r="C13" s="476" t="str">
        <x:v>34950</x:v>
      </x:c>
      <x:c r="D13" s="476" t="str">
        <x:v>Evidencia operativa del sistema; usable como fuente científica solo con autorización/metodología correspondiente.</x:v>
      </x:c>
      <x:c r="E13" s="476" t="str">
        <x:v>Attendance</x:v>
      </x:c>
      <x:c r="F13" s="477" t="str">
        <x:v>24/09/2026</x:v>
      </x:c>
    </x:row>
    <x:row r="14" ht="66" customHeight="1">
      <x:c r="A14" s="475" t="str">
        <x:v>CT-10</x:v>
      </x:c>
      <x:c r="B14" s="476" t="str">
        <x:v>Eventos LMS</x:v>
      </x:c>
      <x:c r="C14" s="476" t="str">
        <x:v>4611</x:v>
      </x:c>
      <x:c r="D14" s="476" t="str">
        <x:v>4610 importados + 1 login real esperado.</x:v>
      </x:c>
      <x:c r="E14" s="476" t="str">
        <x:v>LmsEvent</x:v>
      </x:c>
      <x:c r="F14" s="477" t="str">
        <x:v>24/09/2026</x:v>
      </x:c>
    </x:row>
    <x:row r="15" ht="66" customHeight="1">
      <x:c r="A15" s="475" t="str">
        <x:v>CT-11</x:v>
      </x:c>
      <x:c r="B15" s="476" t="str">
        <x:v>Predicciones</x:v>
      </x:c>
      <x:c r="C15" s="476" t="str">
        <x:v>0</x:v>
      </x:c>
      <x:c r="D15" s="476" t="str">
        <x:v>El sistema no fabrica predicciones si no existe modelo científico entrenado.</x:v>
      </x:c>
      <x:c r="E15" s="476" t="str">
        <x:v>Prediction</x:v>
      </x:c>
      <x:c r="F15" s="477" t="str">
        <x:v>24/09/2026</x:v>
      </x:c>
    </x:row>
    <x:row r="16" ht="66" customHeight="1">
      <x:c r="A16" s="475" t="str">
        <x:v>CT-12</x:v>
      </x:c>
      <x:c r="B16" s="476" t="str">
        <x:v>ML</x:v>
      </x:c>
      <x:c r="C16" s="476" t="str">
        <x:v>Sin modelo científico entrenado</x:v>
      </x:c>
      <x:c r="D16" s="476" t="str">
        <x:v>MlFeatureDef=7; tablas de entrenamiento/modelo/métricas/predicción sin resultados científicos.</x:v>
      </x:c>
      <x:c r="E16" s="476" t="str">
        <x:v>MlFeatureDef + tablas Ml*</x:v>
      </x:c>
      <x:c r="F16" s="477" t="str">
        <x:v>24/09/2026</x:v>
      </x:c>
    </x:row>
    <x:row r="17" ht="66" customHeight="1">
      <x:c r="A17" s="475" t="str">
        <x:v>CT-13</x:v>
      </x:c>
      <x:c r="B17" s="476" t="str">
        <x:v>Smoke producción</x:v>
      </x:c>
      <x:c r="C17" s="476" t="str">
        <x:v>67 OK / 0 fallos</x:v>
      </x:c>
      <x:c r="D17" s="476" t="str">
        <x:v>Incluye login de 3 roles, 42 accesos permitidos 200 y 15 denegados 403.</x:v>
      </x:c>
      <x:c r="E17" s="476" t="str">
        <x:v>backend/scripts/smoke-tests.mjs</x:v>
      </x:c>
      <x:c r="F17" s="477" t="str">
        <x:v>24/09/2026</x:v>
      </x:c>
    </x:row>
    <x:row r="18" ht="66" customHeight="1">
      <x:c r="A18" s="475" t="str">
        <x:v>CT-14</x:v>
      </x:c>
      <x:c r="B18" s="476" t="str">
        <x:v>Pruebas locales</x:v>
      </x:c>
      <x:c r="C18" s="476" t="str">
        <x:v>Backend 81/81; Frontend 16/16; ML contrato 7/7; formato predicción 4/4</x:v>
      </x:c>
      <x:c r="D18" s="476" t="str">
        <x:v>Type-check, lint y builds también PASS.</x:v>
      </x:c>
      <x:c r="E18" s="476" t="str">
        <x:v>Scripts npm / tests</x:v>
      </x:c>
      <x:c r="F18" s="477" t="str">
        <x:v>24/09/2026</x:v>
      </x:c>
    </x:row>
    <x:row r="19" ht="66" customHeight="1">
      <x:c r="A19" s="475" t="str">
        <x:v>CT-15</x:v>
      </x:c>
      <x:c r="B19" s="476" t="str">
        <x:v>Integración aislada</x:v>
      </x:c>
      <x:c r="C19" s="476" t="str">
        <x:v>No ejecutada en el corte</x:v>
      </x:c>
      <x:c r="D19" s="476" t="str">
        <x:v>Requiere MySQL aislada 127.0.0.1:33316; el test aborta antes de tocar otra BD.</x:v>
      </x:c>
      <x:c r="E19" s="476" t="str">
        <x:v>test:integration</x:v>
      </x:c>
      <x:c r="F19" s="477" t="str">
        <x:v>24/09/2026</x:v>
      </x:c>
    </x:row>
    <x:row r="20" ht="66" customHeight="1">
      <x:c r="A20" s="475" t="str">
        <x:v>CT-16</x:v>
      </x:c>
      <x:c r="B20" s="476" t="str">
        <x:v>Seguridad producción</x:v>
      </x:c>
      <x:c r="C20" s="476" t="str">
        <x:v>Hallazgo verificado en /admin/cuentas-acceso</x:v>
      </x:c>
      <x:c r="D20" s="476" t="str">
        <x:v>Deployment vigente devuelve campo password; código local usa passwordEnv. Requiere redeploy y rotación del valor expuesto.</x:v>
      </x:c>
      <x:c r="E20" s="476" t="str">
        <x:v>docs/CIERRE_INTEGRAL_BLENKIR_V5_2026.md</x:v>
      </x:c>
      <x:c r="F20" s="477" t="str">
        <x:v>24/09/2026</x:v>
      </x:c>
    </x:row>
    <x:row r="21" ht="66" customHeight="1">
      <x:c r="A21" s="478" t="str">
        <x:v>CT-17</x:v>
      </x:c>
      <x:c r="B21" s="479" t="str">
        <x:v>Regla científica</x:v>
      </x:c>
      <x:c r="C21" s="479" t="str">
        <x:v>Demo/seed ≠ evidencia científica</x:v>
      </x:c>
      <x:c r="D21" s="479" t="str">
        <x:v>Entrenamiento y métricas de hipótesis solo con dataset institucional real autorizado y procedimiento de evaluación definido.</x:v>
      </x:c>
      <x:c r="E21" s="479" t="str">
        <x:v>Tesis + Anexo 07 + cierre V5</x:v>
      </x:c>
      <x:c r="F21" s="480" t="str">
        <x:v>Vigente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2" hidden="0" customWidth="1"/>
    <x:col min="3" max="3" width="48" hidden="0" customWidth="1"/>
    <x:col min="4" max="4" width="13" hidden="0" customWidth="1"/>
    <x:col min="5" max="5" width="28" hidden="0" customWidth="1"/>
    <x:col min="6" max="6" width="42" hidden="0" customWidth="1"/>
    <x:col min="7" max="7" width="42" hidden="0" customWidth="1"/>
    <x:col min="8" max="8" width="38" hidden="0" customWidth="1"/>
    <x:col min="9" max="9" width="42" hidden="0" customWidth="1"/>
  </x:cols>
  <x:sheetData>
    <x:row r="1" ht="34" customHeight="1">
      <x:c r="A1" s="444" t="str">
        <x:v>Matriz contextual — actores, necesidades, responsabilidades y control</x:v>
      </x:c>
      <x:c r="B1" s="444"/>
      <x:c r="C1" s="444"/>
      <x:c r="D1" s="444"/>
      <x:c r="E1" s="444"/>
      <x:c r="F1" s="444"/>
      <x:c r="G1" s="444"/>
      <x:c r="H1" s="444"/>
      <x:c r="I1" s="444"/>
    </x:row>
    <x:row r="2" ht="42" customHeight="1">
      <x:c r="A2" s="448" t="str">
        <x:v>Primera vista de contexto: responde quién participa, qué necesita del sistema, qué proceso afecta, qué riesgo existe y qué evidencia demuestra la relación. Debajo se incluye la matriz RACI completa P01–P20.</x:v>
      </x:c>
      <x:c r="B2" s="448"/>
      <x:c r="C2" s="448"/>
      <x:c r="D2" s="448"/>
      <x:c r="E2" s="448"/>
      <x:c r="F2" s="448"/>
      <x:c r="G2" s="448"/>
      <x:c r="H2" s="448"/>
      <x:c r="I2" s="448"/>
    </x:row>
    <x:row r="4" ht="48" customHeight="1">
      <x:c r="A4" s="453" t="str">
        <x:v>Actor / stakeholder</x:v>
      </x:c>
      <x:c r="B4" s="453" t="str">
        <x:v>Tipo</x:v>
      </x:c>
      <x:c r="C4" s="453" t="str">
        <x:v>Interés / responsabilidad</x:v>
      </x:c>
      <x:c r="D4" s="453" t="str">
        <x:v>Interacción</x:v>
      </x:c>
      <x:c r="E4" s="453" t="str">
        <x:v>Procesos / macroprocesos</x:v>
      </x:c>
      <x:c r="F4" s="453" t="str">
        <x:v>Aporte / decisión</x:v>
      </x:c>
      <x:c r="G4" s="453" t="str">
        <x:v>Necesidad de control</x:v>
      </x:c>
      <x:c r="H4" s="453" t="str">
        <x:v>Norma relacionada</x:v>
      </x:c>
      <x:c r="I4" s="453" t="str">
        <x:v>Evidencia</x:v>
      </x:c>
    </x:row>
    <x:row r="5" ht="66" customHeight="1">
      <x:c r="A5" s="472" t="str">
        <x:v>Director</x:v>
      </x:c>
      <x:c r="B5" s="473" t="str">
        <x:v>Usuario / dueño de proceso</x:v>
      </x:c>
      <x:c r="C5" s="473" t="str">
        <x:v>Gobierno de datos, usuarios, estructura, predicciones, alertas, reportes y auditoría.</x:v>
      </x:c>
      <x:c r="D5" s="473" t="str">
        <x:v>Alto</x:v>
      </x:c>
      <x:c r="E5" s="473" t="str">
        <x:v>Todos los macroprocesos; especialmente MP01/MP04</x:v>
      </x:c>
      <x:c r="F5" s="473" t="str">
        <x:v>Autoriza/gestiona información institucional y decisiones de seguimiento.</x:v>
      </x:c>
      <x:c r="G5" s="473" t="str">
        <x:v>Confidencialidad, integridad, trazabilidad y mínima exposición.</x:v>
      </x:c>
      <x:c r="H5" s="473" t="str">
        <x:v>ISO 9001: 4.2, 5.3, 8.1; ISO 27001: control de acceso</x:v>
      </x:c>
      <x:c r="I5" s="474" t="str">
        <x:v>Dashboard Director, admin, audit logs, Bizagi/RACI</x:v>
      </x:c>
    </x:row>
    <x:row r="6" ht="66" customHeight="1">
      <x:c r="A6" s="475" t="str">
        <x:v>Profesor</x:v>
      </x:c>
      <x:c r="B6" s="476" t="str">
        <x:v>Usuario operativo</x:v>
      </x:c>
      <x:c r="C6" s="476" t="str">
        <x:v>Notas, asistencia, LMS, predicciones y alertas de estudiantes asignados.</x:v>
      </x:c>
      <x:c r="D6" s="476" t="str">
        <x:v>Alto</x:v>
      </x:c>
      <x:c r="E6" s="476" t="str">
        <x:v>MP02/MP04</x:v>
      </x:c>
      <x:c r="F6" s="476" t="str">
        <x:v>Registra evidencia académica y ejecuta seguimiento dentro de scope.</x:v>
      </x:c>
      <x:c r="G6" s="476" t="str">
        <x:v>No acceder a estudiantes/cursos fuera de asignación.</x:v>
      </x:c>
      <x:c r="H6" s="476" t="str">
        <x:v>ISO 9001: 5.3, 8.5; ISO 27001: mínimo privilegio</x:v>
      </x:c>
      <x:c r="I6" s="477" t="str">
        <x:v>Vistas profesor + endpoints /profesor/*</x:v>
      </x:c>
    </x:row>
    <x:row r="7" ht="66" customHeight="1">
      <x:c r="A7" s="475" t="str">
        <x:v>Estudiante</x:v>
      </x:c>
      <x:c r="B7" s="476" t="str">
        <x:v>Usuario final</x:v>
      </x:c>
      <x:c r="C7" s="476" t="str">
        <x:v>Consulta de información propia, predicción personal, alertas y mensajería.</x:v>
      </x:c>
      <x:c r="D7" s="476" t="str">
        <x:v>Medio</x:v>
      </x:c>
      <x:c r="E7" s="476" t="str">
        <x:v>MP02/MP04</x:v>
      </x:c>
      <x:c r="F7" s="476" t="str">
        <x:v>Consulta y aporta eventos de interacción autorizados.</x:v>
      </x:c>
      <x:c r="G7" s="476" t="str">
        <x:v>Privacidad: acceso exclusivo a identidad y datos propios.</x:v>
      </x:c>
      <x:c r="H7" s="476" t="str">
        <x:v>ISO 9001: enfoque al usuario; ISO 27001: privacidad y autorización</x:v>
      </x:c>
      <x:c r="I7" s="477" t="str">
        <x:v>Dashboard estudiante + /estudiante/*</x:v>
      </x:c>
    </x:row>
    <x:row r="8" ht="66" customHeight="1">
      <x:c r="A8" s="475" t="str">
        <x:v>Equipo investigación/desarrollo</x:v>
      </x:c>
      <x:c r="B8" s="476" t="str">
        <x:v>Equipo de proyecto</x:v>
      </x:c>
      <x:c r="C8" s="476" t="str">
        <x:v>Análisis, arquitectura, desarrollo, ML, documentación, QA y mantenimiento.</x:v>
      </x:c>
      <x:c r="D8" s="476" t="str">
        <x:v>Alto</x:v>
      </x:c>
      <x:c r="E8" s="476" t="str">
        <x:v>MP03/MP05 + soporte transversal</x:v>
      </x:c>
      <x:c r="F8" s="476" t="str">
        <x:v>Diseña, implementa, prueba y mantiene la solución.</x:v>
      </x:c>
      <x:c r="G8" s="476" t="str">
        <x:v>Separación de entornos, secretos, código y evidencia científica.</x:v>
      </x:c>
      <x:c r="H8" s="476" t="str">
        <x:v>ISO 9001: 7.1, 8.3, 10; ISO 27001: gestión de cambios</x:v>
      </x:c>
      <x:c r="I8" s="477" t="str">
        <x:v>GitHub, QA, Sonar, Docker, ML</x:v>
      </x:c>
    </x:row>
    <x:row r="9" ht="66" customHeight="1">
      <x:c r="A9" s="475" t="str">
        <x:v>Asesor / docente</x:v>
      </x:c>
      <x:c r="B9" s="476" t="str">
        <x:v>Stakeholder académico</x:v>
      </x:c>
      <x:c r="C9" s="476" t="str">
        <x:v>Revisión metodológica, técnica y de entregables.</x:v>
      </x:c>
      <x:c r="D9" s="476" t="str">
        <x:v>Medio</x:v>
      </x:c>
      <x:c r="E9" s="476" t="str">
        <x:v>Todos como revisor</x:v>
      </x:c>
      <x:c r="F9" s="476" t="str">
        <x:v>Valida coherencia entre tesis, Anexo 07 y software.</x:v>
      </x:c>
      <x:c r="G9" s="476" t="str">
        <x:v>Evidencia verificable, no inventada, trazable.</x:v>
      </x:c>
      <x:c r="H9" s="476" t="str">
        <x:v>ISO 9001: revisión/evaluación</x:v>
      </x:c>
      <x:c r="I9" s="477" t="str">
        <x:v>Anexo 07, matrices, sustentación</x:v>
      </x:c>
    </x:row>
    <x:row r="10" ht="66" customHeight="1">
      <x:c r="A10" s="475" t="str">
        <x:v>Responsable institucional de datos</x:v>
      </x:c>
      <x:c r="B10" s="476" t="str">
        <x:v>Stakeholder de datos</x:v>
      </x:c>
      <x:c r="C10" s="476" t="str">
        <x:v>Autorizar/entregar datos; validar confidencialidad y alcance de uso.</x:v>
      </x:c>
      <x:c r="D10" s="476" t="str">
        <x:v>Alto</x:v>
      </x:c>
      <x:c r="E10" s="476" t="str">
        <x:v>P08-P11</x:v>
      </x:c>
      <x:c r="F10" s="476" t="str">
        <x:v>Gobierna la fuente científica y permisos de tratamiento.</x:v>
      </x:c>
      <x:c r="G10" s="476" t="str">
        <x:v>Anonimización, acceso restringido, uso compatible con autorización.</x:v>
      </x:c>
      <x:c r="H10" s="476" t="str">
        <x:v>ISO 27001: clasificación/acceso; ISO 9001: control de entradas</x:v>
      </x:c>
      <x:c r="I10" s="477" t="str">
        <x:v>Dataset real, ficha de extracción, diccionario</x:v>
      </x:c>
    </x:row>
    <x:row r="11" ht="66" customHeight="1">
      <x:c r="A11" s="475" t="str">
        <x:v>Administrador de infraestructura</x:v>
      </x:c>
      <x:c r="B11" s="476" t="str">
        <x:v>Stakeholder técnico</x:v>
      </x:c>
      <x:c r="C11" s="476" t="str">
        <x:v>Variables, despliegues, salud de servicios y base de datos.</x:v>
      </x:c>
      <x:c r="D11" s="476" t="str">
        <x:v>Medio</x:v>
      </x:c>
      <x:c r="E11" s="476" t="str">
        <x:v>P19-P20</x:v>
      </x:c>
      <x:c r="F11" s="476" t="str">
        <x:v>Opera infraestructura y recuperación.</x:v>
      </x:c>
      <x:c r="G11" s="476" t="str">
        <x:v>Secretos, backups, health, logs, restore.</x:v>
      </x:c>
      <x:c r="H11" s="476" t="str">
        <x:v>ISO 27001: operaciones/continuidad; ISO 9001: soporte</x:v>
      </x:c>
      <x:c r="I11" s="477" t="str">
        <x:v>Railway, Vercel, MySQL, logs</x:v>
      </x:c>
    </x:row>
    <x:row r="12" ht="66" customHeight="1">
      <x:c r="A12" s="478" t="str">
        <x:v>Servicio ML</x:v>
      </x:c>
      <x:c r="B12" s="479" t="str">
        <x:v>Actor técnico</x:v>
      </x:c>
      <x:c r="C12" s="479" t="str">
        <x:v>Entrenamiento/inferencia y retorno de probabilidad, nivel y factores.</x:v>
      </x:c>
      <x:c r="D12" s="479" t="str">
        <x:v>Alto</x:v>
      </x:c>
      <x:c r="E12" s="479" t="str">
        <x:v>P10-P12</x:v>
      </x:c>
      <x:c r="F12" s="479" t="str">
        <x:v>Ejecuta componente predictivo desacoplado.</x:v>
      </x:c>
      <x:c r="G12" s="479" t="str">
        <x:v>No exponer directo al navegador; versionar modelo; controlar drift.</x:v>
      </x:c>
      <x:c r="H12" s="479" t="str">
        <x:v>ISO 25010 compatibilidad/fiabilidad + ISO 27001</x:v>
      </x:c>
      <x:c r="I12" s="480" t="str">
        <x:v>FastAPI, ML_SERVICE_URL, MlModelo/Prediction</x:v>
      </x:c>
    </x:row>
    <x:row r="16">
      <x:c r="A16" s="482" t="str">
        <x:v>Matriz RACI de procesos P01–P20</x:v>
      </x:c>
      <x:c r="B16" s="482"/>
      <x:c r="C16" s="482"/>
      <x:c r="D16" s="482"/>
      <x:c r="E16" s="482"/>
      <x:c r="F16" s="482"/>
      <x:c r="G16" s="482"/>
      <x:c r="H16" s="482"/>
      <x:c r="I16" s="482"/>
    </x:row>
    <x:row r="17">
      <x:c r="A17" s="485" t="str">
        <x:v>Proceso</x:v>
      </x:c>
      <x:c r="B17" s="485" t="str">
        <x:v>Nombre</x:v>
      </x:c>
      <x:c r="C17" s="485" t="str">
        <x:v>Director</x:v>
      </x:c>
      <x:c r="D17" s="485" t="str">
        <x:v>Profesor</x:v>
      </x:c>
      <x:c r="E17" s="485" t="str">
        <x:v>Estudiante</x:v>
      </x:c>
      <x:c r="F17" s="485" t="str">
        <x:v>Equipo técnico</x:v>
      </x:c>
      <x:c r="G17" s="485" t="str">
        <x:v>Responsable datos</x:v>
      </x:c>
      <x:c r="H17" s="485" t="str">
        <x:v>Propósito contextual</x:v>
      </x:c>
      <x:c r="I17" s="485" t="str">
        <x:v>Evidencia principal</x:v>
      </x:c>
    </x:row>
    <x:row r="18">
      <x:c r="A18" s="504" t="str">
        <x:v>P01</x:v>
      </x:c>
      <x:c r="B18" s="505" t="str">
        <x:v>Gestión de matrícula</x:v>
      </x:c>
      <x:c r="C18" s="513" t="str">
        <x:v>A/R</x:v>
      </x:c>
      <x:c r="D18" s="513" t="str">
        <x:v>I</x:v>
      </x:c>
      <x:c r="E18" s="513" t="str">
        <x:v>I</x:v>
      </x:c>
      <x:c r="F18" s="513" t="str">
        <x:v>C</x:v>
      </x:c>
      <x:c r="G18" s="513" t="str">
        <x:v>C</x:v>
      </x:c>
      <x:c r="H18" s="505" t="str">
        <x:v>Formalizar continuidad académica</x:v>
      </x:c>
      <x:c r="I18" s="506" t="str">
        <x:v>Matricula/Enrollment + UI/API</x:v>
      </x:c>
    </x:row>
    <x:row r="19">
      <x:c r="A19" s="507" t="str">
        <x:v>P02</x:v>
      </x:c>
      <x:c r="B19" s="508" t="str">
        <x:v>Gestión de estudiantes</x:v>
      </x:c>
      <x:c r="C19" s="514" t="str">
        <x:v>A/R</x:v>
      </x:c>
      <x:c r="D19" s="514" t="str">
        <x:v>I</x:v>
      </x:c>
      <x:c r="E19" s="514" t="str">
        <x:v>I</x:v>
      </x:c>
      <x:c r="F19" s="514" t="str">
        <x:v>C</x:v>
      </x:c>
      <x:c r="G19" s="514" t="str">
        <x:v>C</x:v>
      </x:c>
      <x:c r="H19" s="508" t="str">
        <x:v>Mantener registro maestro del estudiante</x:v>
      </x:c>
      <x:c r="I19" s="509" t="str">
        <x:v>Student/User + scope</x:v>
      </x:c>
    </x:row>
    <x:row r="20">
      <x:c r="A20" s="507" t="str">
        <x:v>P03</x:v>
      </x:c>
      <x:c r="B20" s="508" t="str">
        <x:v>Gestión de docentes</x:v>
      </x:c>
      <x:c r="C20" s="514" t="str">
        <x:v>A/R</x:v>
      </x:c>
      <x:c r="D20" s="514" t="str">
        <x:v>I</x:v>
      </x:c>
      <x:c r="E20" s="514" t="str">
        <x:v>I</x:v>
      </x:c>
      <x:c r="F20" s="514" t="str">
        <x:v>C</x:v>
      </x:c>
      <x:c r="G20" s="514" t="str">
        <x:v>C</x:v>
      </x:c>
      <x:c r="H20" s="508" t="str">
        <x:v>Mantener responsables docentes</x:v>
      </x:c>
      <x:c r="I20" s="509" t="str">
        <x:v>Teacher/User</x:v>
      </x:c>
    </x:row>
    <x:row r="21">
      <x:c r="A21" s="507" t="str">
        <x:v>P04</x:v>
      </x:c>
      <x:c r="B21" s="508" t="str">
        <x:v>Asignación docente y tutoría</x:v>
      </x:c>
      <x:c r="C21" s="514" t="str">
        <x:v>A/R</x:v>
      </x:c>
      <x:c r="D21" s="514" t="str">
        <x:v>I</x:v>
      </x:c>
      <x:c r="E21" s="514" t="str">
        <x:v>I</x:v>
      </x:c>
      <x:c r="F21" s="514" t="str">
        <x:v>C</x:v>
      </x:c>
      <x:c r="G21" s="514" t="str">
        <x:v>C</x:v>
      </x:c>
      <x:c r="H21" s="508" t="str">
        <x:v>Delimitar cobertura docente/tutoría</x:v>
      </x:c>
      <x:c r="I21" s="509" t="str">
        <x:v>TeacherCourseAssignment/TutorSeccion</x:v>
      </x:c>
    </x:row>
    <x:row r="22">
      <x:c r="A22" s="507" t="str">
        <x:v>P05</x:v>
      </x:c>
      <x:c r="B22" s="508" t="str">
        <x:v>Registro de calificaciones</x:v>
      </x:c>
      <x:c r="C22" s="514" t="str">
        <x:v>A</x:v>
      </x:c>
      <x:c r="D22" s="514" t="str">
        <x:v>R</x:v>
      </x:c>
      <x:c r="E22" s="514" t="str">
        <x:v>I</x:v>
      </x:c>
      <x:c r="F22" s="514" t="str">
        <x:v>C</x:v>
      </x:c>
      <x:c r="G22" s="514" t="str">
        <x:v>C</x:v>
      </x:c>
      <x:c r="H22" s="508" t="str">
        <x:v>Registrar rendimiento</x:v>
      </x:c>
      <x:c r="I22" s="509" t="str">
        <x:v>Grade/AcademicHistory</x:v>
      </x:c>
    </x:row>
    <x:row r="23">
      <x:c r="A23" s="507" t="str">
        <x:v>P06</x:v>
      </x:c>
      <x:c r="B23" s="508" t="str">
        <x:v>Registro de asistencia</x:v>
      </x:c>
      <x:c r="C23" s="514" t="str">
        <x:v>A</x:v>
      </x:c>
      <x:c r="D23" s="514" t="str">
        <x:v>R</x:v>
      </x:c>
      <x:c r="E23" s="514" t="str">
        <x:v>I</x:v>
      </x:c>
      <x:c r="F23" s="514" t="str">
        <x:v>C</x:v>
      </x:c>
      <x:c r="G23" s="514" t="str">
        <x:v>C</x:v>
      </x:c>
      <x:c r="H23" s="508" t="str">
        <x:v>Registrar permanencia/asistencia</x:v>
      </x:c>
      <x:c r="I23" s="509" t="str">
        <x:v>Attendance/ResumenAsistencia</x:v>
      </x:c>
    </x:row>
    <x:row r="24">
      <x:c r="A24" s="507" t="str">
        <x:v>P07</x:v>
      </x:c>
      <x:c r="B24" s="508" t="str">
        <x:v>Registro de actividad LMS</x:v>
      </x:c>
      <x:c r="C24" s="514" t="str">
        <x:v>A</x:v>
      </x:c>
      <x:c r="D24" s="514" t="str">
        <x:v>R</x:v>
      </x:c>
      <x:c r="E24" s="514" t="str">
        <x:v>I</x:v>
      </x:c>
      <x:c r="F24" s="514" t="str">
        <x:v>C</x:v>
      </x:c>
      <x:c r="G24" s="514" t="str">
        <x:v>C</x:v>
      </x:c>
      <x:c r="H24" s="508" t="str">
        <x:v>Registrar engagement LMS</x:v>
      </x:c>
      <x:c r="I24" s="509" t="str">
        <x:v>LMS tables/events</x:v>
      </x:c>
    </x:row>
    <x:row r="25">
      <x:c r="A25" s="507" t="str">
        <x:v>P08</x:v>
      </x:c>
      <x:c r="B25" s="508" t="str">
        <x:v>Integración datos académicos y LMS</x:v>
      </x:c>
      <x:c r="C25" s="514" t="str">
        <x:v>I</x:v>
      </x:c>
      <x:c r="D25" s="514" t="str">
        <x:v>C</x:v>
      </x:c>
      <x:c r="E25" s="514" t="str">
        <x:v>I</x:v>
      </x:c>
      <x:c r="F25" s="514" t="str">
        <x:v>R/A</x:v>
      </x:c>
      <x:c r="G25" s="514" t="str">
        <x:v>C</x:v>
      </x:c>
      <x:c r="H25" s="508" t="str">
        <x:v>Integrar fuentes científicas</x:v>
      </x:c>
      <x:c r="I25" s="509" t="str">
        <x:v>Dataset/diccionario/ETL</x:v>
      </x:c>
    </x:row>
    <x:row r="26">
      <x:c r="A26" s="507" t="str">
        <x:v>P09</x:v>
      </x:c>
      <x:c r="B26" s="508" t="str">
        <x:v>Control de calidad y preprocesamiento</x:v>
      </x:c>
      <x:c r="C26" s="514" t="str">
        <x:v>I</x:v>
      </x:c>
      <x:c r="D26" s="514" t="str">
        <x:v>C</x:v>
      </x:c>
      <x:c r="E26" s="514" t="str">
        <x:v>I</x:v>
      </x:c>
      <x:c r="F26" s="514" t="str">
        <x:v>R/A</x:v>
      </x:c>
      <x:c r="G26" s="514" t="str">
        <x:v>C</x:v>
      </x:c>
      <x:c r="H26" s="508" t="str">
        <x:v>Asegurar calidad/leakage</x:v>
      </x:c>
      <x:c r="I26" s="509" t="str">
        <x:v>Perfil calidad + pipeline</x:v>
      </x:c>
    </x:row>
    <x:row r="27">
      <x:c r="A27" s="507" t="str">
        <x:v>P10</x:v>
      </x:c>
      <x:c r="B27" s="508" t="str">
        <x:v>Entrenamiento de modelos</x:v>
      </x:c>
      <x:c r="C27" s="514" t="str">
        <x:v>I</x:v>
      </x:c>
      <x:c r="D27" s="514" t="str">
        <x:v>C</x:v>
      </x:c>
      <x:c r="E27" s="514" t="str">
        <x:v>I</x:v>
      </x:c>
      <x:c r="F27" s="514" t="str">
        <x:v>R/A</x:v>
      </x:c>
      <x:c r="G27" s="514" t="str">
        <x:v>C</x:v>
      </x:c>
      <x:c r="H27" s="508" t="str">
        <x:v>Entrenar modelos reproducibles</x:v>
      </x:c>
      <x:c r="I27" s="509" t="str">
        <x:v>MlEntrenamiento/MlModelo</x:v>
      </x:c>
    </x:row>
    <x:row r="28">
      <x:c r="A28" s="507" t="str">
        <x:v>P11</x:v>
      </x:c>
      <x:c r="B28" s="508" t="str">
        <x:v>Evaluación y comparación de modelos</x:v>
      </x:c>
      <x:c r="C28" s="514" t="str">
        <x:v>I</x:v>
      </x:c>
      <x:c r="D28" s="514" t="str">
        <x:v>C</x:v>
      </x:c>
      <x:c r="E28" s="514" t="str">
        <x:v>I</x:v>
      </x:c>
      <x:c r="F28" s="514" t="str">
        <x:v>R/A</x:v>
      </x:c>
      <x:c r="G28" s="514" t="str">
        <x:v>C</x:v>
      </x:c>
      <x:c r="H28" s="508" t="str">
        <x:v>Evaluar desempeño científico</x:v>
      </x:c>
      <x:c r="I28" s="509" t="str">
        <x:v>MlMetrica + evaluación</x:v>
      </x:c>
    </x:row>
    <x:row r="29">
      <x:c r="A29" s="507" t="str">
        <x:v>P12</x:v>
      </x:c>
      <x:c r="B29" s="508" t="str">
        <x:v>Generación de predicción</x:v>
      </x:c>
      <x:c r="C29" s="514" t="str">
        <x:v>A</x:v>
      </x:c>
      <x:c r="D29" s="514" t="str">
        <x:v>R/C</x:v>
      </x:c>
      <x:c r="E29" s="514" t="str">
        <x:v>C</x:v>
      </x:c>
      <x:c r="F29" s="514" t="str">
        <x:v>C</x:v>
      </x:c>
      <x:c r="G29" s="514" t="str">
        <x:v>C</x:v>
      </x:c>
      <x:c r="H29" s="508" t="str">
        <x:v>Consumir inferencia trazable</x:v>
      </x:c>
      <x:c r="I29" s="509" t="str">
        <x:v>Prediction + API ML</x:v>
      </x:c>
    </x:row>
    <x:row r="30">
      <x:c r="A30" s="507" t="str">
        <x:v>P13</x:v>
      </x:c>
      <x:c r="B30" s="508" t="str">
        <x:v>Gestión de alertas tempranas</x:v>
      </x:c>
      <x:c r="C30" s="514" t="str">
        <x:v>A</x:v>
      </x:c>
      <x:c r="D30" s="514" t="str">
        <x:v>R/C</x:v>
      </x:c>
      <x:c r="E30" s="514" t="str">
        <x:v>C</x:v>
      </x:c>
      <x:c r="F30" s="514" t="str">
        <x:v>C</x:v>
      </x:c>
      <x:c r="G30" s="514" t="str">
        <x:v>C</x:v>
      </x:c>
      <x:c r="H30" s="508" t="str">
        <x:v>Priorizar seguimiento</x:v>
      </x:c>
      <x:c r="I30" s="509" t="str">
        <x:v>Alert/AlertaHistorial</x:v>
      </x:c>
    </x:row>
    <x:row r="31">
      <x:c r="A31" s="507" t="str">
        <x:v>P14</x:v>
      </x:c>
      <x:c r="B31" s="508" t="str">
        <x:v>Visualización de dashboard por rol</x:v>
      </x:c>
      <x:c r="C31" s="514" t="str">
        <x:v>A</x:v>
      </x:c>
      <x:c r="D31" s="514" t="str">
        <x:v>R/C</x:v>
      </x:c>
      <x:c r="E31" s="514" t="str">
        <x:v>C</x:v>
      </x:c>
      <x:c r="F31" s="514" t="str">
        <x:v>C</x:v>
      </x:c>
      <x:c r="G31" s="514" t="str">
        <x:v>C</x:v>
      </x:c>
      <x:c r="H31" s="508" t="str">
        <x:v>Presentar KPIs por rol</x:v>
      </x:c>
      <x:c r="I31" s="509" t="str">
        <x:v>Dashboard/KPIs</x:v>
      </x:c>
    </x:row>
    <x:row r="32">
      <x:c r="A32" s="507" t="str">
        <x:v>P15</x:v>
      </x:c>
      <x:c r="B32" s="508" t="str">
        <x:v>Generación de reportes</x:v>
      </x:c>
      <x:c r="C32" s="514" t="str">
        <x:v>A</x:v>
      </x:c>
      <x:c r="D32" s="514" t="str">
        <x:v>R/C</x:v>
      </x:c>
      <x:c r="E32" s="514" t="str">
        <x:v>C</x:v>
      </x:c>
      <x:c r="F32" s="514" t="str">
        <x:v>C</x:v>
      </x:c>
      <x:c r="G32" s="514" t="str">
        <x:v>C</x:v>
      </x:c>
      <x:c r="H32" s="508" t="str">
        <x:v>Conservar evidencia/reportes</x:v>
      </x:c>
      <x:c r="I32" s="509" t="str">
        <x:v>Report/DashboardSnapshot</x:v>
      </x:c>
    </x:row>
    <x:row r="33">
      <x:c r="A33" s="507" t="str">
        <x:v>P16</x:v>
      </x:c>
      <x:c r="B33" s="508" t="str">
        <x:v>Mensajería académica</x:v>
      </x:c>
      <x:c r="C33" s="514" t="str">
        <x:v>A</x:v>
      </x:c>
      <x:c r="D33" s="514" t="str">
        <x:v>R/C</x:v>
      </x:c>
      <x:c r="E33" s="514" t="str">
        <x:v>C</x:v>
      </x:c>
      <x:c r="F33" s="514" t="str">
        <x:v>C</x:v>
      </x:c>
      <x:c r="G33" s="514" t="str">
        <x:v>C</x:v>
      </x:c>
      <x:c r="H33" s="508" t="str">
        <x:v>Comunicar seguimiento</x:v>
      </x:c>
      <x:c r="I33" s="509" t="str">
        <x:v>ChatMessage/Notification</x:v>
      </x:c>
    </x:row>
    <x:row r="34">
      <x:c r="A34" s="507" t="str">
        <x:v>P17</x:v>
      </x:c>
      <x:c r="B34" s="508" t="str">
        <x:v>Autenticación y gestión de sesión</x:v>
      </x:c>
      <x:c r="C34" s="514" t="str">
        <x:v>I</x:v>
      </x:c>
      <x:c r="D34" s="514" t="str">
        <x:v>I</x:v>
      </x:c>
      <x:c r="E34" s="514" t="str">
        <x:v>I</x:v>
      </x:c>
      <x:c r="F34" s="514" t="str">
        <x:v>R/A</x:v>
      </x:c>
      <x:c r="G34" s="514" t="str">
        <x:v>C</x:v>
      </x:c>
      <x:c r="H34" s="508" t="str">
        <x:v>Proteger acceso y sesión</x:v>
      </x:c>
      <x:c r="I34" s="509" t="str">
        <x:v>Session/IntentoLogin/AuditLog</x:v>
      </x:c>
    </x:row>
    <x:row r="35">
      <x:c r="A35" s="507" t="str">
        <x:v>P18</x:v>
      </x:c>
      <x:c r="B35" s="508" t="str">
        <x:v>Auditoría y trazabilidad</x:v>
      </x:c>
      <x:c r="C35" s="514" t="str">
        <x:v>I</x:v>
      </x:c>
      <x:c r="D35" s="514" t="str">
        <x:v>I</x:v>
      </x:c>
      <x:c r="E35" s="514" t="str">
        <x:v>I</x:v>
      </x:c>
      <x:c r="F35" s="514" t="str">
        <x:v>R/A</x:v>
      </x:c>
      <x:c r="G35" s="514" t="str">
        <x:v>C</x:v>
      </x:c>
      <x:c r="H35" s="508" t="str">
        <x:v>Reconstruir operaciones</x:v>
      </x:c>
      <x:c r="I35" s="509" t="str">
        <x:v>AuditLog</x:v>
      </x:c>
    </x:row>
    <x:row r="36">
      <x:c r="A36" s="507" t="str">
        <x:v>P19</x:v>
      </x:c>
      <x:c r="B36" s="508" t="str">
        <x:v>Despliegue y verificación DevOps</x:v>
      </x:c>
      <x:c r="C36" s="514" t="str">
        <x:v>I</x:v>
      </x:c>
      <x:c r="D36" s="514" t="str">
        <x:v>I</x:v>
      </x:c>
      <x:c r="E36" s="514" t="str">
        <x:v>I</x:v>
      </x:c>
      <x:c r="F36" s="514" t="str">
        <x:v>R/A</x:v>
      </x:c>
      <x:c r="G36" s="514" t="str">
        <x:v>C</x:v>
      </x:c>
      <x:c r="H36" s="508" t="str">
        <x:v>Liberar/verificar versión</x:v>
      </x:c>
      <x:c r="I36" s="509" t="str">
        <x:v>CI/build/health/deploy</x:v>
      </x:c>
    </x:row>
    <x:row r="37">
      <x:c r="A37" s="510" t="str">
        <x:v>P20</x:v>
      </x:c>
      <x:c r="B37" s="511" t="str">
        <x:v>Gestión de incidencias y mejora continua</x:v>
      </x:c>
      <x:c r="C37" s="515" t="str">
        <x:v>I</x:v>
      </x:c>
      <x:c r="D37" s="515" t="str">
        <x:v>I</x:v>
      </x:c>
      <x:c r="E37" s="515" t="str">
        <x:v>I</x:v>
      </x:c>
      <x:c r="F37" s="515" t="str">
        <x:v>R/A</x:v>
      </x:c>
      <x:c r="G37" s="515" t="str">
        <x:v>C</x:v>
      </x:c>
      <x:c r="H37" s="511" t="str">
        <x:v>Corregir y mejorar sin romper el sistema</x:v>
      </x:c>
      <x:c r="I37" s="512" t="str">
        <x:v>Incidencia → fix → regresión → evidencia</x:v>
      </x:c>
    </x:row>
  </x:sheetData>
  <x:mergeCells>
    <x:mergeCell ref="A1:I1"/>
    <x:mergeCell ref="A2:I2"/>
    <x:mergeCell ref="A16:I1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8" hidden="0" customWidth="1"/>
    <x:col min="3" max="3" width="44" hidden="0" customWidth="1"/>
    <x:col min="4" max="4" width="30" hidden="0" customWidth="1"/>
    <x:col min="5" max="5" width="30" hidden="0" customWidth="1"/>
    <x:col min="6" max="6" width="30" hidden="0" customWidth="1"/>
    <x:col min="7" max="7" width="38" hidden="0" customWidth="1"/>
    <x:col min="8" max="8" width="48" hidden="0" customWidth="1"/>
    <x:col min="9" max="9" width="48" hidden="0" customWidth="1"/>
    <x:col min="10" max="10" width="40" hidden="0" customWidth="1"/>
    <x:col min="11" max="11" width="30" hidden="0" customWidth="1"/>
  </x:cols>
  <x:sheetData>
    <x:row r="1" ht="34" customHeight="1">
      <x:c r="A1" s="444" t="str">
        <x:v>Matriz arquitectura × calidad del software</x:v>
      </x:c>
      <x:c r="B1" s="444"/>
      <x:c r="C1" s="444"/>
      <x:c r="D1" s="444"/>
      <x:c r="E1" s="444"/>
      <x:c r="F1" s="444"/>
      <x:c r="G1" s="444"/>
      <x:c r="H1" s="444"/>
      <x:c r="I1" s="444"/>
      <x:c r="J1" s="444"/>
      <x:c r="K1" s="444"/>
    </x:row>
    <x:row r="2" ht="42" customHeight="1">
      <x:c r="A2" s="448" t="str">
        <x:v>Cruza cada capa real del sistema con su responsabilidad, tecnología, interfaces, atributos ISO/IEC 25010, seguridad, mantenimiento, pruebas y despliegue. La arquitectura vigente es frontend → backend → BD/ML; el navegador no consume ML directamente.</x:v>
      </x:c>
      <x:c r="B2" s="448"/>
      <x:c r="C2" s="448"/>
      <x:c r="D2" s="448"/>
      <x:c r="E2" s="448"/>
      <x:c r="F2" s="448"/>
      <x:c r="G2" s="448"/>
      <x:c r="H2" s="448"/>
      <x:c r="I2" s="448"/>
      <x:c r="J2" s="448"/>
      <x:c r="K2" s="448"/>
    </x:row>
    <x:row r="4" ht="48" customHeight="1">
      <x:c r="A4" s="453" t="str">
        <x:v>Capa / componente</x:v>
      </x:c>
      <x:c r="B4" s="453" t="str">
        <x:v>Tecnología actual</x:v>
      </x:c>
      <x:c r="C4" s="453" t="str">
        <x:v>Responsabilidad</x:v>
      </x:c>
      <x:c r="D4" s="453" t="str">
        <x:v>Interfaz / dependencia</x:v>
      </x:c>
      <x:c r="E4" s="453" t="str">
        <x:v>Entrada</x:v>
      </x:c>
      <x:c r="F4" s="453" t="str">
        <x:v>Salida</x:v>
      </x:c>
      <x:c r="G4" s="453" t="str">
        <x:v>Calidad ISO/IEC 25010 dominante</x:v>
      </x:c>
      <x:c r="H4" s="453" t="str">
        <x:v>Control de arquitectura/seguridad</x:v>
      </x:c>
      <x:c r="I4" s="453" t="str">
        <x:v>Dónde mantener</x:v>
      </x:c>
      <x:c r="J4" s="453" t="str">
        <x:v>Prueba / evidencia</x:v>
      </x:c>
      <x:c r="K4" s="453" t="str">
        <x:v>Ejecución / despliegue</x:v>
      </x:c>
    </x:row>
    <x:row r="5" ht="66" customHeight="1">
      <x:c r="A5" s="472" t="str">
        <x:v>Frontend / presentación</x:v>
      </x:c>
      <x:c r="B5" s="473" t="str">
        <x:v>Next.js 16.2.4, React 19.2.4, TypeScript, Tailwind 4, Framer Motion, Recharts</x:v>
      </x:c>
      <x:c r="C5" s="473" t="str">
        <x:v>App Router, ROLE_SECTIONS, vistas por rol, validación y visualización</x:v>
      </x:c>
      <x:c r="D5" s="473" t="str">
        <x:v>Backend REST</x:v>
      </x:c>
      <x:c r="E5" s="473" t="str">
        <x:v>Usuario/rol + datos API</x:v>
      </x:c>
      <x:c r="F5" s="473" t="str">
        <x:v>UI, filtros, formularios, gráficos</x:v>
      </x:c>
      <x:c r="G5" s="473" t="str">
        <x:v>Usabilidad, adecuación funcional, portabilidad</x:v>
      </x:c>
      <x:c r="H5" s="473" t="str">
        <x:v>Confirmar auth/rol antes de APIs; no exponer lógica sensible</x:v>
      </x:c>
      <x:c r="I5" s="473" t="str">
        <x:v>frontend/src/app; components; contexts; services</x:v>
      </x:c>
      <x:c r="J5" s="473" t="str">
        <x:v>Frontend tests + lint + type-check + build</x:v>
      </x:c>
      <x:c r="K5" s="474" t="str">
        <x:v>Vercel / localhost:3029</x:v>
      </x:c>
    </x:row>
    <x:row r="6" ht="66" customHeight="1">
      <x:c r="A6" s="475" t="str">
        <x:v>Contexto de autenticación cliente</x:v>
      </x:c>
      <x:c r="B6" s="476" t="str">
        <x:v>AuthProvider + api service</x:v>
      </x:c>
      <x:c r="C6" s="476" t="str">
        <x:v>Restaurar sesión, login/logout/refresh, hasRole</x:v>
      </x:c>
      <x:c r="D6" s="476" t="str">
        <x:v>/auth/*</x:v>
      </x:c>
      <x:c r="E6" s="476" t="str">
        <x:v>Token/refresh + user</x:v>
      </x:c>
      <x:c r="F6" s="476" t="str">
        <x:v>Sesión cliente y navegación</x:v>
      </x:c>
      <x:c r="G6" s="476" t="str">
        <x:v>Fiabilidad, seguridad, usabilidad</x:v>
      </x:c>
      <x:c r="H6" s="476" t="str">
        <x:v>No confiar solo en frontend; backend aplica autorización</x:v>
      </x:c>
      <x:c r="I6" s="476" t="str">
        <x:v>frontend/src/contexts/AuthProvider.tsx; services/api</x:v>
      </x:c>
      <x:c r="J6" s="476" t="str">
        <x:v>Login/restore/refresh/logout; 401/403</x:v>
      </x:c>
      <x:c r="K6" s="477" t="str">
        <x:v>Vercel</x:v>
      </x:c>
    </x:row>
    <x:row r="7" ht="66" customHeight="1">
      <x:c r="A7" s="475" t="str">
        <x:v>API / middleware</x:v>
      </x:c>
      <x:c r="B7" s="476" t="str">
        <x:v>Express 4.21, Helmet, CORS, rate-limit, sanitización, error handler</x:v>
      </x:c>
      <x:c r="C7" s="476" t="str">
        <x:v>Exponer contratos HTTP y controles transversales</x:v>
      </x:c>
      <x:c r="D7" s="476" t="str">
        <x:v>Controllers/services/Prisma/ML</x:v>
      </x:c>
      <x:c r="E7" s="476" t="str">
        <x:v>HTTP request autenticada</x:v>
      </x:c>
      <x:c r="F7" s="476" t="str">
        <x:v>Respuesta API controlada</x:v>
      </x:c>
      <x:c r="G7" s="476" t="str">
        <x:v>Compatibilidad, seguridad, fiabilidad, eficiencia</x:v>
      </x:c>
      <x:c r="H7" s="476" t="str">
        <x:v>CORS permitido, rate limit, sanitize, error centralizado</x:v>
      </x:c>
      <x:c r="I7" s="476" t="str">
        <x:v>backend/src/index.ts; middleware; routes</x:v>
      </x:c>
      <x:c r="J7" s="476" t="str">
        <x:v>Smoke 67/67; seguridad; integración</x:v>
      </x:c>
      <x:c r="K7" s="477" t="str">
        <x:v>Railway / localhost:4000</x:v>
      </x:c>
    </x:row>
    <x:row r="8" ht="66" customHeight="1">
      <x:c r="A8" s="475" t="str">
        <x:v>Controladores / servicios</x:v>
      </x:c>
      <x:c r="B8" s="476" t="str">
        <x:v>TypeScript controllers/services/validators</x:v>
      </x:c>
      <x:c r="C8" s="476" t="str">
        <x:v>Reglas de negocio, scopes, validación, orquestación</x:v>
      </x:c>
      <x:c r="D8" s="476" t="str">
        <x:v>Prisma/MySQL + ml-client</x:v>
      </x:c>
      <x:c r="E8" s="476" t="str">
        <x:v>DTO + identidad/rol</x:v>
      </x:c>
      <x:c r="F8" s="476" t="str">
        <x:v>Operación de dominio</x:v>
      </x:c>
      <x:c r="G8" s="476" t="str">
        <x:v>Mantenibilidad, adecuación funcional, fiabilidad</x:v>
      </x:c>
      <x:c r="H8" s="476" t="str">
        <x:v>Separar ruta/controlador/servicio/validator; scopes por rol</x:v>
      </x:c>
      <x:c r="I8" s="476" t="str">
        <x:v>backend/src/controllers; services; validators</x:v>
      </x:c>
      <x:c r="J8" s="476" t="str">
        <x:v>Backend 81/81 + regresión</x:v>
      </x:c>
      <x:c r="K8" s="477" t="str">
        <x:v>Railway</x:v>
      </x:c>
    </x:row>
    <x:row r="9" ht="66" customHeight="1">
      <x:c r="A9" s="475" t="str">
        <x:v>Persistencia</x:v>
      </x:c>
      <x:c r="B9" s="476" t="str">
        <x:v>Prisma 6.3.1 + MySQL 8</x:v>
      </x:c>
      <x:c r="C9" s="476" t="str">
        <x:v>52 modelos, integridad, índices, relaciones, trazabilidad</x:v>
      </x:c>
      <x:c r="D9" s="476" t="str">
        <x:v>Controllers/services</x:v>
      </x:c>
      <x:c r="E9" s="476" t="str">
        <x:v>Datos validados</x:v>
      </x:c>
      <x:c r="F9" s="476" t="str">
        <x:v>Registros persistentes</x:v>
      </x:c>
      <x:c r="G9" s="476" t="str">
        <x:v>Fiabilidad, seguridad, mantenibilidad, eficiencia</x:v>
      </x:c>
      <x:c r="H9" s="476" t="str">
        <x:v>migrate deploy; no reset/drop automático en producción</x:v>
      </x:c>
      <x:c r="I9" s="476" t="str">
        <x:v>backend/prisma/schema.prisma; migrations</x:v>
      </x:c>
      <x:c r="J9" s="476" t="str">
        <x:v>prisma validate/generate; integridad; restore</x:v>
      </x:c>
      <x:c r="K9" s="477" t="str">
        <x:v>Railway MySQL / Docker local</x:v>
      </x:c>
    </x:row>
    <x:row r="10" ht="66" customHeight="1">
      <x:c r="A10" s="475" t="str">
        <x:v>Servicio ML</x:v>
      </x:c>
      <x:c r="B10" s="476" t="str">
        <x:v>Python 3.11+, FastAPI, scikit-learn/XGBoost, joblib</x:v>
      </x:c>
      <x:c r="C10" s="476" t="str">
        <x:v>Entrenamiento/inferencia desacoplada; no expuesto al navegador</x:v>
      </x:c>
      <x:c r="D10" s="476" t="str">
        <x:v>Backend mediante ML_SERVICE_URL</x:v>
      </x:c>
      <x:c r="E10" s="476" t="str">
        <x:v>Vector de features</x:v>
      </x:c>
      <x:c r="F10" s="476" t="str">
        <x:v>Probabilidad/nivel/factores si existe modelo</x:v>
      </x:c>
      <x:c r="G10" s="476" t="str">
        <x:v>Compatibilidad, fiabilidad, mantenibilidad, portabilidad</x:v>
      </x:c>
      <x:c r="H10" s="476" t="str">
        <x:v>ML_DATA_MODE=real exige dataset autorizado; versionar artefacto</x:v>
      </x:c>
      <x:c r="I10" s="476" t="str">
        <x:v>machine-learning/app; train.py; evaluate.py</x:v>
      </x:c>
      <x:c r="J10" s="476" t="str">
        <x:v>ML contract 7/7 + evaluación científica real</x:v>
      </x:c>
      <x:c r="K10" s="477" t="str">
        <x:v>Servicio independiente / localhost:5000</x:v>
      </x:c>
    </x:row>
    <x:row r="11" ht="66" customHeight="1">
      <x:c r="A11" s="475" t="str">
        <x:v>QA / análisis estático</x:v>
      </x:c>
      <x:c r="B11" s="476" t="str">
        <x:v>node:test/tsx, pytest, Playwright, qa:pipeline, SonarCloud/SonarQube</x:v>
      </x:c>
      <x:c r="C11" s="476" t="str">
        <x:v>Verificación estática/dinámica, regresión y deuda técnica</x:v>
      </x:c>
      <x:c r="D11" s="476" t="str">
        <x:v>Todo el monorepo</x:v>
      </x:c>
      <x:c r="E11" s="476" t="str">
        <x:v>Código/configuración/build</x:v>
      </x:c>
      <x:c r="F11" s="476" t="str">
        <x:v>Logs, fallos, quality findings</x:v>
      </x:c>
      <x:c r="G11" s="476" t="str">
        <x:v>Mantenibilidad, seguridad, fiabilidad</x:v>
      </x:c>
      <x:c r="H11" s="476" t="str">
        <x:v>Hallazgos críticos deben alimentar P20 y regresión</x:v>
      </x:c>
      <x:c r="I11" s="476" t="str">
        <x:v>plan-pruebas; sonar-project.properties; scripts/evidence</x:v>
      </x:c>
      <x:c r="J11" s="476" t="str">
        <x:v>type-check, lint, build, tests, Sonar</x:v>
      </x:c>
      <x:c r="K11" s="477" t="str">
        <x:v>Local/CI</x:v>
      </x:c>
    </x:row>
    <x:row r="12" ht="66" customHeight="1">
      <x:c r="A12" s="478" t="str">
        <x:v>DevOps / despliegue</x:v>
      </x:c>
      <x:c r="B12" s="479" t="str">
        <x:v>GitHub, Vercel, Railway, Docker Compose</x:v>
      </x:c>
      <x:c r="C12" s="479" t="str">
        <x:v>Versionar, construir, desplegar, monitorear y recuperar</x:v>
      </x:c>
      <x:c r="D12" s="479" t="str">
        <x:v>Frontend/API/DB/ML</x:v>
      </x:c>
      <x:c r="E12" s="479" t="str">
        <x:v>Commit + variables + artefactos</x:v>
      </x:c>
      <x:c r="F12" s="479" t="str">
        <x:v>Versión desplegada/health</x:v>
      </x:c>
      <x:c r="G12" s="479" t="str">
        <x:v>Portabilidad, fiabilidad, mantenibilidad, seguridad</x:v>
      </x:c>
      <x:c r="H12" s="479" t="str">
        <x:v>Variables por entorno; health/smoke; rollback y backups</x:v>
      </x:c>
      <x:c r="I12" s="479" t="str">
        <x:v>package.json; docker-compose.yml; docs/DEPLOY.md</x:v>
      </x:c>
      <x:c r="J12" s="479" t="str">
        <x:v>Smoke/health + logs + rollback test</x:v>
      </x:c>
      <x:c r="K12" s="480" t="str">
        <x:v>Vercel/Railway/Docker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30" hidden="0" customWidth="1"/>
    <x:col min="4" max="4" width="24" hidden="0" customWidth="1"/>
    <x:col min="5" max="5" width="24" hidden="0" customWidth="1"/>
    <x:col min="6" max="6" width="36" hidden="0" customWidth="1"/>
    <x:col min="7" max="7" width="38" hidden="0" customWidth="1"/>
    <x:col min="8" max="8" width="42" hidden="0" customWidth="1"/>
    <x:col min="9" max="9" width="28" hidden="0" customWidth="1"/>
    <x:col min="10" max="10" width="30" hidden="0" customWidth="1"/>
    <x:col min="11" max="11" width="34" hidden="0" customWidth="1"/>
    <x:col min="12" max="12" width="32" hidden="0" customWidth="1"/>
    <x:col min="13" max="13" width="24" hidden="0" customWidth="1"/>
    <x:col min="14" max="14" width="38" hidden="0" customWidth="1"/>
  </x:cols>
  <x:sheetData>
    <x:row r="1" ht="34" customHeight="1">
      <x:c r="A1" s="444" t="str">
        <x:v>Matriz proceso × artefactos de ingeniería</x:v>
      </x:c>
      <x:c r="B1" s="444"/>
      <x:c r="C1" s="444"/>
      <x:c r="D1" s="444"/>
      <x:c r="E1" s="444"/>
      <x:c r="F1" s="444"/>
      <x:c r="G1" s="444"/>
      <x:c r="H1" s="444"/>
      <x:c r="I1" s="444"/>
      <x:c r="J1" s="444"/>
      <x:c r="K1" s="444"/>
      <x:c r="L1" s="444"/>
      <x:c r="M1" s="444"/>
      <x:c r="N1" s="444"/>
    </x:row>
    <x:row r="2" ht="42" customHeight="1">
      <x:c r="A2" s="448" t="str">
        <x:v>Une los 20 BPMN con requisitos, interfaz, API, BD, UML, pruebas, indicadores y mantenimiento. Sirve como puente entre Bizagi y el código real.</x:v>
      </x:c>
      <x:c r="B2" s="448"/>
      <x:c r="C2" s="448"/>
      <x:c r="D2" s="448"/>
      <x:c r="E2" s="448"/>
      <x:c r="F2" s="448"/>
      <x:c r="G2" s="448"/>
      <x:c r="H2" s="448"/>
      <x:c r="I2" s="448"/>
      <x:c r="J2" s="448"/>
      <x:c r="K2" s="448"/>
      <x:c r="L2" s="448"/>
      <x:c r="M2" s="448"/>
      <x:c r="N2" s="448"/>
    </x:row>
    <x:row r="4" ht="48" customHeight="1">
      <x:c r="A4" s="453" t="str">
        <x:v>Proceso</x:v>
      </x:c>
      <x:c r="B4" s="453" t="str">
        <x:v>Macroproceso</x:v>
      </x:c>
      <x:c r="C4" s="453" t="str">
        <x:v>Nombre</x:v>
      </x:c>
      <x:c r="D4" s="453" t="str">
        <x:v>RF vinculados</x:v>
      </x:c>
      <x:c r="E4" s="453" t="str">
        <x:v>RNF vinculados</x:v>
      </x:c>
      <x:c r="F4" s="453" t="str">
        <x:v>UI / interfaz</x:v>
      </x:c>
      <x:c r="G4" s="453" t="str">
        <x:v>API / servicio</x:v>
      </x:c>
      <x:c r="H4" s="453" t="str">
        <x:v>BD / modelos</x:v>
      </x:c>
      <x:c r="I4" s="453" t="str">
        <x:v>UML / caso de uso</x:v>
      </x:c>
      <x:c r="J4" s="453" t="str">
        <x:v>UML / secuencia o flujo</x:v>
      </x:c>
      <x:c r="K4" s="453" t="str">
        <x:v>Prueba dominante</x:v>
      </x:c>
      <x:c r="L4" s="453" t="str">
        <x:v>Indicador / tesis</x:v>
      </x:c>
      <x:c r="M4" s="453" t="str">
        <x:v>Manual / sección Anexo</x:v>
      </x:c>
      <x:c r="N4" s="453" t="str">
        <x:v>Fuente</x:v>
      </x:c>
    </x:row>
    <x:row r="5" ht="66" customHeight="1">
      <x:c r="A5" s="472" t="str">
        <x:v>P01</x:v>
      </x:c>
      <x:c r="B5" s="473" t="str">
        <x:v>MP01</x:v>
      </x:c>
      <x:c r="C5" s="473" t="str">
        <x:v>Gestión de matrícula</x:v>
      </x:c>
      <x:c r="D5" s="473" t="str">
        <x:v>RF-009</x:v>
      </x:c>
      <x:c r="E5" s="473" t="str">
        <x:v>RNF integridad/seguridad</x:v>
      </x:c>
      <x:c r="F5" s="473" t="str">
        <x:v>EnrollmentsView</x:v>
      </x:c>
      <x:c r="G5" s="473" t="str">
        <x:v>/matriculas</x:v>
      </x:c>
      <x:c r="H5" s="473" t="str">
        <x:v>Matricula; Enrollment; Student; Seccion; AnioLectivo</x:v>
      </x:c>
      <x:c r="I5" s="473" t="str">
        <x:v>Caso de uso matrícula</x:v>
      </x:c>
      <x:c r="J5" s="473" t="str">
        <x:v>Secuencia matrícula</x:v>
      </x:c>
      <x:c r="K5" s="473" t="str">
        <x:v>Funcional + transacción + RBAC</x:v>
      </x:c>
      <x:c r="L5" s="473" t="str">
        <x:v>Continuidad y progreso</x:v>
      </x:c>
      <x:c r="M5" s="473" t="str">
        <x:v>9.1.5 / 4.2</x:v>
      </x:c>
      <x:c r="N5" s="474" t="str">
        <x:v>Anexo 07 + GitHub dataset-definitivo-2026</x:v>
      </x:c>
    </x:row>
    <x:row r="6" ht="66" customHeight="1">
      <x:c r="A6" s="475" t="str">
        <x:v>P02</x:v>
      </x:c>
      <x:c r="B6" s="476" t="str">
        <x:v>MP01</x:v>
      </x:c>
      <x:c r="C6" s="476" t="str">
        <x:v>Gestión de estudiantes</x:v>
      </x:c>
      <x:c r="D6" s="476" t="str">
        <x:v>RF-011</x:v>
      </x:c>
      <x:c r="E6" s="476" t="str">
        <x:v>RNF-004/012</x:v>
      </x:c>
      <x:c r="F6" s="476" t="str">
        <x:v>StudentsView; ProfessorStudentsView</x:v>
      </x:c>
      <x:c r="G6" s="476" t="str">
        <x:v>/students; /profesor/estudiantes</x:v>
      </x:c>
      <x:c r="H6" s="476" t="str">
        <x:v>Student; User; Seccion; Matricula</x:v>
      </x:c>
      <x:c r="I6" s="476" t="str">
        <x:v>Casos Director/Profesor</x:v>
      </x:c>
      <x:c r="J6" s="476" t="str">
        <x:v>Secuencia CRUD estudiante</x:v>
      </x:c>
      <x:c r="K6" s="476" t="str">
        <x:v>CRUD + scope + validación</x:v>
      </x:c>
      <x:c r="L6" s="476" t="str">
        <x:v>Trayectoria académica</x:v>
      </x:c>
      <x:c r="M6" s="476" t="str">
        <x:v>9.1.3 / 4.3</x:v>
      </x:c>
      <x:c r="N6" s="477" t="str">
        <x:v>Anexo 07 + GitHub dataset-definitivo-2026</x:v>
      </x:c>
    </x:row>
    <x:row r="7" ht="66" customHeight="1">
      <x:c r="A7" s="475" t="str">
        <x:v>P03</x:v>
      </x:c>
      <x:c r="B7" s="476" t="str">
        <x:v>MP01</x:v>
      </x:c>
      <x:c r="C7" s="476" t="str">
        <x:v>Gestión de docentes</x:v>
      </x:c>
      <x:c r="D7" s="476" t="str">
        <x:v>RF-012/013</x:v>
      </x:c>
      <x:c r="E7" s="476" t="str">
        <x:v>RNF-004/012</x:v>
      </x:c>
      <x:c r="F7" s="476" t="str">
        <x:v>TeachersView</x:v>
      </x:c>
      <x:c r="G7" s="476" t="str">
        <x:v>/teachers</x:v>
      </x:c>
      <x:c r="H7" s="476" t="str">
        <x:v>Teacher; User; Role</x:v>
      </x:c>
      <x:c r="I7" s="476" t="str">
        <x:v>Caso Director</x:v>
      </x:c>
      <x:c r="J7" s="476" t="str">
        <x:v>Secuencia creación cuenta</x:v>
      </x:c>
      <x:c r="K7" s="476" t="str">
        <x:v>CRUD + seguridad</x:v>
      </x:c>
      <x:c r="L7" s="476" t="str">
        <x:v>Gestión operativa</x:v>
      </x:c>
      <x:c r="M7" s="476" t="str">
        <x:v>9.1.4</x:v>
      </x:c>
      <x:c r="N7" s="477" t="str">
        <x:v>Anexo 07 + GitHub dataset-definitivo-2026</x:v>
      </x:c>
    </x:row>
    <x:row r="8" ht="66" customHeight="1">
      <x:c r="A8" s="475" t="str">
        <x:v>P04</x:v>
      </x:c>
      <x:c r="B8" s="476" t="str">
        <x:v>MP01</x:v>
      </x:c>
      <x:c r="C8" s="476" t="str">
        <x:v>Asignación docente y tutoría</x:v>
      </x:c>
      <x:c r="D8" s="476" t="str">
        <x:v>RF-006/007/008/010</x:v>
      </x:c>
      <x:c r="E8" s="476" t="str">
        <x:v>RNF-004</x:v>
      </x:c>
      <x:c r="F8" s="476" t="str">
        <x:v>TeacherAssignmentsView; CoursesView</x:v>
      </x:c>
      <x:c r="G8" s="476" t="str">
        <x:v>/academic/*; /teacher-assignments</x:v>
      </x:c>
      <x:c r="H8" s="476" t="str">
        <x:v>Grado; Seccion; Course; TutorSeccion; TeacherCourseAssignment</x:v>
      </x:c>
      <x:c r="I8" s="476" t="str">
        <x:v>Caso estructura</x:v>
      </x:c>
      <x:c r="J8" s="476" t="str">
        <x:v>Secuencia asignación</x:v>
      </x:c>
      <x:c r="K8" s="476" t="str">
        <x:v>Reglas + integridad</x:v>
      </x:c>
      <x:c r="L8" s="476" t="str">
        <x:v>Soporte de continuidad</x:v>
      </x:c>
      <x:c r="M8" s="476" t="str">
        <x:v>4.2 / Bizagi P04</x:v>
      </x:c>
      <x:c r="N8" s="477" t="str">
        <x:v>Anexo 07 + GitHub dataset-definitivo-2026</x:v>
      </x:c>
    </x:row>
    <x:row r="9" ht="66" customHeight="1">
      <x:c r="A9" s="475" t="str">
        <x:v>P05</x:v>
      </x:c>
      <x:c r="B9" s="476" t="str">
        <x:v>MP02</x:v>
      </x:c>
      <x:c r="C9" s="476" t="str">
        <x:v>Registro de calificaciones</x:v>
      </x:c>
      <x:c r="D9" s="476" t="str">
        <x:v>RF-015/016/018/019</x:v>
      </x:c>
      <x:c r="E9" s="476" t="str">
        <x:v>RNF-004/012</x:v>
      </x:c>
      <x:c r="F9" s="476" t="str">
        <x:v>ProfessorGradesView; StudentGradesView</x:v>
      </x:c>
      <x:c r="G9" s="476" t="str">
        <x:v>/grades; /profesor/notas; /estudiante/notas</x:v>
      </x:c>
      <x:c r="H9" s="476" t="str">
        <x:v>Grade; AcademicHistory; Enrollment; PeriodoAcademico</x:v>
      </x:c>
      <x:c r="I9" s="476" t="str">
        <x:v>Caso notas</x:v>
      </x:c>
      <x:c r="J9" s="476" t="str">
        <x:v>Secuencia nota</x:v>
      </x:c>
      <x:c r="K9" s="476" t="str">
        <x:v>Límites + scope + regresión</x:v>
      </x:c>
      <x:c r="L9" s="476" t="str">
        <x:v>Rendimiento/desaprobación</x:v>
      </x:c>
      <x:c r="M9" s="476" t="str">
        <x:v>9.1.6</x:v>
      </x:c>
      <x:c r="N9" s="477" t="str">
        <x:v>Anexo 07 + GitHub dataset-definitivo-2026</x:v>
      </x:c>
    </x:row>
    <x:row r="10" ht="66" customHeight="1">
      <x:c r="A10" s="475" t="str">
        <x:v>P06</x:v>
      </x:c>
      <x:c r="B10" s="476" t="str">
        <x:v>MP02</x:v>
      </x:c>
      <x:c r="C10" s="476" t="str">
        <x:v>Registro de asistencia</x:v>
      </x:c>
      <x:c r="D10" s="476" t="str">
        <x:v>RF-017/018/019</x:v>
      </x:c>
      <x:c r="E10" s="476" t="str">
        <x:v>RNF-004/012</x:v>
      </x:c>
      <x:c r="F10" s="476" t="str">
        <x:v>ProfessorAttendanceView; StudentAttendanceView</x:v>
      </x:c>
      <x:c r="G10" s="476" t="str">
        <x:v>/attendance; /profesor/asistencia; /estudiante/asistencia</x:v>
      </x:c>
      <x:c r="H10" s="476" t="str">
        <x:v>Attendance; ResumenAsistencia</x:v>
      </x:c>
      <x:c r="I10" s="476" t="str">
        <x:v>Caso asistencia</x:v>
      </x:c>
      <x:c r="J10" s="476" t="str">
        <x:v>Secuencia asistencia</x:v>
      </x:c>
      <x:c r="K10" s="476" t="str">
        <x:v>Masiva + integridad + scope</x:v>
      </x:c>
      <x:c r="L10" s="476" t="str">
        <x:v>Asistencia</x:v>
      </x:c>
      <x:c r="M10" s="476" t="str">
        <x:v>9.1.7</x:v>
      </x:c>
      <x:c r="N10" s="477" t="str">
        <x:v>Anexo 07 + GitHub dataset-definitivo-2026</x:v>
      </x:c>
    </x:row>
    <x:row r="11" ht="66" customHeight="1">
      <x:c r="A11" s="475" t="str">
        <x:v>P07</x:v>
      </x:c>
      <x:c r="B11" s="476" t="str">
        <x:v>MP02</x:v>
      </x:c>
      <x:c r="C11" s="476" t="str">
        <x:v>Registro de actividad LMS</x:v>
      </x:c>
      <x:c r="D11" s="476" t="str">
        <x:v>RF-020</x:v>
      </x:c>
      <x:c r="E11" s="476" t="str">
        <x:v>RNF-004</x:v>
      </x:c>
      <x:c r="F11" s="476" t="str">
        <x:v>LearningView; ObservedProgressView</x:v>
      </x:c>
      <x:c r="G11" s="476" t="str">
        <x:v>/learning; /materials; /activities; /lms/*</x:v>
      </x:c>
      <x:c r="H11" s="476" t="str">
        <x:v>LmsEvent; CourseResource; AcademicActivity; ActivityProgress</x:v>
      </x:c>
      <x:c r="I11" s="476" t="str">
        <x:v>Caso LMS</x:v>
      </x:c>
      <x:c r="J11" s="476" t="str">
        <x:v>Secuencia evento/progreso</x:v>
      </x:c>
      <x:c r="K11" s="476" t="str">
        <x:v>Integración + agregados</x:v>
      </x:c>
      <x:c r="L11" s="476" t="str">
        <x:v>Engagement LMS</x:v>
      </x:c>
      <x:c r="M11" s="476" t="str">
        <x:v>9.1.8 / 8.1</x:v>
      </x:c>
      <x:c r="N11" s="477" t="str">
        <x:v>Anexo 07 + GitHub dataset-definitivo-2026</x:v>
      </x:c>
    </x:row>
    <x:row r="12" ht="66" customHeight="1">
      <x:c r="A12" s="475" t="str">
        <x:v>P08</x:v>
      </x:c>
      <x:c r="B12" s="476" t="str">
        <x:v>MP03</x:v>
      </x:c>
      <x:c r="C12" s="476" t="str">
        <x:v>Integración de datos académicos y LMS</x:v>
      </x:c>
      <x:c r="D12" s="476" t="str">
        <x:v>RF-021 soporte</x:v>
      </x:c>
      <x:c r="E12" s="476" t="str">
        <x:v>RNF-016/017</x:v>
      </x:c>
      <x:c r="F12" s="476" t="str">
        <x:v>Pipeline/EDA</x:v>
      </x:c>
      <x:c r="G12" s="476" t="str">
        <x:v>Proceso de datos</x:v>
      </x:c>
      <x:c r="H12" s="476" t="str">
        <x:v>Student; Grade; Attendance; Lms*; MlDataset</x:v>
      </x:c>
      <x:c r="I12" s="476" t="str">
        <x:v>Caso datos/ML</x:v>
      </x:c>
      <x:c r="J12" s="476" t="str">
        <x:v>Flujo CRISP-DM</x:v>
      </x:c>
      <x:c r="K12" s="476" t="str">
        <x:v>Calidad de datos</x:v>
      </x:c>
      <x:c r="L12" s="476" t="str">
        <x:v>Integración de datos</x:v>
      </x:c>
      <x:c r="M12" s="476" t="str">
        <x:v>8.1</x:v>
      </x:c>
      <x:c r="N12" s="477" t="str">
        <x:v>Anexo 07 + GitHub dataset-definitivo-2026</x:v>
      </x:c>
    </x:row>
    <x:row r="13" ht="66" customHeight="1">
      <x:c r="A13" s="475" t="str">
        <x:v>P09</x:v>
      </x:c>
      <x:c r="B13" s="476" t="str">
        <x:v>MP03</x:v>
      </x:c>
      <x:c r="C13" s="476" t="str">
        <x:v>Control calidad y preprocesamiento</x:v>
      </x:c>
      <x:c r="D13" s="476" t="str">
        <x:v>RF-021 soporte</x:v>
      </x:c>
      <x:c r="E13" s="476" t="str">
        <x:v>RNF-016/017/018</x:v>
      </x:c>
      <x:c r="F13" s="476" t="str">
        <x:v>Pipeline preprocessing</x:v>
      </x:c>
      <x:c r="G13" s="476" t="str">
        <x:v>Scripts ML</x:v>
      </x:c>
      <x:c r="H13" s="476" t="str">
        <x:v>MlDataset; MlFeatureDef</x:v>
      </x:c>
      <x:c r="I13" s="476" t="str">
        <x:v>Caso preparación</x:v>
      </x:c>
      <x:c r="J13" s="476" t="str">
        <x:v>Pipeline features</x:v>
      </x:c>
      <x:c r="K13" s="476" t="str">
        <x:v>Leakage + reproducibilidad</x:v>
      </x:c>
      <x:c r="L13" s="476" t="str">
        <x:v>Calidad/transformación</x:v>
      </x:c>
      <x:c r="M13" s="476" t="str">
        <x:v>8.2</x:v>
      </x:c>
      <x:c r="N13" s="477" t="str">
        <x:v>Anexo 07 + GitHub dataset-definitivo-2026</x:v>
      </x:c>
    </x:row>
    <x:row r="14" ht="66" customHeight="1">
      <x:c r="A14" s="475" t="str">
        <x:v>P10</x:v>
      </x:c>
      <x:c r="B14" s="476" t="str">
        <x:v>MP03</x:v>
      </x:c>
      <x:c r="C14" s="476" t="str">
        <x:v>Entrenamiento de modelos</x:v>
      </x:c>
      <x:c r="D14" s="476" t="str">
        <x:v>RF-027 soporte</x:v>
      </x:c>
      <x:c r="E14" s="476" t="str">
        <x:v>RNF-018</x:v>
      </x:c>
      <x:c r="F14" s="476" t="str">
        <x:v>train.py</x:v>
      </x:c>
      <x:c r="G14" s="476" t="str">
        <x:v>ML pipeline</x:v>
      </x:c>
      <x:c r="H14" s="476" t="str">
        <x:v>MlEntrenamiento; MlModelo</x:v>
      </x:c>
      <x:c r="I14" s="476" t="str">
        <x:v>Caso entrenamiento</x:v>
      </x:c>
      <x:c r="J14" s="476" t="str">
        <x:v>Secuencia entrenamiento</x:v>
      </x:c>
      <x:c r="K14" s="476" t="str">
        <x:v>Unitarias + reproducibilidad</x:v>
      </x:c>
      <x:c r="L14" s="476" t="str">
        <x:v>Modelado Ensemble</x:v>
      </x:c>
      <x:c r="M14" s="476" t="str">
        <x:v>8.3</x:v>
      </x:c>
      <x:c r="N14" s="477" t="str">
        <x:v>Anexo 07 + GitHub dataset-definitivo-2026</x:v>
      </x:c>
    </x:row>
    <x:row r="15" ht="66" customHeight="1">
      <x:c r="A15" s="475" t="str">
        <x:v>P11</x:v>
      </x:c>
      <x:c r="B15" s="476" t="str">
        <x:v>MP03</x:v>
      </x:c>
      <x:c r="C15" s="476" t="str">
        <x:v>Evaluación y comparación</x:v>
      </x:c>
      <x:c r="D15" s="476" t="str">
        <x:v>RF-027</x:v>
      </x:c>
      <x:c r="E15" s="476" t="str">
        <x:v>RNF-018</x:v>
      </x:c>
      <x:c r="F15" s="476" t="str">
        <x:v>Reporte métricas</x:v>
      </x:c>
      <x:c r="G15" s="476" t="str">
        <x:v>/ml/metrics</x:v>
      </x:c>
      <x:c r="H15" s="476" t="str">
        <x:v>MlMetrica; MlModelo</x:v>
      </x:c>
      <x:c r="I15" s="476" t="str">
        <x:v>Caso evaluación</x:v>
      </x:c>
      <x:c r="J15" s="476" t="str">
        <x:v>Secuencia evaluación</x:v>
      </x:c>
      <x:c r="K15" s="476" t="str">
        <x:v>Evaluación científica</x:v>
      </x:c>
      <x:c r="L15" s="476" t="str">
        <x:v>Desempeño/generalización</x:v>
      </x:c>
      <x:c r="M15" s="476" t="str">
        <x:v>8.4</x:v>
      </x:c>
      <x:c r="N15" s="477" t="str">
        <x:v>Anexo 07 + GitHub dataset-definitivo-2026</x:v>
      </x:c>
    </x:row>
    <x:row r="16" ht="66" customHeight="1">
      <x:c r="A16" s="475" t="str">
        <x:v>P12</x:v>
      </x:c>
      <x:c r="B16" s="476" t="str">
        <x:v>MP03</x:v>
      </x:c>
      <x:c r="C16" s="476" t="str">
        <x:v>Generación de predicción</x:v>
      </x:c>
      <x:c r="D16" s="476" t="str">
        <x:v>RF-021–027</x:v>
      </x:c>
      <x:c r="E16" s="476" t="str">
        <x:v>RNF-015/020</x:v>
      </x:c>
      <x:c r="F16" s="476" t="str">
        <x:v>PredictionView + variantes</x:v>
      </x:c>
      <x:c r="G16" s="476" t="str">
        <x:v>/predict; /predictions; /ml/metrics</x:v>
      </x:c>
      <x:c r="H16" s="476" t="str">
        <x:v>Prediction; MlFeatureDef; MlModelo; PrediccionFeatureSnapshot; PrediccionFactor</x:v>
      </x:c>
      <x:c r="I16" s="476" t="str">
        <x:v>Caso predicción</x:v>
      </x:c>
      <x:c r="J16" s="476" t="str">
        <x:v>Secuencia predicción</x:v>
      </x:c>
      <x:c r="K16" s="476" t="str">
        <x:v>API↔ML + scope</x:v>
      </x:c>
      <x:c r="L16" s="476" t="str">
        <x:v>Probabilidad/nivel/detección</x:v>
      </x:c>
      <x:c r="M16" s="476" t="str">
        <x:v>8.5 / 9.1.9</x:v>
      </x:c>
      <x:c r="N16" s="477" t="str">
        <x:v>Anexo 07 + GitHub dataset-definitivo-2026</x:v>
      </x:c>
    </x:row>
    <x:row r="17" ht="66" customHeight="1">
      <x:c r="A17" s="475" t="str">
        <x:v>P13</x:v>
      </x:c>
      <x:c r="B17" s="476" t="str">
        <x:v>MP04</x:v>
      </x:c>
      <x:c r="C17" s="476" t="str">
        <x:v>Gestión de alertas tempranas</x:v>
      </x:c>
      <x:c r="D17" s="476" t="str">
        <x:v>RF-028–031</x:v>
      </x:c>
      <x:c r="E17" s="476" t="str">
        <x:v>RNF-015</x:v>
      </x:c>
      <x:c r="F17" s="476" t="str">
        <x:v>AlertsView</x:v>
      </x:c>
      <x:c r="G17" s="476" t="str">
        <x:v>/alerts; /recommendations</x:v>
      </x:c>
      <x:c r="H17" s="476" t="str">
        <x:v>Alert; AlertaHistorial; AlertaFactor; AiRecommendation</x:v>
      </x:c>
      <x:c r="I17" s="476" t="str">
        <x:v>Caso alerta</x:v>
      </x:c>
      <x:c r="J17" s="476" t="str">
        <x:v>Secuencia alerta</x:v>
      </x:c>
      <x:c r="K17" s="476" t="str">
        <x:v>Regla + seguimiento</x:v>
      </x:c>
      <x:c r="L17" s="476" t="str">
        <x:v>Alertas/priorización</x:v>
      </x:c>
      <x:c r="M17" s="476" t="str">
        <x:v>9.1.10</x:v>
      </x:c>
      <x:c r="N17" s="477" t="str">
        <x:v>Anexo 07 + GitHub dataset-definitivo-2026</x:v>
      </x:c>
    </x:row>
    <x:row r="18" ht="66" customHeight="1">
      <x:c r="A18" s="475" t="str">
        <x:v>P14</x:v>
      </x:c>
      <x:c r="B18" s="476" t="str">
        <x:v>MP04</x:v>
      </x:c>
      <x:c r="C18" s="476" t="str">
        <x:v>Dashboard por rol</x:v>
      </x:c>
      <x:c r="D18" s="476" t="str">
        <x:v>RF-032–034/037</x:v>
      </x:c>
      <x:c r="E18" s="476" t="str">
        <x:v>RNF-010/011</x:v>
      </x:c>
      <x:c r="F18" s="476" t="str">
        <x:v>RoleDashboard; StudentDashboard</x:v>
      </x:c>
      <x:c r="G18" s="476" t="str">
        <x:v>/dashboard/kpis; /profesor/dashboard; /estudiante/dashboard</x:v>
      </x:c>
      <x:c r="H18" s="476" t="str">
        <x:v>DashboardSnapshot + agregados</x:v>
      </x:c>
      <x:c r="I18" s="476" t="str">
        <x:v>Casos por rol</x:v>
      </x:c>
      <x:c r="J18" s="476" t="str">
        <x:v>Secuencia dashboard</x:v>
      </x:c>
      <x:c r="K18" s="476" t="str">
        <x:v>Datos + UAT + rendimiento</x:v>
      </x:c>
      <x:c r="L18" s="476" t="str">
        <x:v>Indicadores operacionalización</x:v>
      </x:c>
      <x:c r="M18" s="476" t="str">
        <x:v>8.5.4 / 9.1.2</x:v>
      </x:c>
      <x:c r="N18" s="477" t="str">
        <x:v>Anexo 07 + GitHub dataset-definitivo-2026</x:v>
      </x:c>
    </x:row>
    <x:row r="19" ht="66" customHeight="1">
      <x:c r="A19" s="475" t="str">
        <x:v>P15</x:v>
      </x:c>
      <x:c r="B19" s="476" t="str">
        <x:v>MP04</x:v>
      </x:c>
      <x:c r="C19" s="476" t="str">
        <x:v>Generación de reportes</x:v>
      </x:c>
      <x:c r="D19" s="476" t="str">
        <x:v>RF-035–037</x:v>
      </x:c>
      <x:c r="E19" s="476" t="str">
        <x:v>RNF-010</x:v>
      </x:c>
      <x:c r="F19" s="476" t="str">
        <x:v>ReportsView</x:v>
      </x:c>
      <x:c r="G19" s="476" t="str">
        <x:v>/reports; /dashboard-snapshot</x:v>
      </x:c>
      <x:c r="H19" s="476" t="str">
        <x:v>Report; DashboardSnapshot</x:v>
      </x:c>
      <x:c r="I19" s="476" t="str">
        <x:v>Caso reporte</x:v>
      </x:c>
      <x:c r="J19" s="476" t="str">
        <x:v>Secuencia reporte</x:v>
      </x:c>
      <x:c r="K19" s="476" t="str">
        <x:v>Exportación + permisos</x:v>
      </x:c>
      <x:c r="L19" s="476" t="str">
        <x:v>Reportes/historial</x:v>
      </x:c>
      <x:c r="M19" s="476" t="str">
        <x:v>9.1.11</x:v>
      </x:c>
      <x:c r="N19" s="477" t="str">
        <x:v>Anexo 07 + GitHub dataset-definitivo-2026</x:v>
      </x:c>
    </x:row>
    <x:row r="20" ht="66" customHeight="1">
      <x:c r="A20" s="475" t="str">
        <x:v>P16</x:v>
      </x:c>
      <x:c r="B20" s="476" t="str">
        <x:v>MP04</x:v>
      </x:c>
      <x:c r="C20" s="476" t="str">
        <x:v>Mensajería académica</x:v>
      </x:c>
      <x:c r="D20" s="476" t="str">
        <x:v>RF-038–041</x:v>
      </x:c>
      <x:c r="E20" s="476" t="str">
        <x:v>RNF-004/011</x:v>
      </x:c>
      <x:c r="F20" s="476" t="str">
        <x:v>MensajeriaAcademicaView</x:v>
      </x:c>
      <x:c r="G20" s="476" t="str">
        <x:v>/messages; /announcements; /notifications</x:v>
      </x:c>
      <x:c r="H20" s="476" t="str">
        <x:v>MensajeSala; ChatMessage; MessageRead; Notification</x:v>
      </x:c>
      <x:c r="I20" s="476" t="str">
        <x:v>Caso mensajería</x:v>
      </x:c>
      <x:c r="J20" s="476" t="str">
        <x:v>Secuencia mensaje</x:v>
      </x:c>
      <x:c r="K20" s="476" t="str">
        <x:v>Permisos + lectura</x:v>
      </x:c>
      <x:c r="L20" s="476" t="str">
        <x:v>Trazabilidad operativa</x:v>
      </x:c>
      <x:c r="M20" s="476" t="str">
        <x:v>9.1.13</x:v>
      </x:c>
      <x:c r="N20" s="477" t="str">
        <x:v>Anexo 07 + GitHub dataset-definitivo-2026</x:v>
      </x:c>
    </x:row>
    <x:row r="21" ht="66" customHeight="1">
      <x:c r="A21" s="475" t="str">
        <x:v>P17</x:v>
      </x:c>
      <x:c r="B21" s="476" t="str">
        <x:v>MP01</x:v>
      </x:c>
      <x:c r="C21" s="476" t="str">
        <x:v>Autenticación y sesión</x:v>
      </x:c>
      <x:c r="D21" s="476" t="str">
        <x:v>RF-001–005/014</x:v>
      </x:c>
      <x:c r="E21" s="476" t="str">
        <x:v>RNF-001–004</x:v>
      </x:c>
      <x:c r="F21" s="476" t="str">
        <x:v>login/page.tsx; AuthProvider</x:v>
      </x:c>
      <x:c r="G21" s="476" t="str">
        <x:v>/auth/*</x:v>
      </x:c>
      <x:c r="H21" s="476" t="str">
        <x:v>Role; Permission; User; Session; IntentoLogin</x:v>
      </x:c>
      <x:c r="I21" s="476" t="str">
        <x:v>Caso acceso</x:v>
      </x:c>
      <x:c r="J21" s="476" t="str">
        <x:v>Secuencia login</x:v>
      </x:c>
      <x:c r="K21" s="476" t="str">
        <x:v>Seguridad + regresión</x:v>
      </x:c>
      <x:c r="L21" s="476" t="str">
        <x:v>Calidad/seguridad</x:v>
      </x:c>
      <x:c r="M21" s="476" t="str">
        <x:v>9.1.1</x:v>
      </x:c>
      <x:c r="N21" s="477" t="str">
        <x:v>Anexo 07 + GitHub dataset-definitivo-2026</x:v>
      </x:c>
    </x:row>
    <x:row r="22" ht="66" customHeight="1">
      <x:c r="A22" s="475" t="str">
        <x:v>P18</x:v>
      </x:c>
      <x:c r="B22" s="476" t="str">
        <x:v>MP01</x:v>
      </x:c>
      <x:c r="C22" s="476" t="str">
        <x:v>Auditoría y trazabilidad</x:v>
      </x:c>
      <x:c r="D22" s="476" t="str">
        <x:v>RF-042–046</x:v>
      </x:c>
      <x:c r="E22" s="476" t="str">
        <x:v>RNF-019</x:v>
      </x:c>
      <x:c r="F22" s="476" t="str">
        <x:v>AuditView; SettingsView</x:v>
      </x:c>
      <x:c r="G22" s="476" t="str">
        <x:v>/admin/*</x:v>
      </x:c>
      <x:c r="H22" s="476" t="str">
        <x:v>AuditLog; SystemConfig; User</x:v>
      </x:c>
      <x:c r="I22" s="476" t="str">
        <x:v>Caso auditoría</x:v>
      </x:c>
      <x:c r="J22" s="476" t="str">
        <x:v>Secuencia administración</x:v>
      </x:c>
      <x:c r="K22" s="476" t="str">
        <x:v>403 + logs + export</x:v>
      </x:c>
      <x:c r="L22" s="476" t="str">
        <x:v>Trazabilidad/auditoría</x:v>
      </x:c>
      <x:c r="M22" s="476" t="str">
        <x:v>9.3</x:v>
      </x:c>
      <x:c r="N22" s="477" t="str">
        <x:v>Anexo 07 + GitHub dataset-definitivo-2026</x:v>
      </x:c>
    </x:row>
    <x:row r="23" ht="66" customHeight="1">
      <x:c r="A23" s="475" t="str">
        <x:v>P19</x:v>
      </x:c>
      <x:c r="B23" s="476" t="str">
        <x:v>MP05</x:v>
      </x:c>
      <x:c r="C23" s="476" t="str">
        <x:v>Despliegue y verificación DevOps</x:v>
      </x:c>
      <x:c r="D23" s="476" t="str">
        <x:v>Soporte RF/RNF</x:v>
      </x:c>
      <x:c r="E23" s="476" t="str">
        <x:v>RNF-002/003/005/013/014/020</x:v>
      </x:c>
      <x:c r="F23" s="476" t="str">
        <x:v>Infraestructura</x:v>
      </x:c>
      <x:c r="G23" s="476" t="str">
        <x:v>/health + CI/CD</x:v>
      </x:c>
      <x:c r="H23" s="476" t="str">
        <x:v>MySQL + artefactos</x:v>
      </x:c>
      <x:c r="I23" s="476" t="str">
        <x:v>UML despliegue</x:v>
      </x:c>
      <x:c r="J23" s="476" t="str">
        <x:v>Flujo CI/CD</x:v>
      </x:c>
      <x:c r="K23" s="476" t="str">
        <x:v>Build + health + smoke</x:v>
      </x:c>
      <x:c r="L23" s="476" t="str">
        <x:v>Portabilidad/confiabilidad</x:v>
      </x:c>
      <x:c r="M23" s="476" t="str">
        <x:v>7.1–7.2</x:v>
      </x:c>
      <x:c r="N23" s="477" t="str">
        <x:v>Anexo 07 + GitHub dataset-definitivo-2026</x:v>
      </x:c>
    </x:row>
    <x:row r="24" ht="66" customHeight="1">
      <x:c r="A24" s="478" t="str">
        <x:v>P20</x:v>
      </x:c>
      <x:c r="B24" s="479" t="str">
        <x:v>MP05</x:v>
      </x:c>
      <x:c r="C24" s="479" t="str">
        <x:v>Incidencias y mejora continua</x:v>
      </x:c>
      <x:c r="D24" s="479" t="str">
        <x:v>Todos por cambio</x:v>
      </x:c>
      <x:c r="E24" s="479" t="str">
        <x:v>RNF-006–010/019</x:v>
      </x:c>
      <x:c r="F24" s="479" t="str">
        <x:v>Módulo afectado</x:v>
      </x:c>
      <x:c r="G24" s="479" t="str">
        <x:v>QA/Git/Sonar</x:v>
      </x:c>
      <x:c r="H24" s="479" t="str">
        <x:v>AuditLog + Git + evidencias</x:v>
      </x:c>
      <x:c r="I24" s="479" t="str">
        <x:v>Estados/componentes</x:v>
      </x:c>
      <x:c r="J24" s="479" t="str">
        <x:v>Ciclo de mejora</x:v>
      </x:c>
      <x:c r="K24" s="479" t="str">
        <x:v>Regresión + Sonar + rollback</x:v>
      </x:c>
      <x:c r="L24" s="479" t="str">
        <x:v>Mantenibilidad</x:v>
      </x:c>
      <x:c r="M24" s="479" t="str">
        <x:v>9.2–9.4</x:v>
      </x:c>
      <x:c r="N24" s="480" t="str">
        <x:v>Anexo 07 + GitHub dataset-definitivo-2026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26" hidden="0" customWidth="1"/>
    <x:col min="4" max="4" width="38" hidden="0" customWidth="1"/>
    <x:col min="5" max="5" width="62" hidden="0" customWidth="1"/>
    <x:col min="6" max="6" width="18" hidden="0" customWidth="1"/>
    <x:col min="7" max="7" width="18" hidden="0" customWidth="1"/>
    <x:col min="8" max="8" width="44" hidden="0" customWidth="1"/>
    <x:col min="9" max="9" width="42" hidden="0" customWidth="1"/>
    <x:col min="10" max="10" width="34" hidden="0" customWidth="1"/>
    <x:col min="11" max="11" width="46" hidden="0" customWidth="1"/>
  </x:cols>
  <x:sheetData>
    <x:row r="1" ht="34" customHeight="1">
      <x:c r="A1" s="444" t="str">
        <x:v>Matriz de datos — catálogo de 52 modelos Prisma</x:v>
      </x:c>
      <x:c r="B1" s="444"/>
      <x:c r="C1" s="444"/>
      <x:c r="D1" s="444"/>
      <x:c r="E1" s="444"/>
      <x:c r="F1" s="444"/>
      <x:c r="G1" s="444"/>
      <x:c r="H1" s="444"/>
      <x:c r="I1" s="444"/>
      <x:c r="J1" s="444"/>
      <x:c r="K1" s="444"/>
    </x:row>
    <x:row r="2" ht="42" customHeight="1">
      <x:c r="A2" s="448" t="str">
        <x:v>Vista física y de gobierno de datos: para cada modelo se indica dominio, propósito, campos principales, proceso, sensibilidad, integridad, recuperación y relación con la tesis. El schema vigente usa Prisma sobre MySQL 8.</x:v>
      </x:c>
      <x:c r="B2" s="448"/>
      <x:c r="C2" s="448"/>
      <x:c r="D2" s="448"/>
      <x:c r="E2" s="448"/>
      <x:c r="F2" s="448"/>
      <x:c r="G2" s="448"/>
      <x:c r="H2" s="448"/>
      <x:c r="I2" s="448"/>
      <x:c r="J2" s="448"/>
      <x:c r="K2" s="448"/>
    </x:row>
    <x:row r="4" ht="48" customHeight="1">
      <x:c r="A4" s="453" t="str">
        <x:v>N°</x:v>
      </x:c>
      <x:c r="B4" s="453" t="str">
        <x:v>Modelo Prisma</x:v>
      </x:c>
      <x:c r="C4" s="453" t="str">
        <x:v>Dominio</x:v>
      </x:c>
      <x:c r="D4" s="453" t="str">
        <x:v>Propósito</x:v>
      </x:c>
      <x:c r="E4" s="453" t="str">
        <x:v>Campos persistidos principales</x:v>
      </x:c>
      <x:c r="F4" s="453" t="str">
        <x:v>Proceso(s)</x:v>
      </x:c>
      <x:c r="G4" s="453" t="str">
        <x:v>Sensibilidad</x:v>
      </x:c>
      <x:c r="H4" s="453" t="str">
        <x:v>Integridad / control</x:v>
      </x:c>
      <x:c r="I4" s="453" t="str">
        <x:v>Backup / recuperación</x:v>
      </x:c>
      <x:c r="J4" s="453" t="str">
        <x:v>Relación tesis</x:v>
      </x:c>
      <x:c r="K4" s="453" t="str">
        <x:v>Evidencia</x:v>
      </x:c>
    </x:row>
    <x:row r="5" ht="66" customHeight="1">
      <x:c r="A5" s="472" t="n">
        <x:v>1</x:v>
      </x:c>
      <x:c r="B5" s="473" t="str">
        <x:v>Institucion</x:v>
      </x:c>
      <x:c r="C5" s="473" t="str">
        <x:v>Institucional y estructura</x:v>
      </x:c>
      <x:c r="D5" s="473" t="str">
        <x:v>Datos maestros de la institución</x:v>
      </x:c>
      <x:c r="E5" s="473" t="str">
        <x:v>id, codigo, nombre, ruc, direccion, ubigeo, telefono, email, activo, createdAt</x:v>
      </x:c>
      <x:c r="F5" s="473" t="str">
        <x:v>P04</x:v>
      </x:c>
      <x:c r="G5" s="473" t="str">
        <x:v>Media</x:v>
      </x:c>
      <x:c r="H5" s="473" t="str">
        <x:v>FK/unique/índices</x:v>
      </x:c>
      <x:c r="I5" s="473" t="str">
        <x:v>Backup de maestros + migrations</x:v>
      </x:c>
      <x:c r="J5" s="473" t="str">
        <x:v>Soporte transversal</x:v>
      </x:c>
      <x:c r="K5" s="474" t="str">
        <x:v>backend/prisma/schema.prisma; migrations; Anexo 07 §4.2.7</x:v>
      </x:c>
    </x:row>
    <x:row r="6" ht="66" customHeight="1">
      <x:c r="A6" s="475" t="n">
        <x:v>2</x:v>
      </x:c>
      <x:c r="B6" s="476" t="str">
        <x:v>AnioLectivo</x:v>
      </x:c>
      <x:c r="C6" s="476" t="str">
        <x:v>Institucional y estructura</x:v>
      </x:c>
      <x:c r="D6" s="476" t="str">
        <x:v>Año escolar y relaciones temporales</x:v>
      </x:c>
      <x:c r="E6" s="476" t="str">
        <x:v>id, institucionId, anio, nombre, fechaInicio, fechaFin, activo, createdAt</x:v>
      </x:c>
      <x:c r="F6" s="476" t="str">
        <x:v>P04</x:v>
      </x:c>
      <x:c r="G6" s="476" t="str">
        <x:v>Media</x:v>
      </x:c>
      <x:c r="H6" s="476" t="str">
        <x:v>FK/unique/índices</x:v>
      </x:c>
      <x:c r="I6" s="476" t="str">
        <x:v>Backup de maestros + migrations</x:v>
      </x:c>
      <x:c r="J6" s="476" t="str">
        <x:v>Soporte transversal</x:v>
      </x:c>
      <x:c r="K6" s="477" t="str">
        <x:v>backend/prisma/schema.prisma; migrations; Anexo 07 §4.2.7</x:v>
      </x:c>
    </x:row>
    <x:row r="7" ht="66" customHeight="1">
      <x:c r="A7" s="475" t="n">
        <x:v>3</x:v>
      </x:c>
      <x:c r="B7" s="476" t="str">
        <x:v>PeriodoAcademico</x:v>
      </x:c>
      <x:c r="C7" s="476" t="str">
        <x:v>Institucional y estructura</x:v>
      </x:c>
      <x:c r="D7" s="476" t="str">
        <x:v>Bimestres/periodos</x:v>
      </x:c>
      <x:c r="E7" s="476" t="str">
        <x:v>id, anioLectivoId, numero, nombre, fechaInicio, fechaFin, activo</x:v>
      </x:c>
      <x:c r="F7" s="476" t="str">
        <x:v>P04</x:v>
      </x:c>
      <x:c r="G7" s="476" t="str">
        <x:v>Media</x:v>
      </x:c>
      <x:c r="H7" s="476" t="str">
        <x:v>FK/unique/índices</x:v>
      </x:c>
      <x:c r="I7" s="476" t="str">
        <x:v>Backup de maestros + migrations</x:v>
      </x:c>
      <x:c r="J7" s="476" t="str">
        <x:v>Soporte transversal</x:v>
      </x:c>
      <x:c r="K7" s="477" t="str">
        <x:v>backend/prisma/schema.prisma; migrations; Anexo 07 §4.2.7</x:v>
      </x:c>
    </x:row>
    <x:row r="8" ht="66" customHeight="1">
      <x:c r="A8" s="475" t="n">
        <x:v>4</x:v>
      </x:c>
      <x:c r="B8" s="476" t="str">
        <x:v>NivelEducativo</x:v>
      </x:c>
      <x:c r="C8" s="476" t="str">
        <x:v>Institucional y estructura</x:v>
      </x:c>
      <x:c r="D8" s="476" t="str">
        <x:v>Nivel académico</x:v>
      </x:c>
      <x:c r="E8" s="476" t="str">
        <x:v>id, codigo, nombre</x:v>
      </x:c>
      <x:c r="F8" s="476" t="str">
        <x:v>P04</x:v>
      </x:c>
      <x:c r="G8" s="476" t="str">
        <x:v>Media</x:v>
      </x:c>
      <x:c r="H8" s="476" t="str">
        <x:v>FK/unique/índices</x:v>
      </x:c>
      <x:c r="I8" s="476" t="str">
        <x:v>Backup de maestros + migrations</x:v>
      </x:c>
      <x:c r="J8" s="476" t="str">
        <x:v>Soporte transversal</x:v>
      </x:c>
      <x:c r="K8" s="477" t="str">
        <x:v>backend/prisma/schema.prisma; migrations; Anexo 07 §4.2.7</x:v>
      </x:c>
    </x:row>
    <x:row r="9" ht="66" customHeight="1">
      <x:c r="A9" s="475" t="n">
        <x:v>5</x:v>
      </x:c>
      <x:c r="B9" s="476" t="str">
        <x:v>Grado</x:v>
      </x:c>
      <x:c r="C9" s="476" t="str">
        <x:v>Institucional y estructura</x:v>
      </x:c>
      <x:c r="D9" s="476" t="str">
        <x:v>Grados del nivel</x:v>
      </x:c>
      <x:c r="E9" s="476" t="str">
        <x:v>id, nivelId, numero, nombre</x:v>
      </x:c>
      <x:c r="F9" s="476" t="str">
        <x:v>P04</x:v>
      </x:c>
      <x:c r="G9" s="476" t="str">
        <x:v>Media</x:v>
      </x:c>
      <x:c r="H9" s="476" t="str">
        <x:v>FK/unique/índices</x:v>
      </x:c>
      <x:c r="I9" s="476" t="str">
        <x:v>Backup de maestros + migrations</x:v>
      </x:c>
      <x:c r="J9" s="476" t="str">
        <x:v>Soporte transversal</x:v>
      </x:c>
      <x:c r="K9" s="477" t="str">
        <x:v>backend/prisma/schema.prisma; migrations; Anexo 07 §4.2.7</x:v>
      </x:c>
    </x:row>
    <x:row r="10" ht="66" customHeight="1">
      <x:c r="A10" s="475" t="n">
        <x:v>6</x:v>
      </x:c>
      <x:c r="B10" s="476" t="str">
        <x:v>Seccion</x:v>
      </x:c>
      <x:c r="C10" s="476" t="str">
        <x:v>Institucional y estructura</x:v>
      </x:c>
      <x:c r="D10" s="476" t="str">
        <x:v>Secciones y capacidad</x:v>
      </x:c>
      <x:c r="E10" s="476" t="str">
        <x:v>id, gradoId, nombre, capacidad, activo, createdAt</x:v>
      </x:c>
      <x:c r="F10" s="476" t="str">
        <x:v>P04</x:v>
      </x:c>
      <x:c r="G10" s="476" t="str">
        <x:v>Media</x:v>
      </x:c>
      <x:c r="H10" s="476" t="str">
        <x:v>FK/unique/índices</x:v>
      </x:c>
      <x:c r="I10" s="476" t="str">
        <x:v>Backup de maestros + migrations</x:v>
      </x:c>
      <x:c r="J10" s="476" t="str">
        <x:v>Soporte transversal</x:v>
      </x:c>
      <x:c r="K10" s="477" t="str">
        <x:v>backend/prisma/schema.prisma; migrations; Anexo 07 §4.2.7</x:v>
      </x:c>
    </x:row>
    <x:row r="11" ht="66" customHeight="1">
      <x:c r="A11" s="475" t="n">
        <x:v>7</x:v>
      </x:c>
      <x:c r="B11" s="476" t="str">
        <x:v>AreaCurricular</x:v>
      </x:c>
      <x:c r="C11" s="476" t="str">
        <x:v>Institucional y estructura</x:v>
      </x:c>
      <x:c r="D11" s="476" t="str">
        <x:v>Áreas curriculares</x:v>
      </x:c>
      <x:c r="E11" s="476" t="str">
        <x:v>id, codigo, nombre</x:v>
      </x:c>
      <x:c r="F11" s="476" t="str">
        <x:v>P04</x:v>
      </x:c>
      <x:c r="G11" s="476" t="str">
        <x:v>Media</x:v>
      </x:c>
      <x:c r="H11" s="476" t="str">
        <x:v>FK/unique/índices</x:v>
      </x:c>
      <x:c r="I11" s="476" t="str">
        <x:v>Backup de maestros + migrations</x:v>
      </x:c>
      <x:c r="J11" s="476" t="str">
        <x:v>Soporte transversal</x:v>
      </x:c>
      <x:c r="K11" s="477" t="str">
        <x:v>backend/prisma/schema.prisma; migrations; Anexo 07 §4.2.7</x:v>
      </x:c>
    </x:row>
    <x:row r="12" ht="66" customHeight="1">
      <x:c r="A12" s="475" t="n">
        <x:v>8</x:v>
      </x:c>
      <x:c r="B12" s="476" t="str">
        <x:v>CursoCatalogo</x:v>
      </x:c>
      <x:c r="C12" s="476" t="str">
        <x:v>Institucional y estructura</x:v>
      </x:c>
      <x:c r="D12" s="476" t="str">
        <x:v>Catálogo de cursos</x:v>
      </x:c>
      <x:c r="E12" s="476" t="str">
        <x:v>id, areaId, codigo, nombre, descripcion, horasSemanales, activo</x:v>
      </x:c>
      <x:c r="F12" s="476" t="str">
        <x:v>P04</x:v>
      </x:c>
      <x:c r="G12" s="476" t="str">
        <x:v>Media</x:v>
      </x:c>
      <x:c r="H12" s="476" t="str">
        <x:v>FK/unique/índices</x:v>
      </x:c>
      <x:c r="I12" s="476" t="str">
        <x:v>Backup de maestros + migrations</x:v>
      </x:c>
      <x:c r="J12" s="476" t="str">
        <x:v>Soporte transversal</x:v>
      </x:c>
      <x:c r="K12" s="477" t="str">
        <x:v>backend/prisma/schema.prisma; migrations; Anexo 07 §4.2.7</x:v>
      </x:c>
    </x:row>
    <x:row r="13" ht="66" customHeight="1">
      <x:c r="A13" s="475" t="n">
        <x:v>9</x:v>
      </x:c>
      <x:c r="B13" s="476" t="str">
        <x:v>CursoGrado</x:v>
      </x:c>
      <x:c r="C13" s="476" t="str">
        <x:v>Institucional y estructura</x:v>
      </x:c>
      <x:c r="D13" s="476" t="str">
        <x:v>Relación curso-grado</x:v>
      </x:c>
      <x:c r="E13" s="476" t="str">
        <x:v>id, gradoId, cursoId, obligatorio</x:v>
      </x:c>
      <x:c r="F13" s="476" t="str">
        <x:v>P04</x:v>
      </x:c>
      <x:c r="G13" s="476" t="str">
        <x:v>Media</x:v>
      </x:c>
      <x:c r="H13" s="476" t="str">
        <x:v>FK/unique/índices</x:v>
      </x:c>
      <x:c r="I13" s="476" t="str">
        <x:v>Backup de maestros + migrations</x:v>
      </x:c>
      <x:c r="J13" s="476" t="str">
        <x:v>Soporte transversal</x:v>
      </x:c>
      <x:c r="K13" s="477" t="str">
        <x:v>backend/prisma/schema.prisma; migrations; Anexo 07 §4.2.7</x:v>
      </x:c>
    </x:row>
    <x:row r="14" ht="66" customHeight="1">
      <x:c r="A14" s="475" t="n">
        <x:v>10</x:v>
      </x:c>
      <x:c r="B14" s="476" t="str">
        <x:v>Role</x:v>
      </x:c>
      <x:c r="C14" s="476" t="str">
        <x:v>Seguridad</x:v>
      </x:c>
      <x:c r="D14" s="476" t="str">
        <x:v>Roles RBAC</x:v>
      </x:c>
      <x:c r="E14" s="476" t="str">
        <x:v>id, codigo, nombre, descripcion</x:v>
      </x:c>
      <x:c r="F14" s="476" t="str">
        <x:v>P17/P18</x:v>
      </x:c>
      <x:c r="G14" s="476" t="str">
        <x:v>Alta</x:v>
      </x:c>
      <x:c r="H14" s="476" t="str">
        <x:v>Restricciones unique/FK + hash/token según modelo</x:v>
      </x:c>
      <x:c r="I14" s="476" t="str">
        <x:v>Backup cifrado + restauración controlada</x:v>
      </x:c>
      <x:c r="J14" s="476" t="str">
        <x:v>Variable intermedia: trazabilidad/calidad</x:v>
      </x:c>
      <x:c r="K14" s="477" t="str">
        <x:v>backend/prisma/schema.prisma; migrations; Anexo 07 §4.2.7</x:v>
      </x:c>
    </x:row>
    <x:row r="15" ht="66" customHeight="1">
      <x:c r="A15" s="475" t="n">
        <x:v>11</x:v>
      </x:c>
      <x:c r="B15" s="476" t="str">
        <x:v>Permission</x:v>
      </x:c>
      <x:c r="C15" s="476" t="str">
        <x:v>Seguridad</x:v>
      </x:c>
      <x:c r="D15" s="476" t="str">
        <x:v>Permisos por módulo</x:v>
      </x:c>
      <x:c r="E15" s="476" t="str">
        <x:v>id, codigo, modulo, descripcion</x:v>
      </x:c>
      <x:c r="F15" s="476" t="str">
        <x:v>P17/P18</x:v>
      </x:c>
      <x:c r="G15" s="476" t="str">
        <x:v>Alta</x:v>
      </x:c>
      <x:c r="H15" s="476" t="str">
        <x:v>Restricciones unique/FK + hash/token según modelo</x:v>
      </x:c>
      <x:c r="I15" s="476" t="str">
        <x:v>Backup cifrado + restauración controlada</x:v>
      </x:c>
      <x:c r="J15" s="476" t="str">
        <x:v>Variable intermedia: trazabilidad/calidad</x:v>
      </x:c>
      <x:c r="K15" s="477" t="str">
        <x:v>backend/prisma/schema.prisma; migrations; Anexo 07 §4.2.7</x:v>
      </x:c>
    </x:row>
    <x:row r="16" ht="66" customHeight="1">
      <x:c r="A16" s="475" t="n">
        <x:v>12</x:v>
      </x:c>
      <x:c r="B16" s="476" t="str">
        <x:v>RolePermission</x:v>
      </x:c>
      <x:c r="C16" s="476" t="str">
        <x:v>Seguridad</x:v>
      </x:c>
      <x:c r="D16" s="476" t="str">
        <x:v>Relación rol-permiso</x:v>
      </x:c>
      <x:c r="E16" s="476" t="str">
        <x:v>rolId, permisoId</x:v>
      </x:c>
      <x:c r="F16" s="476" t="str">
        <x:v>P17/P18</x:v>
      </x:c>
      <x:c r="G16" s="476" t="str">
        <x:v>Alta</x:v>
      </x:c>
      <x:c r="H16" s="476" t="str">
        <x:v>Restricciones unique/FK + hash/token según modelo</x:v>
      </x:c>
      <x:c r="I16" s="476" t="str">
        <x:v>Backup cifrado + restauración controlada</x:v>
      </x:c>
      <x:c r="J16" s="476" t="str">
        <x:v>Variable intermedia: trazabilidad/calidad</x:v>
      </x:c>
      <x:c r="K16" s="477" t="str">
        <x:v>backend/prisma/schema.prisma; migrations; Anexo 07 §4.2.7</x:v>
      </x:c>
    </x:row>
    <x:row r="17" ht="66" customHeight="1">
      <x:c r="A17" s="475" t="n">
        <x:v>13</x:v>
      </x:c>
      <x:c r="B17" s="476" t="str">
        <x:v>User</x:v>
      </x:c>
      <x:c r="C17" s="476" t="str">
        <x:v>Seguridad</x:v>
      </x:c>
      <x:c r="D17" s="476" t="str">
        <x:v>Cuenta autenticable</x:v>
      </x:c>
      <x:c r="E17" s="476" t="str">
        <x:v>id, rolId, email, passwordHash, nombres, apellidos, dni, telefono, activo, ultimoAcceso, createdAt, updatedAt</x:v>
      </x:c>
      <x:c r="F17" s="476" t="str">
        <x:v>P17/P18</x:v>
      </x:c>
      <x:c r="G17" s="476" t="str">
        <x:v>Alta</x:v>
      </x:c>
      <x:c r="H17" s="476" t="str">
        <x:v>Restricciones unique/FK + hash/token según modelo</x:v>
      </x:c>
      <x:c r="I17" s="476" t="str">
        <x:v>Backup cifrado + restauración controlada</x:v>
      </x:c>
      <x:c r="J17" s="476" t="str">
        <x:v>Variable intermedia: trazabilidad/calidad</x:v>
      </x:c>
      <x:c r="K17" s="477" t="str">
        <x:v>backend/prisma/schema.prisma; migrations; Anexo 07 §4.2.7</x:v>
      </x:c>
    </x:row>
    <x:row r="18" ht="66" customHeight="1">
      <x:c r="A18" s="475" t="n">
        <x:v>14</x:v>
      </x:c>
      <x:c r="B18" s="476" t="str">
        <x:v>Session</x:v>
      </x:c>
      <x:c r="C18" s="476" t="str">
        <x:v>Seguridad</x:v>
      </x:c>
      <x:c r="D18" s="476" t="str">
        <x:v>Sesiones y refresh</x:v>
      </x:c>
      <x:c r="E18" s="476" t="str">
        <x:v>id, usuarioId, tokenHash, refreshHash, ipAddress, userAgent, expiresAt, refreshExpires, revocada, createdAt</x:v>
      </x:c>
      <x:c r="F18" s="476" t="str">
        <x:v>P17/P18</x:v>
      </x:c>
      <x:c r="G18" s="476" t="str">
        <x:v>Alta</x:v>
      </x:c>
      <x:c r="H18" s="476" t="str">
        <x:v>Restricciones unique/FK + hash/token según modelo</x:v>
      </x:c>
      <x:c r="I18" s="476" t="str">
        <x:v>Backup cifrado + restauración controlada</x:v>
      </x:c>
      <x:c r="J18" s="476" t="str">
        <x:v>Variable intermedia: trazabilidad/calidad</x:v>
      </x:c>
      <x:c r="K18" s="477" t="str">
        <x:v>backend/prisma/schema.prisma; migrations; Anexo 07 §4.2.7</x:v>
      </x:c>
    </x:row>
    <x:row r="19" ht="66" customHeight="1">
      <x:c r="A19" s="475" t="n">
        <x:v>15</x:v>
      </x:c>
      <x:c r="B19" s="476" t="str">
        <x:v>IntentoLogin</x:v>
      </x:c>
      <x:c r="C19" s="476" t="str">
        <x:v>Seguridad</x:v>
      </x:c>
      <x:c r="D19" s="476" t="str">
        <x:v>Trazabilidad de intentos</x:v>
      </x:c>
      <x:c r="E19" s="476" t="str">
        <x:v>id, email, ipAddress, exitoso, motivo, createdAt</x:v>
      </x:c>
      <x:c r="F19" s="476" t="str">
        <x:v>P17/P18</x:v>
      </x:c>
      <x:c r="G19" s="476" t="str">
        <x:v>Alta</x:v>
      </x:c>
      <x:c r="H19" s="476" t="str">
        <x:v>Restricciones unique/FK + hash/token según modelo</x:v>
      </x:c>
      <x:c r="I19" s="476" t="str">
        <x:v>Backup cifrado + restauración controlada</x:v>
      </x:c>
      <x:c r="J19" s="476" t="str">
        <x:v>Variable intermedia: trazabilidad/calidad</x:v>
      </x:c>
      <x:c r="K19" s="477" t="str">
        <x:v>backend/prisma/schema.prisma; migrations; Anexo 07 §4.2.7</x:v>
      </x:c>
    </x:row>
    <x:row r="20" ht="66" customHeight="1">
      <x:c r="A20" s="475" t="n">
        <x:v>16</x:v>
      </x:c>
      <x:c r="B20" s="476" t="str">
        <x:v>Teacher</x:v>
      </x:c>
      <x:c r="C20" s="476" t="str">
        <x:v>Personas</x:v>
      </x:c>
      <x:c r="D20" s="476" t="str">
        <x:v>Perfil docente</x:v>
      </x:c>
      <x:c r="E20" s="476" t="str">
        <x:v>id, usuarioId, codigo, nombres, apellidos, especialidad, email, telefono, activo, createdAt</x:v>
      </x:c>
      <x:c r="F20" s="476" t="str">
        <x:v>P02/P03</x:v>
      </x:c>
      <x:c r="G20" s="476" t="str">
        <x:v>Alta</x:v>
      </x:c>
      <x:c r="H20" s="476" t="str">
        <x:v>Unique identidad + FK User/Seccion</x:v>
      </x:c>
      <x:c r="I20" s="476" t="str">
        <x:v>Backup + minimización/privacidad</x:v>
      </x:c>
      <x:c r="J20" s="476" t="str">
        <x:v>Contexto y seguimiento</x:v>
      </x:c>
      <x:c r="K20" s="477" t="str">
        <x:v>backend/prisma/schema.prisma; migrations; Anexo 07 §4.2.7</x:v>
      </x:c>
    </x:row>
    <x:row r="21" ht="66" customHeight="1">
      <x:c r="A21" s="475" t="n">
        <x:v>17</x:v>
      </x:c>
      <x:c r="B21" s="476" t="str">
        <x:v>Student</x:v>
      </x:c>
      <x:c r="C21" s="476" t="str">
        <x:v>Personas</x:v>
      </x:c>
      <x:c r="D21" s="476" t="str">
        <x:v>Perfil y estado de estudiante</x:v>
      </x:c>
      <x:c r="E21" s="476" t="str">
        <x:v>id, usuarioId, codigo, nombres, apellidos, dni, email, telefono, seccionId, estado, promedioGeneral, asistenciaGeneral, activo, fechaIngreso, createdAt, updatedAt</x:v>
      </x:c>
      <x:c r="F21" s="476" t="str">
        <x:v>P02/P03</x:v>
      </x:c>
      <x:c r="G21" s="476" t="str">
        <x:v>Alta</x:v>
      </x:c>
      <x:c r="H21" s="476" t="str">
        <x:v>Unique identidad + FK User/Seccion</x:v>
      </x:c>
      <x:c r="I21" s="476" t="str">
        <x:v>Backup + minimización/privacidad</x:v>
      </x:c>
      <x:c r="J21" s="476" t="str">
        <x:v>Contexto y seguimiento</x:v>
      </x:c>
      <x:c r="K21" s="477" t="str">
        <x:v>backend/prisma/schema.prisma; migrations; Anexo 07 §4.2.7</x:v>
      </x:c>
    </x:row>
    <x:row r="22" ht="66" customHeight="1">
      <x:c r="A22" s="475" t="n">
        <x:v>18</x:v>
      </x:c>
      <x:c r="B22" s="476" t="str">
        <x:v>Apoderado</x:v>
      </x:c>
      <x:c r="C22" s="476" t="str">
        <x:v>Personas</x:v>
      </x:c>
      <x:c r="D22" s="476" t="str">
        <x:v>Datos de apoderado</x:v>
      </x:c>
      <x:c r="E22" s="476" t="str">
        <x:v>id, dni, nombres, apellidos, email, telefono, createdAt</x:v>
      </x:c>
      <x:c r="F22" s="476" t="str">
        <x:v>P02/P03</x:v>
      </x:c>
      <x:c r="G22" s="476" t="str">
        <x:v>Alta</x:v>
      </x:c>
      <x:c r="H22" s="476" t="str">
        <x:v>Unique identidad + FK User/Seccion</x:v>
      </x:c>
      <x:c r="I22" s="476" t="str">
        <x:v>Backup + minimización/privacidad</x:v>
      </x:c>
      <x:c r="J22" s="476" t="str">
        <x:v>Contexto y seguimiento</x:v>
      </x:c>
      <x:c r="K22" s="477" t="str">
        <x:v>backend/prisma/schema.prisma; migrations; Anexo 07 §4.2.7</x:v>
      </x:c>
    </x:row>
    <x:row r="23" ht="66" customHeight="1">
      <x:c r="A23" s="475" t="n">
        <x:v>19</x:v>
      </x:c>
      <x:c r="B23" s="476" t="str">
        <x:v>StudentApoderado</x:v>
      </x:c>
      <x:c r="C23" s="476" t="str">
        <x:v>Personas</x:v>
      </x:c>
      <x:c r="D23" s="476" t="str">
        <x:v>Relación estudiante-apoderado</x:v>
      </x:c>
      <x:c r="E23" s="476" t="str">
        <x:v>estudianteId, apoderadoId, parentesco, esPrincipal</x:v>
      </x:c>
      <x:c r="F23" s="476" t="str">
        <x:v>P02/P03</x:v>
      </x:c>
      <x:c r="G23" s="476" t="str">
        <x:v>Alta</x:v>
      </x:c>
      <x:c r="H23" s="476" t="str">
        <x:v>Unique identidad + FK User/Seccion</x:v>
      </x:c>
      <x:c r="I23" s="476" t="str">
        <x:v>Backup + minimización/privacidad</x:v>
      </x:c>
      <x:c r="J23" s="476" t="str">
        <x:v>Contexto y seguimiento</x:v>
      </x:c>
      <x:c r="K23" s="477" t="str">
        <x:v>backend/prisma/schema.prisma; migrations; Anexo 07 §4.2.7</x:v>
      </x:c>
    </x:row>
    <x:row r="24" ht="66" customHeight="1">
      <x:c r="A24" s="475" t="n">
        <x:v>20</x:v>
      </x:c>
      <x:c r="B24" s="476" t="str">
        <x:v>TutorSeccion</x:v>
      </x:c>
      <x:c r="C24" s="476" t="str">
        <x:v>Oferta y matrícula</x:v>
      </x:c>
      <x:c r="D24" s="476" t="str">
        <x:v>Tutor por sección/año</x:v>
      </x:c>
      <x:c r="E24" s="476" t="str">
        <x:v>id, seccionId, profesorId, anioLectivoId, activo</x:v>
      </x:c>
      <x:c r="F24" s="476" t="str">
        <x:v>P01/P04</x:v>
      </x:c>
      <x:c r="G24" s="476" t="str">
        <x:v>Alta</x:v>
      </x:c>
      <x:c r="H24" s="476" t="str">
        <x:v>FK/unique + estados históricos</x:v>
      </x:c>
      <x:c r="I24" s="476" t="str">
        <x:v>Backup + no borrar matrícula histórica</x:v>
      </x:c>
      <x:c r="J24" s="476" t="str">
        <x:v>VD: continuidad/progreso</x:v>
      </x:c>
      <x:c r="K24" s="477" t="str">
        <x:v>backend/prisma/schema.prisma; migrations; Anexo 07 §4.2.7</x:v>
      </x:c>
    </x:row>
    <x:row r="25" ht="66" customHeight="1">
      <x:c r="A25" s="475" t="n">
        <x:v>21</x:v>
      </x:c>
      <x:c r="B25" s="476" t="str">
        <x:v>TeacherCourseAssignment</x:v>
      </x:c>
      <x:c r="C25" s="476" t="str">
        <x:v>Oferta y matrícula</x:v>
      </x:c>
      <x:c r="D25" s="476" t="str">
        <x:v>Asignación docente por curso/sección</x:v>
      </x:c>
      <x:c r="E25" s="476" t="str">
        <x:v>id, profesorId, cursoId, gradoId, seccionId, anioLectivoId, cursoOfertaId, esTutor, activo, createdAt, updatedAt</x:v>
      </x:c>
      <x:c r="F25" s="476" t="str">
        <x:v>P01/P04</x:v>
      </x:c>
      <x:c r="G25" s="476" t="str">
        <x:v>Alta</x:v>
      </x:c>
      <x:c r="H25" s="476" t="str">
        <x:v>FK/unique + estados históricos</x:v>
      </x:c>
      <x:c r="I25" s="476" t="str">
        <x:v>Backup + no borrar matrícula histórica</x:v>
      </x:c>
      <x:c r="J25" s="476" t="str">
        <x:v>VD: continuidad/progreso</x:v>
      </x:c>
      <x:c r="K25" s="477" t="str">
        <x:v>backend/prisma/schema.prisma; migrations; Anexo 07 §4.2.7</x:v>
      </x:c>
    </x:row>
    <x:row r="26" ht="66" customHeight="1">
      <x:c r="A26" s="475" t="n">
        <x:v>22</x:v>
      </x:c>
      <x:c r="B26" s="476" t="str">
        <x:v>Course</x:v>
      </x:c>
      <x:c r="C26" s="476" t="str">
        <x:v>Oferta y matrícula</x:v>
      </x:c>
      <x:c r="D26" s="476" t="str">
        <x:v>Oferta de curso</x:v>
      </x:c>
      <x:c r="E26" s="476" t="str">
        <x:v>id, cursoId, seccionId, profesorId, anioLectivoId, codigo, activo, createdAt</x:v>
      </x:c>
      <x:c r="F26" s="476" t="str">
        <x:v>P01/P04</x:v>
      </x:c>
      <x:c r="G26" s="476" t="str">
        <x:v>Alta</x:v>
      </x:c>
      <x:c r="H26" s="476" t="str">
        <x:v>FK/unique + estados históricos</x:v>
      </x:c>
      <x:c r="I26" s="476" t="str">
        <x:v>Backup + no borrar matrícula histórica</x:v>
      </x:c>
      <x:c r="J26" s="476" t="str">
        <x:v>VD: continuidad/progreso</x:v>
      </x:c>
      <x:c r="K26" s="477" t="str">
        <x:v>backend/prisma/schema.prisma; migrations; Anexo 07 §4.2.7</x:v>
      </x:c>
    </x:row>
    <x:row r="27" ht="66" customHeight="1">
      <x:c r="A27" s="475" t="n">
        <x:v>23</x:v>
      </x:c>
      <x:c r="B27" s="476" t="str">
        <x:v>Matricula</x:v>
      </x:c>
      <x:c r="C27" s="476" t="str">
        <x:v>Oferta y matrícula</x:v>
      </x:c>
      <x:c r="D27" s="476" t="str">
        <x:v>Matrícula anual</x:v>
      </x:c>
      <x:c r="E27" s="476" t="str">
        <x:v>id, estudianteId, seccionId, anioLectivoId, codigo, estado, fechaMatricula</x:v>
      </x:c>
      <x:c r="F27" s="476" t="str">
        <x:v>P01/P04</x:v>
      </x:c>
      <x:c r="G27" s="476" t="str">
        <x:v>Alta</x:v>
      </x:c>
      <x:c r="H27" s="476" t="str">
        <x:v>FK/unique + estados históricos</x:v>
      </x:c>
      <x:c r="I27" s="476" t="str">
        <x:v>Backup + no borrar matrícula histórica</x:v>
      </x:c>
      <x:c r="J27" s="476" t="str">
        <x:v>VD: continuidad/progreso</x:v>
      </x:c>
      <x:c r="K27" s="477" t="str">
        <x:v>backend/prisma/schema.prisma; migrations; Anexo 07 §4.2.7</x:v>
      </x:c>
    </x:row>
    <x:row r="28" ht="66" customHeight="1">
      <x:c r="A28" s="475" t="n">
        <x:v>24</x:v>
      </x:c>
      <x:c r="B28" s="476" t="str">
        <x:v>Enrollment</x:v>
      </x:c>
      <x:c r="C28" s="476" t="str">
        <x:v>Oferta y matrícula</x:v>
      </x:c>
      <x:c r="D28" s="476" t="str">
        <x:v>Inscripción en oferta</x:v>
      </x:c>
      <x:c r="E28" s="476" t="str">
        <x:v>id, studentId, cursoOfertaId, estado, createdAt</x:v>
      </x:c>
      <x:c r="F28" s="476" t="str">
        <x:v>P01/P04</x:v>
      </x:c>
      <x:c r="G28" s="476" t="str">
        <x:v>Alta</x:v>
      </x:c>
      <x:c r="H28" s="476" t="str">
        <x:v>FK/unique + estados históricos</x:v>
      </x:c>
      <x:c r="I28" s="476" t="str">
        <x:v>Backup + no borrar matrícula histórica</x:v>
      </x:c>
      <x:c r="J28" s="476" t="str">
        <x:v>VD: continuidad/progreso</x:v>
      </x:c>
      <x:c r="K28" s="477" t="str">
        <x:v>backend/prisma/schema.prisma; migrations; Anexo 07 §4.2.7</x:v>
      </x:c>
    </x:row>
    <x:row r="29" ht="66" customHeight="1">
      <x:c r="A29" s="475" t="n">
        <x:v>25</x:v>
      </x:c>
      <x:c r="B29" s="476" t="str">
        <x:v>HorarioClase</x:v>
      </x:c>
      <x:c r="C29" s="476" t="str">
        <x:v>Oferta y matrícula</x:v>
      </x:c>
      <x:c r="D29" s="476" t="str">
        <x:v>Horario de curso</x:v>
      </x:c>
      <x:c r="E29" s="476" t="str">
        <x:v>id, cursoOfertaId, diaSemana, horaInicio, horaFin, aula</x:v>
      </x:c>
      <x:c r="F29" s="476" t="str">
        <x:v>P01/P04</x:v>
      </x:c>
      <x:c r="G29" s="476" t="str">
        <x:v>Alta</x:v>
      </x:c>
      <x:c r="H29" s="476" t="str">
        <x:v>FK/unique + estados históricos</x:v>
      </x:c>
      <x:c r="I29" s="476" t="str">
        <x:v>Backup + no borrar matrícula histórica</x:v>
      </x:c>
      <x:c r="J29" s="476" t="str">
        <x:v>VD: continuidad/progreso</x:v>
      </x:c>
      <x:c r="K29" s="477" t="str">
        <x:v>backend/prisma/schema.prisma; migrations; Anexo 07 §4.2.7</x:v>
      </x:c>
    </x:row>
    <x:row r="30" ht="66" customHeight="1">
      <x:c r="A30" s="475" t="n">
        <x:v>26</x:v>
      </x:c>
      <x:c r="B30" s="476" t="str">
        <x:v>Grade</x:v>
      </x:c>
      <x:c r="C30" s="476" t="str">
        <x:v>Evaluación y asistencia</x:v>
      </x:c>
      <x:c r="D30" s="476" t="str">
        <x:v>Calificaciones</x:v>
      </x:c>
      <x:c r="E30" s="476" t="str">
        <x:v>id, studentId, cursoOfertaId, periodoId, nota, observacion, createdAt</x:v>
      </x:c>
      <x:c r="F30" s="476" t="str">
        <x:v>P05/P06</x:v>
      </x:c>
      <x:c r="G30" s="476" t="str">
        <x:v>Alta</x:v>
      </x:c>
      <x:c r="H30" s="476" t="str">
        <x:v>FK + periodo + validaciones de dominio</x:v>
      </x:c>
      <x:c r="I30" s="476" t="str">
        <x:v>Backup/restore; no borrar histórico</x:v>
      </x:c>
      <x:c r="J30" s="476" t="str">
        <x:v>VD: rendimiento/asistencia</x:v>
      </x:c>
      <x:c r="K30" s="477" t="str">
        <x:v>backend/prisma/schema.prisma; migrations; Anexo 07 §4.2.7</x:v>
      </x:c>
    </x:row>
    <x:row r="31" ht="66" customHeight="1">
      <x:c r="A31" s="475" t="n">
        <x:v>27</x:v>
      </x:c>
      <x:c r="B31" s="476" t="str">
        <x:v>AcademicHistory</x:v>
      </x:c>
      <x:c r="C31" s="476" t="str">
        <x:v>Evaluación y asistencia</x:v>
      </x:c>
      <x:c r="D31" s="476" t="str">
        <x:v>Resumen académico por periodo</x:v>
      </x:c>
      <x:c r="E31" s="476" t="str">
        <x:v>id, studentId, periodoId, promedio, cursosDesaprobados, asistenciaPct, observacion, createdAt</x:v>
      </x:c>
      <x:c r="F31" s="476" t="str">
        <x:v>P05/P06</x:v>
      </x:c>
      <x:c r="G31" s="476" t="str">
        <x:v>Alta</x:v>
      </x:c>
      <x:c r="H31" s="476" t="str">
        <x:v>FK + periodo + validaciones de dominio</x:v>
      </x:c>
      <x:c r="I31" s="476" t="str">
        <x:v>Backup/restore; no borrar histórico</x:v>
      </x:c>
      <x:c r="J31" s="476" t="str">
        <x:v>VD: rendimiento/asistencia</x:v>
      </x:c>
      <x:c r="K31" s="477" t="str">
        <x:v>backend/prisma/schema.prisma; migrations; Anexo 07 §4.2.7</x:v>
      </x:c>
    </x:row>
    <x:row r="32" ht="66" customHeight="1">
      <x:c r="A32" s="475" t="n">
        <x:v>28</x:v>
      </x:c>
      <x:c r="B32" s="476" t="str">
        <x:v>Attendance</x:v>
      </x:c>
      <x:c r="C32" s="476" t="str">
        <x:v>Evaluación y asistencia</x:v>
      </x:c>
      <x:c r="D32" s="476" t="str">
        <x:v>Asistencia diaria</x:v>
      </x:c>
      <x:c r="E32" s="476" t="str">
        <x:v>id, studentId, fecha, presente, tardanza, justificado, observacion, createdAt</x:v>
      </x:c>
      <x:c r="F32" s="476" t="str">
        <x:v>P05/P06</x:v>
      </x:c>
      <x:c r="G32" s="476" t="str">
        <x:v>Alta</x:v>
      </x:c>
      <x:c r="H32" s="476" t="str">
        <x:v>FK + periodo + validaciones de dominio</x:v>
      </x:c>
      <x:c r="I32" s="476" t="str">
        <x:v>Backup/restore; no borrar histórico</x:v>
      </x:c>
      <x:c r="J32" s="476" t="str">
        <x:v>VD: rendimiento/asistencia</x:v>
      </x:c>
      <x:c r="K32" s="477" t="str">
        <x:v>backend/prisma/schema.prisma; migrations; Anexo 07 §4.2.7</x:v>
      </x:c>
    </x:row>
    <x:row r="33" ht="66" customHeight="1">
      <x:c r="A33" s="475" t="n">
        <x:v>29</x:v>
      </x:c>
      <x:c r="B33" s="476" t="str">
        <x:v>ResumenAsistencia</x:v>
      </x:c>
      <x:c r="C33" s="476" t="str">
        <x:v>Evaluación y asistencia</x:v>
      </x:c>
      <x:c r="D33" s="476" t="str">
        <x:v>Indicadores de asistencia</x:v>
      </x:c>
      <x:c r="E33" s="476" t="str">
        <x:v>id, studentId, periodoId, diasRegistrados, diasPresentes, porcentaje</x:v>
      </x:c>
      <x:c r="F33" s="476" t="str">
        <x:v>P05/P06</x:v>
      </x:c>
      <x:c r="G33" s="476" t="str">
        <x:v>Alta</x:v>
      </x:c>
      <x:c r="H33" s="476" t="str">
        <x:v>FK + periodo + validaciones de dominio</x:v>
      </x:c>
      <x:c r="I33" s="476" t="str">
        <x:v>Backup/restore; no borrar histórico</x:v>
      </x:c>
      <x:c r="J33" s="476" t="str">
        <x:v>VD: rendimiento/asistencia</x:v>
      </x:c>
      <x:c r="K33" s="477" t="str">
        <x:v>backend/prisma/schema.prisma; migrations; Anexo 07 §4.2.7</x:v>
      </x:c>
    </x:row>
    <x:row r="34" ht="66" customHeight="1">
      <x:c r="A34" s="475" t="n">
        <x:v>30</x:v>
      </x:c>
      <x:c r="B34" s="476" t="str">
        <x:v>LmsActivity</x:v>
      </x:c>
      <x:c r="C34" s="476" t="str">
        <x:v>LMS</x:v>
      </x:c>
      <x:c r="D34" s="476" t="str">
        <x:v>Actividad LMS agregada</x:v>
      </x:c>
      <x:c r="E34" s="476" t="str">
        <x:v>id, studentId, anioSemana, actividadPct, minutos, horasPlataforma, conexiones, createdAt</x:v>
      </x:c>
      <x:c r="F34" s="476" t="str">
        <x:v>P07/P08</x:v>
      </x:c>
      <x:c r="G34" s="476" t="str">
        <x:v>Media/alta</x:v>
      </x:c>
      <x:c r="H34" s="476" t="str">
        <x:v>FK estudiante/periodo + temporalidad</x:v>
      </x:c>
      <x:c r="I34" s="476" t="str">
        <x:v>Conservar eventos/agregados versionados</x:v>
      </x:c>
      <x:c r="J34" s="476" t="str">
        <x:v>VD: engagement LMS</x:v>
      </x:c>
      <x:c r="K34" s="477" t="str">
        <x:v>backend/prisma/schema.prisma; migrations; Anexo 07 §4.2.7</x:v>
      </x:c>
    </x:row>
    <x:row r="35" ht="66" customHeight="1">
      <x:c r="A35" s="475" t="n">
        <x:v>31</x:v>
      </x:c>
      <x:c r="B35" s="476" t="str">
        <x:v>LmsEntregaTarea</x:v>
      </x:c>
      <x:c r="C35" s="476" t="str">
        <x:v>LMS</x:v>
      </x:c>
      <x:c r="D35" s="476" t="str">
        <x:v>Tareas entregadas</x:v>
      </x:c>
      <x:c r="E35" s="476" t="str">
        <x:v>id, studentId, cursoOfertaId, periodoId, tareasTotales, tareasEntregadas, ratio</x:v>
      </x:c>
      <x:c r="F35" s="476" t="str">
        <x:v>P07/P08</x:v>
      </x:c>
      <x:c r="G35" s="476" t="str">
        <x:v>Media/alta</x:v>
      </x:c>
      <x:c r="H35" s="476" t="str">
        <x:v>FK estudiante/periodo + temporalidad</x:v>
      </x:c>
      <x:c r="I35" s="476" t="str">
        <x:v>Conservar eventos/agregados versionados</x:v>
      </x:c>
      <x:c r="J35" s="476" t="str">
        <x:v>VD: engagement LMS</x:v>
      </x:c>
      <x:c r="K35" s="477" t="str">
        <x:v>backend/prisma/schema.prisma; migrations; Anexo 07 §4.2.7</x:v>
      </x:c>
    </x:row>
    <x:row r="36" ht="66" customHeight="1">
      <x:c r="A36" s="475" t="n">
        <x:v>32</x:v>
      </x:c>
      <x:c r="B36" s="476" t="str">
        <x:v>LmsIndicadorEstudiante</x:v>
      </x:c>
      <x:c r="C36" s="476" t="str">
        <x:v>LMS</x:v>
      </x:c>
      <x:c r="D36" s="476" t="str">
        <x:v>Indicadores LMS por periodo</x:v>
      </x:c>
      <x:c r="E36" s="476" t="str">
        <x:v>id, studentId, periodoId, frecuenciaAcceso, tiempoPlataforma, tareasRatio, participacion, usoForos, disminucionActividad, updatedAt</x:v>
      </x:c>
      <x:c r="F36" s="476" t="str">
        <x:v>P07/P08</x:v>
      </x:c>
      <x:c r="G36" s="476" t="str">
        <x:v>Media/alta</x:v>
      </x:c>
      <x:c r="H36" s="476" t="str">
        <x:v>FK estudiante/periodo + temporalidad</x:v>
      </x:c>
      <x:c r="I36" s="476" t="str">
        <x:v>Conservar eventos/agregados versionados</x:v>
      </x:c>
      <x:c r="J36" s="476" t="str">
        <x:v>VD: engagement LMS</x:v>
      </x:c>
      <x:c r="K36" s="477" t="str">
        <x:v>backend/prisma/schema.prisma; migrations; Anexo 07 §4.2.7</x:v>
      </x:c>
    </x:row>
    <x:row r="37" ht="66" customHeight="1">
      <x:c r="A37" s="475" t="n">
        <x:v>33</x:v>
      </x:c>
      <x:c r="B37" s="476" t="str">
        <x:v>MlFeatureDef</x:v>
      </x:c>
      <x:c r="C37" s="476" t="str">
        <x:v>Machine Learning</x:v>
      </x:c>
      <x:c r="D37" s="476" t="str">
        <x:v>Catálogo de features ML</x:v>
      </x:c>
      <x:c r="E37" s="476" t="str">
        <x:v>id, codigo, nombre, tipoDato, rangoMin, rangoMax, descripcion, orden</x:v>
      </x:c>
      <x:c r="F37" s="476" t="str">
        <x:v>P08–P12</x:v>
      </x:c>
      <x:c r="G37" s="476" t="str">
        <x:v>Alta/ científica</x:v>
      </x:c>
      <x:c r="H37" s="476" t="str">
        <x:v>Versionado dataset/modelo/inferencia + FK</x:v>
      </x:c>
      <x:c r="I37" s="476" t="str">
        <x:v>Artefactos/versiones; no sobrescribir evidencia científica</x:v>
      </x:c>
      <x:c r="J37" s="476" t="str">
        <x:v>VI + VD + intermedia</x:v>
      </x:c>
      <x:c r="K37" s="477" t="str">
        <x:v>backend/prisma/schema.prisma; migrations; Anexo 07 §4.2.7</x:v>
      </x:c>
    </x:row>
    <x:row r="38" ht="66" customHeight="1">
      <x:c r="A38" s="475" t="n">
        <x:v>34</x:v>
      </x:c>
      <x:c r="B38" s="476" t="str">
        <x:v>MlDataset</x:v>
      </x:c>
      <x:c r="C38" s="476" t="str">
        <x:v>Machine Learning</x:v>
      </x:c>
      <x:c r="D38" s="476" t="str">
        <x:v>Versiones de datasets</x:v>
      </x:c>
      <x:c r="E38" s="476" t="str">
        <x:v>id, codigo, version, rutaArchivo, hashSha256, registros, descripcion, createdAt</x:v>
      </x:c>
      <x:c r="F38" s="476" t="str">
        <x:v>P08–P12</x:v>
      </x:c>
      <x:c r="G38" s="476" t="str">
        <x:v>Alta/ científica</x:v>
      </x:c>
      <x:c r="H38" s="476" t="str">
        <x:v>Versionado dataset/modelo/inferencia + FK</x:v>
      </x:c>
      <x:c r="I38" s="476" t="str">
        <x:v>Artefactos/versiones; no sobrescribir evidencia científica</x:v>
      </x:c>
      <x:c r="J38" s="476" t="str">
        <x:v>VI + VD + intermedia</x:v>
      </x:c>
      <x:c r="K38" s="477" t="str">
        <x:v>backend/prisma/schema.prisma; migrations; Anexo 07 §4.2.7</x:v>
      </x:c>
    </x:row>
    <x:row r="39" ht="66" customHeight="1">
      <x:c r="A39" s="475" t="n">
        <x:v>35</x:v>
      </x:c>
      <x:c r="B39" s="476" t="str">
        <x:v>MlEntrenamiento</x:v>
      </x:c>
      <x:c r="C39" s="476" t="str">
        <x:v>Machine Learning</x:v>
      </x:c>
      <x:c r="D39" s="476" t="str">
        <x:v>Ejecuciones de entrenamiento</x:v>
      </x:c>
      <x:c r="E39" s="476" t="str">
        <x:v>id, datasetId, codigo, algoritmos, hiperparametros, duracionSeg, estado, iniciadoAt, finalizadoAt, logTexto</x:v>
      </x:c>
      <x:c r="F39" s="476" t="str">
        <x:v>P08–P12</x:v>
      </x:c>
      <x:c r="G39" s="476" t="str">
        <x:v>Alta/ científica</x:v>
      </x:c>
      <x:c r="H39" s="476" t="str">
        <x:v>Versionado dataset/modelo/inferencia + FK</x:v>
      </x:c>
      <x:c r="I39" s="476" t="str">
        <x:v>Artefactos/versiones; no sobrescribir evidencia científica</x:v>
      </x:c>
      <x:c r="J39" s="476" t="str">
        <x:v>VI + VD + intermedia</x:v>
      </x:c>
      <x:c r="K39" s="477" t="str">
        <x:v>backend/prisma/schema.prisma; migrations; Anexo 07 §4.2.7</x:v>
      </x:c>
    </x:row>
    <x:row r="40" ht="66" customHeight="1">
      <x:c r="A40" s="475" t="n">
        <x:v>36</x:v>
      </x:c>
      <x:c r="B40" s="476" t="str">
        <x:v>MlModelo</x:v>
      </x:c>
      <x:c r="C40" s="476" t="str">
        <x:v>Machine Learning</x:v>
      </x:c>
      <x:c r="D40" s="476" t="str">
        <x:v>Artefactos/versiones de modelo</x:v>
      </x:c>
      <x:c r="E40" s="476" t="str">
        <x:v>id, entrenamientoId, codigo, nombre, rutaArtifact, version, esProduccion, createdAt</x:v>
      </x:c>
      <x:c r="F40" s="476" t="str">
        <x:v>P08–P12</x:v>
      </x:c>
      <x:c r="G40" s="476" t="str">
        <x:v>Alta/ científica</x:v>
      </x:c>
      <x:c r="H40" s="476" t="str">
        <x:v>Versionado dataset/modelo/inferencia + FK</x:v>
      </x:c>
      <x:c r="I40" s="476" t="str">
        <x:v>Artefactos/versiones; no sobrescribir evidencia científica</x:v>
      </x:c>
      <x:c r="J40" s="476" t="str">
        <x:v>VI + VD + intermedia</x:v>
      </x:c>
      <x:c r="K40" s="477" t="str">
        <x:v>backend/prisma/schema.prisma; migrations; Anexo 07 §4.2.7</x:v>
      </x:c>
    </x:row>
    <x:row r="41" ht="66" customHeight="1">
      <x:c r="A41" s="475" t="n">
        <x:v>37</x:v>
      </x:c>
      <x:c r="B41" s="476" t="str">
        <x:v>MlMetrica</x:v>
      </x:c>
      <x:c r="C41" s="476" t="str">
        <x:v>Machine Learning</x:v>
      </x:c>
      <x:c r="D41" s="476" t="str">
        <x:v>Métricas por modelo</x:v>
      </x:c>
      <x:c r="E41" s="476" t="str">
        <x:v>id, modeloId, accuracy, precisionMacro, recallMacro, f1Macro, matrizConfusion, metricasJson, createdAt</x:v>
      </x:c>
      <x:c r="F41" s="476" t="str">
        <x:v>P08–P12</x:v>
      </x:c>
      <x:c r="G41" s="476" t="str">
        <x:v>Alta/ científica</x:v>
      </x:c>
      <x:c r="H41" s="476" t="str">
        <x:v>Versionado dataset/modelo/inferencia + FK</x:v>
      </x:c>
      <x:c r="I41" s="476" t="str">
        <x:v>Artefactos/versiones; no sobrescribir evidencia científica</x:v>
      </x:c>
      <x:c r="J41" s="476" t="str">
        <x:v>VI + VD + intermedia</x:v>
      </x:c>
      <x:c r="K41" s="477" t="str">
        <x:v>backend/prisma/schema.prisma; migrations; Anexo 07 §4.2.7</x:v>
      </x:c>
    </x:row>
    <x:row r="42" ht="66" customHeight="1">
      <x:c r="A42" s="475" t="n">
        <x:v>38</x:v>
      </x:c>
      <x:c r="B42" s="476" t="str">
        <x:v>Prediction</x:v>
      </x:c>
      <x:c r="C42" s="476" t="str">
        <x:v>Machine Learning</x:v>
      </x:c>
      <x:c r="D42" s="476" t="str">
        <x:v>Resultado de inferencia</x:v>
      </x:c>
      <x:c r="E42" s="476" t="str">
        <x:v>id, studentId, modeloId, score, nivelRiesgo, probabilidad, probabilidadAbandono, periodoId, createdAt</x:v>
      </x:c>
      <x:c r="F42" s="476" t="str">
        <x:v>P08–P12</x:v>
      </x:c>
      <x:c r="G42" s="476" t="str">
        <x:v>Alta/ científica</x:v>
      </x:c>
      <x:c r="H42" s="476" t="str">
        <x:v>Versionado dataset/modelo/inferencia + FK</x:v>
      </x:c>
      <x:c r="I42" s="476" t="str">
        <x:v>Artefactos/versiones; no sobrescribir evidencia científica</x:v>
      </x:c>
      <x:c r="J42" s="476" t="str">
        <x:v>VI + VD + intermedia</x:v>
      </x:c>
      <x:c r="K42" s="477" t="str">
        <x:v>backend/prisma/schema.prisma; migrations; Anexo 07 §4.2.7</x:v>
      </x:c>
    </x:row>
    <x:row r="43" ht="66" customHeight="1">
      <x:c r="A43" s="475" t="n">
        <x:v>39</x:v>
      </x:c>
      <x:c r="B43" s="476" t="str">
        <x:v>PrediccionFeatureSnapshot</x:v>
      </x:c>
      <x:c r="C43" s="476" t="str">
        <x:v>Machine Learning</x:v>
      </x:c>
      <x:c r="D43" s="476" t="str">
        <x:v>Snapshot de features de inferencia</x:v>
      </x:c>
      <x:c r="E43" s="476" t="str">
        <x:v>id, prediccionId, featureCodigo, valorNumerico, valorTexto</x:v>
      </x:c>
      <x:c r="F43" s="476" t="str">
        <x:v>P08–P12</x:v>
      </x:c>
      <x:c r="G43" s="476" t="str">
        <x:v>Alta/ científica</x:v>
      </x:c>
      <x:c r="H43" s="476" t="str">
        <x:v>Versionado dataset/modelo/inferencia + FK</x:v>
      </x:c>
      <x:c r="I43" s="476" t="str">
        <x:v>Artefactos/versiones; no sobrescribir evidencia científica</x:v>
      </x:c>
      <x:c r="J43" s="476" t="str">
        <x:v>VI + VD + intermedia</x:v>
      </x:c>
      <x:c r="K43" s="477" t="str">
        <x:v>backend/prisma/schema.prisma; migrations; Anexo 07 §4.2.7</x:v>
      </x:c>
    </x:row>
    <x:row r="44" ht="66" customHeight="1">
      <x:c r="A44" s="475" t="n">
        <x:v>40</x:v>
      </x:c>
      <x:c r="B44" s="476" t="str">
        <x:v>PrediccionFactor</x:v>
      </x:c>
      <x:c r="C44" s="476" t="str">
        <x:v>Machine Learning</x:v>
      </x:c>
      <x:c r="D44" s="476" t="str">
        <x:v>Factores explicativos</x:v>
      </x:c>
      <x:c r="E44" s="476" t="str">
        <x:v>id, prediccionId, factorKey, etiqueta, contribucion</x:v>
      </x:c>
      <x:c r="F44" s="476" t="str">
        <x:v>P08–P12</x:v>
      </x:c>
      <x:c r="G44" s="476" t="str">
        <x:v>Alta/ científica</x:v>
      </x:c>
      <x:c r="H44" s="476" t="str">
        <x:v>Versionado dataset/modelo/inferencia + FK</x:v>
      </x:c>
      <x:c r="I44" s="476" t="str">
        <x:v>Artefactos/versiones; no sobrescribir evidencia científica</x:v>
      </x:c>
      <x:c r="J44" s="476" t="str">
        <x:v>VI + VD + intermedia</x:v>
      </x:c>
      <x:c r="K44" s="477" t="str">
        <x:v>backend/prisma/schema.prisma; migrations; Anexo 07 §4.2.7</x:v>
      </x:c>
    </x:row>
    <x:row r="45" ht="66" customHeight="1">
      <x:c r="A45" s="475" t="n">
        <x:v>41</x:v>
      </x:c>
      <x:c r="B45" s="476" t="str">
        <x:v>AiRecommendation</x:v>
      </x:c>
      <x:c r="C45" s="476" t="str">
        <x:v>Machine Learning</x:v>
      </x:c>
      <x:c r="D45" s="476" t="str">
        <x:v>Recomendaciones asociadas</x:v>
      </x:c>
      <x:c r="E45" s="476" t="str">
        <x:v>id, studentId, prediccionId, factorKey, titulo, detalle, aplicada, createdAt</x:v>
      </x:c>
      <x:c r="F45" s="476" t="str">
        <x:v>P08–P12</x:v>
      </x:c>
      <x:c r="G45" s="476" t="str">
        <x:v>Alta/ científica</x:v>
      </x:c>
      <x:c r="H45" s="476" t="str">
        <x:v>Versionado dataset/modelo/inferencia + FK</x:v>
      </x:c>
      <x:c r="I45" s="476" t="str">
        <x:v>Artefactos/versiones; no sobrescribir evidencia científica</x:v>
      </x:c>
      <x:c r="J45" s="476" t="str">
        <x:v>VI + VD + intermedia</x:v>
      </x:c>
      <x:c r="K45" s="477" t="str">
        <x:v>backend/prisma/schema.prisma; migrations; Anexo 07 §4.2.7</x:v>
      </x:c>
    </x:row>
    <x:row r="46" ht="66" customHeight="1">
      <x:c r="A46" s="475" t="n">
        <x:v>42</x:v>
      </x:c>
      <x:c r="B46" s="476" t="str">
        <x:v>Alert</x:v>
      </x:c>
      <x:c r="C46" s="476" t="str">
        <x:v>Alertas</x:v>
      </x:c>
      <x:c r="D46" s="476" t="str">
        <x:v>Alerta de riesgo</x:v>
      </x:c>
      <x:c r="E46" s="476" t="str">
        <x:v>id, studentId, prediccionId, titulo, descripcion, nivelRiesgo, score, probabilidad, estado, recomendacion, createdAt, updatedAt</x:v>
      </x:c>
      <x:c r="F46" s="476" t="str">
        <x:v>P13</x:v>
      </x:c>
      <x:c r="G46" s="476" t="str">
        <x:v>Alta</x:v>
      </x:c>
      <x:c r="H46" s="476" t="str">
        <x:v>Historial, FK y trazabilidad de cambios</x:v>
      </x:c>
      <x:c r="I46" s="476" t="str">
        <x:v>No borrar historial; corregir por transición</x:v>
      </x:c>
      <x:c r="J46" s="476" t="str">
        <x:v>VD/intermedia: riesgo/alerta</x:v>
      </x:c>
      <x:c r="K46" s="477" t="str">
        <x:v>backend/prisma/schema.prisma; migrations; Anexo 07 §4.2.7</x:v>
      </x:c>
    </x:row>
    <x:row r="47" ht="66" customHeight="1">
      <x:c r="A47" s="475" t="n">
        <x:v>43</x:v>
      </x:c>
      <x:c r="B47" s="476" t="str">
        <x:v>AlertaHistorial</x:v>
      </x:c>
      <x:c r="C47" s="476" t="str">
        <x:v>Alertas</x:v>
      </x:c>
      <x:c r="D47" s="476" t="str">
        <x:v>Cambios de estado</x:v>
      </x:c>
      <x:c r="E47" s="476" t="str">
        <x:v>id, alertaId, estadoAnterior, estadoNuevo, usuarioId, comentario, createdAt</x:v>
      </x:c>
      <x:c r="F47" s="476" t="str">
        <x:v>P13</x:v>
      </x:c>
      <x:c r="G47" s="476" t="str">
        <x:v>Alta</x:v>
      </x:c>
      <x:c r="H47" s="476" t="str">
        <x:v>Historial, FK y trazabilidad de cambios</x:v>
      </x:c>
      <x:c r="I47" s="476" t="str">
        <x:v>No borrar historial; corregir por transición</x:v>
      </x:c>
      <x:c r="J47" s="476" t="str">
        <x:v>VD/intermedia: riesgo/alerta</x:v>
      </x:c>
      <x:c r="K47" s="477" t="str">
        <x:v>backend/prisma/schema.prisma; migrations; Anexo 07 §4.2.7</x:v>
      </x:c>
    </x:row>
    <x:row r="48" ht="66" customHeight="1">
      <x:c r="A48" s="475" t="n">
        <x:v>44</x:v>
      </x:c>
      <x:c r="B48" s="476" t="str">
        <x:v>AlertaFactor</x:v>
      </x:c>
      <x:c r="C48" s="476" t="str">
        <x:v>Alertas</x:v>
      </x:c>
      <x:c r="D48" s="476" t="str">
        <x:v>Factores de alerta</x:v>
      </x:c>
      <x:c r="E48" s="476" t="str">
        <x:v>id, alertaId, factorKey, etiqueta, contribucion</x:v>
      </x:c>
      <x:c r="F48" s="476" t="str">
        <x:v>P13</x:v>
      </x:c>
      <x:c r="G48" s="476" t="str">
        <x:v>Alta</x:v>
      </x:c>
      <x:c r="H48" s="476" t="str">
        <x:v>Historial, FK y trazabilidad de cambios</x:v>
      </x:c>
      <x:c r="I48" s="476" t="str">
        <x:v>No borrar historial; corregir por transición</x:v>
      </x:c>
      <x:c r="J48" s="476" t="str">
        <x:v>VD/intermedia: riesgo/alerta</x:v>
      </x:c>
      <x:c r="K48" s="477" t="str">
        <x:v>backend/prisma/schema.prisma; migrations; Anexo 07 §4.2.7</x:v>
      </x:c>
    </x:row>
    <x:row r="49" ht="66" customHeight="1">
      <x:c r="A49" s="475" t="n">
        <x:v>45</x:v>
      </x:c>
      <x:c r="B49" s="476" t="str">
        <x:v>MensajeSala</x:v>
      </x:c>
      <x:c r="C49" s="476" t="str">
        <x:v>Comunicación</x:v>
      </x:c>
      <x:c r="D49" s="476" t="str">
        <x:v>Sala de mensajería</x:v>
      </x:c>
      <x:c r="E49" s="476" t="str">
        <x:v>id, roomId, alcance, titulo, cursoOfertaId, createdAt</x:v>
      </x:c>
      <x:c r="F49" s="476" t="str">
        <x:v>P16</x:v>
      </x:c>
      <x:c r="G49" s="476" t="str">
        <x:v>Media/alta</x:v>
      </x:c>
      <x:c r="H49" s="476" t="str">
        <x:v>Scope/destinatario + FK</x:v>
      </x:c>
      <x:c r="I49" s="476" t="str">
        <x:v>Retención y acceso autorizado</x:v>
      </x:c>
      <x:c r="J49" s="476" t="str">
        <x:v>Intermedia: trazabilidad</x:v>
      </x:c>
      <x:c r="K49" s="477" t="str">
        <x:v>backend/prisma/schema.prisma; migrations; Anexo 07 §4.2.7</x:v>
      </x:c>
    </x:row>
    <x:row r="50" ht="66" customHeight="1">
      <x:c r="A50" s="475" t="n">
        <x:v>46</x:v>
      </x:c>
      <x:c r="B50" s="476" t="str">
        <x:v>ChatMessage</x:v>
      </x:c>
      <x:c r="C50" s="476" t="str">
        <x:v>Comunicación</x:v>
      </x:c>
      <x:c r="D50" s="476" t="str">
        <x:v>Mensajes</x:v>
      </x:c>
      <x:c r="E50" s="476" t="str">
        <x:v>id, salaId, remitenteId, destinatarioId, contenido, mensajePadreId, createdAt</x:v>
      </x:c>
      <x:c r="F50" s="476" t="str">
        <x:v>P16</x:v>
      </x:c>
      <x:c r="G50" s="476" t="str">
        <x:v>Media/alta</x:v>
      </x:c>
      <x:c r="H50" s="476" t="str">
        <x:v>Scope/destinatario + FK</x:v>
      </x:c>
      <x:c r="I50" s="476" t="str">
        <x:v>Retención y acceso autorizado</x:v>
      </x:c>
      <x:c r="J50" s="476" t="str">
        <x:v>Intermedia: trazabilidad</x:v>
      </x:c>
      <x:c r="K50" s="477" t="str">
        <x:v>backend/prisma/schema.prisma; migrations; Anexo 07 §4.2.7</x:v>
      </x:c>
    </x:row>
    <x:row r="51" ht="66" customHeight="1">
      <x:c r="A51" s="475" t="n">
        <x:v>47</x:v>
      </x:c>
      <x:c r="B51" s="476" t="str">
        <x:v>MessageRead</x:v>
      </x:c>
      <x:c r="C51" s="476" t="str">
        <x:v>Comunicación</x:v>
      </x:c>
      <x:c r="D51" s="476" t="str">
        <x:v>Control de lectura</x:v>
      </x:c>
      <x:c r="E51" s="476" t="str">
        <x:v>mensajeId, usuarioId, leido, leidoAt</x:v>
      </x:c>
      <x:c r="F51" s="476" t="str">
        <x:v>P16</x:v>
      </x:c>
      <x:c r="G51" s="476" t="str">
        <x:v>Media/alta</x:v>
      </x:c>
      <x:c r="H51" s="476" t="str">
        <x:v>Scope/destinatario + FK</x:v>
      </x:c>
      <x:c r="I51" s="476" t="str">
        <x:v>Retención y acceso autorizado</x:v>
      </x:c>
      <x:c r="J51" s="476" t="str">
        <x:v>Intermedia: trazabilidad</x:v>
      </x:c>
      <x:c r="K51" s="477" t="str">
        <x:v>backend/prisma/schema.prisma; migrations; Anexo 07 §4.2.7</x:v>
      </x:c>
    </x:row>
    <x:row r="52" ht="66" customHeight="1">
      <x:c r="A52" s="475" t="n">
        <x:v>48</x:v>
      </x:c>
      <x:c r="B52" s="476" t="str">
        <x:v>AuditLog</x:v>
      </x:c>
      <x:c r="C52" s="476" t="str">
        <x:v>Operación y soporte</x:v>
      </x:c>
      <x:c r="D52" s="476" t="str">
        <x:v>Auditoría</x:v>
      </x:c>
      <x:c r="E52" s="476" t="str">
        <x:v>id, entidad, entidadId, accion, usuarioId, estudianteId, profesorId, detalle, ipAddress, createdAt</x:v>
      </x:c>
      <x:c r="F52" s="476" t="str">
        <x:v>P14–P20</x:v>
      </x:c>
      <x:c r="G52" s="476" t="str">
        <x:v>Variable</x:v>
      </x:c>
      <x:c r="H52" s="476" t="str">
        <x:v>Logs/snapshots/config controlada</x:v>
      </x:c>
      <x:c r="I52" s="476" t="str">
        <x:v>Retención + backup + acceso restringido</x:v>
      </x:c>
      <x:c r="J52" s="476" t="str">
        <x:v>Intermedia: gestión/calidad</x:v>
      </x:c>
      <x:c r="K52" s="477" t="str">
        <x:v>backend/prisma/schema.prisma; migrations; Anexo 07 §4.2.7</x:v>
      </x:c>
    </x:row>
    <x:row r="53" ht="66" customHeight="1">
      <x:c r="A53" s="475" t="n">
        <x:v>49</x:v>
      </x:c>
      <x:c r="B53" s="476" t="str">
        <x:v>Report</x:v>
      </x:c>
      <x:c r="C53" s="476" t="str">
        <x:v>Operación y soporte</x:v>
      </x:c>
      <x:c r="D53" s="476" t="str">
        <x:v>Reportes generados</x:v>
      </x:c>
      <x:c r="E53" s="476" t="str">
        <x:v>id, titulo, tipo, generadoPor, rutaArchivo, metaJson, createdAt</x:v>
      </x:c>
      <x:c r="F53" s="476" t="str">
        <x:v>P14–P20</x:v>
      </x:c>
      <x:c r="G53" s="476" t="str">
        <x:v>Variable</x:v>
      </x:c>
      <x:c r="H53" s="476" t="str">
        <x:v>Logs/snapshots/config controlada</x:v>
      </x:c>
      <x:c r="I53" s="476" t="str">
        <x:v>Retención + backup + acceso restringido</x:v>
      </x:c>
      <x:c r="J53" s="476" t="str">
        <x:v>Intermedia: gestión/calidad</x:v>
      </x:c>
      <x:c r="K53" s="477" t="str">
        <x:v>backend/prisma/schema.prisma; migrations; Anexo 07 §4.2.7</x:v>
      </x:c>
    </x:row>
    <x:row r="54" ht="66" customHeight="1">
      <x:c r="A54" s="475" t="n">
        <x:v>50</x:v>
      </x:c>
      <x:c r="B54" s="476" t="str">
        <x:v>Notification</x:v>
      </x:c>
      <x:c r="C54" s="476" t="str">
        <x:v>Operación y soporte</x:v>
      </x:c>
      <x:c r="D54" s="476" t="str">
        <x:v>Notificaciones</x:v>
      </x:c>
      <x:c r="E54" s="476" t="str">
        <x:v>id, usuarioId, tipo, titulo, mensaje, leida, createdAt</x:v>
      </x:c>
      <x:c r="F54" s="476" t="str">
        <x:v>P14–P20</x:v>
      </x:c>
      <x:c r="G54" s="476" t="str">
        <x:v>Variable</x:v>
      </x:c>
      <x:c r="H54" s="476" t="str">
        <x:v>Logs/snapshots/config controlada</x:v>
      </x:c>
      <x:c r="I54" s="476" t="str">
        <x:v>Retención + backup + acceso restringido</x:v>
      </x:c>
      <x:c r="J54" s="476" t="str">
        <x:v>Intermedia: gestión/calidad</x:v>
      </x:c>
      <x:c r="K54" s="477" t="str">
        <x:v>backend/prisma/schema.prisma; migrations; Anexo 07 §4.2.7</x:v>
      </x:c>
    </x:row>
    <x:row r="55" ht="66" customHeight="1">
      <x:c r="A55" s="475" t="n">
        <x:v>51</x:v>
      </x:c>
      <x:c r="B55" s="476" t="str">
        <x:v>DashboardSnapshot</x:v>
      </x:c>
      <x:c r="C55" s="476" t="str">
        <x:v>Operación y soporte</x:v>
      </x:c>
      <x:c r="D55" s="476" t="str">
        <x:v>Snapshot de KPIs</x:v>
      </x:c>
      <x:c r="E55" s="476" t="str">
        <x:v>id, anioLectivoId, periodoId, totalEstudiantes, riesgoBajo, riesgoMedio, riesgoAlto, alertasAbiertas, metaJson, createdAt</x:v>
      </x:c>
      <x:c r="F55" s="476" t="str">
        <x:v>P14–P20</x:v>
      </x:c>
      <x:c r="G55" s="476" t="str">
        <x:v>Variable</x:v>
      </x:c>
      <x:c r="H55" s="476" t="str">
        <x:v>Logs/snapshots/config controlada</x:v>
      </x:c>
      <x:c r="I55" s="476" t="str">
        <x:v>Retención + backup + acceso restringido</x:v>
      </x:c>
      <x:c r="J55" s="476" t="str">
        <x:v>Intermedia: gestión/calidad</x:v>
      </x:c>
      <x:c r="K55" s="477" t="str">
        <x:v>backend/prisma/schema.prisma; migrations; Anexo 07 §4.2.7</x:v>
      </x:c>
    </x:row>
    <x:row r="56" ht="66" customHeight="1">
      <x:c r="A56" s="478" t="n">
        <x:v>52</x:v>
      </x:c>
      <x:c r="B56" s="479" t="str">
        <x:v>SystemConfig</x:v>
      </x:c>
      <x:c r="C56" s="479" t="str">
        <x:v>Operación y soporte</x:v>
      </x:c>
      <x:c r="D56" s="479" t="str">
        <x:v>Configuración del sistema</x:v>
      </x:c>
      <x:c r="E56" s="479" t="str">
        <x:v>id, clave, valor, updatedAt</x:v>
      </x:c>
      <x:c r="F56" s="479" t="str">
        <x:v>P14–P20</x:v>
      </x:c>
      <x:c r="G56" s="479" t="str">
        <x:v>Variable</x:v>
      </x:c>
      <x:c r="H56" s="479" t="str">
        <x:v>Logs/snapshots/config controlada</x:v>
      </x:c>
      <x:c r="I56" s="479" t="str">
        <x:v>Retención + backup + acceso restringido</x:v>
      </x:c>
      <x:c r="J56" s="479" t="str">
        <x:v>Intermedia: gestión/calidad</x:v>
      </x:c>
      <x:c r="K56" s="480" t="str">
        <x:v>backend/prisma/schema.prisma; migrations; Anexo 07 §4.2.7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" hidden="0" customWidth="1"/>
    <x:col min="3" max="3" width="38" hidden="0" customWidth="1"/>
    <x:col min="4" max="4" width="38" hidden="0" customWidth="1"/>
    <x:col min="5" max="5" width="54" hidden="0" customWidth="1"/>
    <x:col min="6" max="6" width="18" hidden="0" customWidth="1"/>
    <x:col min="7" max="7" width="16" hidden="0" customWidth="1"/>
    <x:col min="8" max="8" width="40" hidden="0" customWidth="1"/>
    <x:col min="9" max="9" width="36" hidden="0" customWidth="1"/>
    <x:col min="10" max="10" width="30" hidden="0" customWidth="1"/>
    <x:col min="11" max="11" width="62" hidden="0" customWidth="1"/>
    <x:col min="12" max="12" width="48" hidden="0" customWidth="1"/>
    <x:col min="13" max="13" width="42" hidden="0" customWidth="1"/>
  </x:cols>
  <x:sheetData>
    <x:row r="1" ht="34" customHeight="1">
      <x:c r="A1" s="444" t="str">
        <x:v>Matriz indicadores × dataset × software × dashboard</x:v>
      </x:c>
      <x:c r="B1" s="444"/>
      <x:c r="C1" s="444"/>
      <x:c r="D1" s="444"/>
      <x:c r="E1" s="444"/>
      <x:c r="F1" s="444"/>
      <x:c r="G1" s="444"/>
      <x:c r="H1" s="444"/>
      <x:c r="I1" s="444"/>
      <x:c r="J1" s="444"/>
      <x:c r="K1" s="444"/>
      <x:c r="L1" s="444"/>
      <x:c r="M1" s="444"/>
    </x:row>
    <x:row r="2" ht="42" customHeight="1">
      <x:c r="A2" s="448" t="str">
        <x:v>Esta hoja resuelve la observación de APUNTES: todos los indicadores deben tener un lugar verificable. No todos deben mostrarse como KPI visual: algunos pertenecen al dataset, al pipeline ML o a reportes científicos; la columna 'Superficie' indica dónde corresponde demostrar cada uno.</x:v>
      </x:c>
      <x:c r="B2" s="448"/>
      <x:c r="C2" s="448"/>
      <x:c r="D2" s="448"/>
      <x:c r="E2" s="448"/>
      <x:c r="F2" s="448"/>
      <x:c r="G2" s="448"/>
      <x:c r="H2" s="448"/>
      <x:c r="I2" s="448"/>
      <x:c r="J2" s="448"/>
      <x:c r="K2" s="448"/>
      <x:c r="L2" s="448"/>
      <x:c r="M2" s="448"/>
    </x:row>
    <x:row r="4" ht="48" customHeight="1">
      <x:c r="A4" s="453" t="str">
        <x:v>Variable</x:v>
      </x:c>
      <x:c r="B4" s="453" t="str">
        <x:v>Nombre variable</x:v>
      </x:c>
      <x:c r="C4" s="453" t="str">
        <x:v>Dimensión</x:v>
      </x:c>
      <x:c r="D4" s="453" t="str">
        <x:v>Indicador</x:v>
      </x:c>
      <x:c r="E4" s="453" t="str">
        <x:v>Definición operacional</x:v>
      </x:c>
      <x:c r="F4" s="453" t="str">
        <x:v>Escala</x:v>
      </x:c>
      <x:c r="G4" s="453" t="str">
        <x:v>Proceso</x:v>
      </x:c>
      <x:c r="H4" s="453" t="str">
        <x:v>BD / dato fuente</x:v>
      </x:c>
      <x:c r="I4" s="453" t="str">
        <x:v>API / procesamiento</x:v>
      </x:c>
      <x:c r="J4" s="453" t="str">
        <x:v>Superficie de evidencia</x:v>
      </x:c>
      <x:c r="K4" s="453" t="str">
        <x:v>Instrumentos / medios</x:v>
      </x:c>
      <x:c r="L4" s="453" t="str">
        <x:v>Evidencia actual V5</x:v>
      </x:c>
      <x:c r="M4" s="453" t="str">
        <x:v>Fuente</x:v>
      </x:c>
    </x:row>
    <x:row r="5" ht="66" customHeight="1">
      <x:c r="A5" s="472" t="str">
        <x:v>VI</x:v>
      </x:c>
      <x:c r="B5" s="473" t="str">
        <x:v>Modelo predictivo Ensemble Learning</x:v>
      </x:c>
      <x:c r="C5" s="473" t="str">
        <x:v>Integración y calidad de datos educativos</x:v>
      </x:c>
      <x:c r="D5" s="473" t="str">
        <x:v>Integración de datos académicos y LMS</x:v>
      </x:c>
      <x:c r="E5" s="473" t="str">
        <x:v>Consolidación de registros académicos y LMS en un dataset común con identificadores anonimizados y ventana temporal definida.</x:v>
      </x:c>
      <x:c r="F5" s="473" t="str">
        <x:v>Nominal / razón</x:v>
      </x:c>
      <x:c r="G5" s="473" t="str">
        <x:v>P08</x:v>
      </x:c>
      <x:c r="H5" s="473" t="str">
        <x:v>Student; Grade; Attendance; Matricula; Lms*; MlDataset</x:v>
      </x:c>
      <x:c r="I5" s="473" t="str">
        <x:v>ETL / dataset / validación de BD</x:v>
      </x:c>
      <x:c r="J5" s="473" t="str">
        <x:v>Dataset / reporte técnico</x:v>
      </x:c>
      <x:c r="K5" s="473" t="str">
        <x:v>Ficha académica; ficha logs LMS; diccionario; bitácora ETL; consulta validación</x:v>
      </x:c>
      <x:c r="L5" s="473" t="str">
        <x:v>—</x:v>
      </x:c>
      <x:c r="M5" s="474" t="str">
        <x:v>Matriz fusionada definitiva + Anexo 07 + GitHub V5</x:v>
      </x:c>
    </x:row>
    <x:row r="6" ht="66" customHeight="1">
      <x:c r="A6" s="475" t="str">
        <x:v>VI</x:v>
      </x:c>
      <x:c r="B6" s="476" t="str">
        <x:v>Modelo predictivo Ensemble Learning</x:v>
      </x:c>
      <x:c r="C6" s="476" t="str">
        <x:v>Integración y calidad de datos educativos</x:v>
      </x:c>
      <x:c r="D6" s="476" t="str">
        <x:v>Completitud y consistencia de datos</x:v>
      </x:c>
      <x:c r="E6" s="476" t="str">
        <x:v>Control de faltantes, duplicados, formatos incompatibles y reglas de consistencia antes del entrenamiento.</x:v>
      </x:c>
      <x:c r="F6" s="476" t="str">
        <x:v>Razón</x:v>
      </x:c>
      <x:c r="G6" s="476" t="str">
        <x:v>P09</x:v>
      </x:c>
      <x:c r="H6" s="476" t="str">
        <x:v>MlDataset + fuentes</x:v>
      </x:c>
      <x:c r="I6" s="476" t="str">
        <x:v>Pipeline calidad</x:v>
      </x:c>
      <x:c r="J6" s="476" t="str">
        <x:v>Reporte ML / calidad</x:v>
      </x:c>
      <x:c r="K6" s="476" t="str">
        <x:v>Perfil calidad; faltantes/duplicados; reglas; bitácora correcciones; SQL consistencia</x:v>
      </x:c>
      <x:c r="L6" s="476" t="str">
        <x:v>—</x:v>
      </x:c>
      <x:c r="M6" s="477" t="str">
        <x:v>Matriz fusionada definitiva + Anexo 07 + GitHub V5</x:v>
      </x:c>
    </x:row>
    <x:row r="7" ht="66" customHeight="1">
      <x:c r="A7" s="475" t="str">
        <x:v>VI</x:v>
      </x:c>
      <x:c r="B7" s="476" t="str">
        <x:v>Modelo predictivo Ensemble Learning</x:v>
      </x:c>
      <x:c r="C7" s="476" t="str">
        <x:v>Integración y calidad de datos educativos</x:v>
      </x:c>
      <x:c r="D7" s="476" t="str">
        <x:v>Transformación y selección de características</x:v>
      </x:c>
      <x:c r="E7" s="476" t="str">
        <x:v>Codificación, transformación, agregación y selección de características predictivas.</x:v>
      </x:c>
      <x:c r="F7" s="476" t="str">
        <x:v>Nominal / razón</x:v>
      </x:c>
      <x:c r="G7" s="476" t="str">
        <x:v>P09</x:v>
      </x:c>
      <x:c r="H7" s="476" t="str">
        <x:v>MlFeatureDef; MlDataset</x:v>
      </x:c>
      <x:c r="I7" s="476" t="str">
        <x:v>Pipeline preprocessing</x:v>
      </x:c>
      <x:c r="J7" s="476" t="str">
        <x:v>Reporte ML / dataset</x:v>
      </x:c>
      <x:c r="K7" s="476" t="str">
        <x:v>Pipeline; ficha transformación; selección; notebook/script; dataset versionado</x:v>
      </x:c>
      <x:c r="L7" s="476" t="str">
        <x:v>—</x:v>
      </x:c>
      <x:c r="M7" s="477" t="str">
        <x:v>Matriz fusionada definitiva + Anexo 07 + GitHub V5</x:v>
      </x:c>
    </x:row>
    <x:row r="8" ht="66" customHeight="1">
      <x:c r="A8" s="475" t="str">
        <x:v>VI</x:v>
      </x:c>
      <x:c r="B8" s="476" t="str">
        <x:v>Modelo predictivo Ensemble Learning</x:v>
      </x:c>
      <x:c r="C8" s="476" t="str">
        <x:v>Integración y calidad de datos educativos</x:v>
      </x:c>
      <x:c r="D8" s="476" t="str">
        <x:v>Balance y control temporal</x:v>
      </x:c>
      <x:c r="E8" s="476" t="str">
        <x:v>Control de distribución de clase y secuencia temporal para evitar fuga de información.</x:v>
      </x:c>
      <x:c r="F8" s="476" t="str">
        <x:v>Razón / temporal</x:v>
      </x:c>
      <x:c r="G8" s="476" t="str">
        <x:v>P09</x:v>
      </x:c>
      <x:c r="H8" s="476" t="str">
        <x:v>MlDataset</x:v>
      </x:c>
      <x:c r="I8" s="476" t="str">
        <x:v>Pipeline split/validación</x:v>
      </x:c>
      <x:c r="J8" s="476" t="str">
        <x:v>Reporte ML / evidencia científica</x:v>
      </x:c>
      <x:c r="K8" s="476" t="str">
        <x:v>Distribución clases; balanceo; split; semillas/cortes; checklist leakage</x:v>
      </x:c>
      <x:c r="L8" s="476" t="str">
        <x:v>—</x:v>
      </x:c>
      <x:c r="M8" s="477" t="str">
        <x:v>Matriz fusionada definitiva + Anexo 07 + GitHub V5</x:v>
      </x:c>
    </x:row>
    <x:row r="9" ht="66" customHeight="1">
      <x:c r="A9" s="475" t="str">
        <x:v>VI</x:v>
      </x:c>
      <x:c r="B9" s="476" t="str">
        <x:v>Modelo predictivo Ensemble Learning</x:v>
      </x:c>
      <x:c r="C9" s="476" t="str">
        <x:v>Modelado predictivo con Ensemble Learning</x:v>
      </x:c>
      <x:c r="D9" s="476" t="str">
        <x:v>Modelos base</x:v>
      </x:c>
      <x:c r="E9" s="476" t="str">
        <x:v>Algoritmos individuales usados como línea base para contrastar métodos Ensemble.</x:v>
      </x:c>
      <x:c r="F9" s="476" t="str">
        <x:v>Nominal</x:v>
      </x:c>
      <x:c r="G9" s="476" t="str">
        <x:v>P10</x:v>
      </x:c>
      <x:c r="H9" s="476" t="str">
        <x:v>MlEntrenamiento; MlModelo</x:v>
      </x:c>
      <x:c r="I9" s="476" t="str">
        <x:v>train.py</x:v>
      </x:c>
      <x:c r="J9" s="476" t="str">
        <x:v>Reporte ML</x:v>
      </x:c>
      <x:c r="K9" s="476" t="str">
        <x:v>Ficha experimentación; código; log; artefacto; comparación base</x:v>
      </x:c>
      <x:c r="L9" s="476" t="str">
        <x:v>—</x:v>
      </x:c>
      <x:c r="M9" s="477" t="str">
        <x:v>Matriz fusionada definitiva + Anexo 07 + GitHub V5</x:v>
      </x:c>
    </x:row>
    <x:row r="10" ht="66" customHeight="1">
      <x:c r="A10" s="475" t="str">
        <x:v>VI</x:v>
      </x:c>
      <x:c r="B10" s="476" t="str">
        <x:v>Modelo predictivo Ensemble Learning</x:v>
      </x:c>
      <x:c r="C10" s="476" t="str">
        <x:v>Modelado predictivo con Ensemble Learning</x:v>
      </x:c>
      <x:c r="D10" s="476" t="str">
        <x:v>Modelo Ensemble</x:v>
      </x:c>
      <x:c r="E10" s="476" t="str">
        <x:v>Método de conjunto definido para combinar o fortalecer predictores (RF/XGBoost/Stacking según diseño final).</x:v>
      </x:c>
      <x:c r="F10" s="476" t="str">
        <x:v>Nominal</x:v>
      </x:c>
      <x:c r="G10" s="476" t="str">
        <x:v>P10</x:v>
      </x:c>
      <x:c r="H10" s="476" t="str">
        <x:v>MlEntrenamiento; MlModelo</x:v>
      </x:c>
      <x:c r="I10" s="476" t="str">
        <x:v>train.py / artifacts</x:v>
      </x:c>
      <x:c r="J10" s="476" t="str">
        <x:v>Reporte ML</x:v>
      </x:c>
      <x:c r="K10" s="476" t="str">
        <x:v>Arquitectura Ensemble; código; log; artefacto; comparación</x:v>
      </x:c>
      <x:c r="L10" s="476" t="str">
        <x:v>—</x:v>
      </x:c>
      <x:c r="M10" s="477" t="str">
        <x:v>Matriz fusionada definitiva + Anexo 07 + GitHub V5</x:v>
      </x:c>
    </x:row>
    <x:row r="11" ht="66" customHeight="1">
      <x:c r="A11" s="475" t="str">
        <x:v>VI</x:v>
      </x:c>
      <x:c r="B11" s="476" t="str">
        <x:v>Modelo predictivo Ensemble Learning</x:v>
      </x:c>
      <x:c r="C11" s="476" t="str">
        <x:v>Modelado predictivo con Ensemble Learning</x:v>
      </x:c>
      <x:c r="D11" s="476" t="str">
        <x:v>Hiperparámetros y configuración</x:v>
      </x:c>
      <x:c r="E11" s="476" t="str">
        <x:v>Parámetros, semillas y configuraciones para entrenar y reproducir modelos.</x:v>
      </x:c>
      <x:c r="F11" s="476" t="str">
        <x:v>Nominal / razón</x:v>
      </x:c>
      <x:c r="G11" s="476" t="str">
        <x:v>P10</x:v>
      </x:c>
      <x:c r="H11" s="476" t="str">
        <x:v>MlEntrenamiento</x:v>
      </x:c>
      <x:c r="I11" s="476" t="str">
        <x:v>config/log de entrenamiento</x:v>
      </x:c>
      <x:c r="J11" s="476" t="str">
        <x:v>Reporte ML / bitácora</x:v>
      </x:c>
      <x:c r="K11" s="476" t="str">
        <x:v>Ficha hiperparámetros; config; log tuning; semillas; historial versiones</x:v>
      </x:c>
      <x:c r="L11" s="476" t="str">
        <x:v>—</x:v>
      </x:c>
      <x:c r="M11" s="477" t="str">
        <x:v>Matriz fusionada definitiva + Anexo 07 + GitHub V5</x:v>
      </x:c>
    </x:row>
    <x:row r="12" ht="66" customHeight="1">
      <x:c r="A12" s="475" t="str">
        <x:v>VI</x:v>
      </x:c>
      <x:c r="B12" s="476" t="str">
        <x:v>Modelo predictivo Ensemble Learning</x:v>
      </x:c>
      <x:c r="C12" s="476" t="str">
        <x:v>Modelado predictivo con Ensemble Learning</x:v>
      </x:c>
      <x:c r="D12" s="476" t="str">
        <x:v>Reproducibilidad del pipeline</x:v>
      </x:c>
      <x:c r="E12" s="476" t="str">
        <x:v>Capacidad de repetir preparación, entrenamiento e inferencia conservando versiones de datos, código, dependencias y modelo.</x:v>
      </x:c>
      <x:c r="F12" s="476" t="str">
        <x:v>Nominal</x:v>
      </x:c>
      <x:c r="G12" s="476" t="str">
        <x:v>P10</x:v>
      </x:c>
      <x:c r="H12" s="476" t="str">
        <x:v>MlDataset; MlEntrenamiento; MlModelo</x:v>
      </x:c>
      <x:c r="I12" s="476" t="str">
        <x:v>scripts + requirements + Docker</x:v>
      </x:c>
      <x:c r="J12" s="476" t="str">
        <x:v>Evidencia técnica ML</x:v>
      </x:c>
      <x:c r="K12" s="476" t="str">
        <x:v>Script pipeline; dependencias; Docker; versión dataset/modelo; bitácora reproducción</x:v>
      </x:c>
      <x:c r="L12" s="476" t="str">
        <x:v>—</x:v>
      </x:c>
      <x:c r="M12" s="477" t="str">
        <x:v>Matriz fusionada definitiva + Anexo 07 + GitHub V5</x:v>
      </x:c>
    </x:row>
    <x:row r="13" ht="66" customHeight="1">
      <x:c r="A13" s="475" t="str">
        <x:v>VI</x:v>
      </x:c>
      <x:c r="B13" s="476" t="str">
        <x:v>Modelo predictivo Ensemble Learning</x:v>
      </x:c>
      <x:c r="C13" s="476" t="str">
        <x:v>Evaluación, validación e interpretabilidad</x:v>
      </x:c>
      <x:c r="D13" s="476" t="str">
        <x:v>Desempeño de clasificación</x:v>
      </x:c>
      <x:c r="E13" s="476" t="str">
        <x:v>Accuracy, Precision, Recall y F1-Score con atención a la clase de riesgo.</x:v>
      </x:c>
      <x:c r="F13" s="476" t="str">
        <x:v>Razón</x:v>
      </x:c>
      <x:c r="G13" s="476" t="str">
        <x:v>P11</x:v>
      </x:c>
      <x:c r="H13" s="476" t="str">
        <x:v>MlMetrica</x:v>
      </x:c>
      <x:c r="I13" s="476" t="str">
        <x:v>evaluate.py / /ml/metrics</x:v>
      </x:c>
      <x:c r="J13" s="476" t="str">
        <x:v>Reporte científico / dashboard ML autorizado</x:v>
      </x:c>
      <x:c r="K13" s="476" t="str">
        <x:v>Ficha métricas; matriz confusión; predicciones test; notebook; comparativo</x:v>
      </x:c>
      <x:c r="L13" s="476" t="str">
        <x:v>Sin valor científico vigente: Prediction=0 y modelo ML no entrenado.</x:v>
      </x:c>
      <x:c r="M13" s="477" t="str">
        <x:v>Matriz fusionada definitiva + Anexo 07 + GitHub V5</x:v>
      </x:c>
    </x:row>
    <x:row r="14" ht="66" customHeight="1">
      <x:c r="A14" s="475" t="str">
        <x:v>VI</x:v>
      </x:c>
      <x:c r="B14" s="476" t="str">
        <x:v>Modelo predictivo Ensemble Learning</x:v>
      </x:c>
      <x:c r="C14" s="476" t="str">
        <x:v>Evaluación, validación e interpretabilidad</x:v>
      </x:c>
      <x:c r="D14" s="476" t="str">
        <x:v>Discriminación y generalización</x:v>
      </x:c>
      <x:c r="E14" s="476" t="str">
        <x:v>AUC-ROC y estabilidad fuera del entrenamiento según validación adoptada.</x:v>
      </x:c>
      <x:c r="F14" s="476" t="str">
        <x:v>Razón</x:v>
      </x:c>
      <x:c r="G14" s="476" t="str">
        <x:v>P11</x:v>
      </x:c>
      <x:c r="H14" s="476" t="str">
        <x:v>MlMetrica</x:v>
      </x:c>
      <x:c r="I14" s="476" t="str">
        <x:v>evaluate.py</x:v>
      </x:c>
      <x:c r="J14" s="476" t="str">
        <x:v>Reporte científico</x:v>
      </x:c>
      <x:c r="K14" s="476" t="str">
        <x:v>Curvas/AUC; CV/holdout; folds; test separado; estabilidad</x:v>
      </x:c>
      <x:c r="L14" s="476" t="str">
        <x:v>Sin valor científico vigente: Prediction=0 y modelo ML no entrenado.</x:v>
      </x:c>
      <x:c r="M14" s="477" t="str">
        <x:v>Matriz fusionada definitiva + Anexo 07 + GitHub V5</x:v>
      </x:c>
    </x:row>
    <x:row r="15" ht="66" customHeight="1">
      <x:c r="A15" s="475" t="str">
        <x:v>VI</x:v>
      </x:c>
      <x:c r="B15" s="476" t="str">
        <x:v>Modelo predictivo Ensemble Learning</x:v>
      </x:c>
      <x:c r="C15" s="476" t="str">
        <x:v>Evaluación, validación e interpretabilidad</x:v>
      </x:c>
      <x:c r="D15" s="476" t="str">
        <x:v>Importancia y explicación de características</x:v>
      </x:c>
      <x:c r="E15" s="476" t="str">
        <x:v>Variables influyentes y explicaciones globales/individuales sin interpretarlas como causalidad.</x:v>
      </x:c>
      <x:c r="F15" s="476" t="str">
        <x:v>Ordinal / razón</x:v>
      </x:c>
      <x:c r="G15" s="476" t="str">
        <x:v>P11/P12</x:v>
      </x:c>
      <x:c r="H15" s="476" t="str">
        <x:v>PrediccionFactor; MlModelo</x:v>
      </x:c>
      <x:c r="I15" s="476" t="str">
        <x:v>XAI/feature importance</x:v>
      </x:c>
      <x:c r="J15" s="476" t="str">
        <x:v>Predicción / reporte interpretabilidad</x:v>
      </x:c>
      <x:c r="K15" s="476" t="str">
        <x:v>Importancia; SHAP/XAI; explicación estudiante; gráfico global; informe</x:v>
      </x:c>
      <x:c r="L15" s="476" t="str">
        <x:v>—</x:v>
      </x:c>
      <x:c r="M15" s="477" t="str">
        <x:v>Matriz fusionada definitiva + Anexo 07 + GitHub V5</x:v>
      </x:c>
    </x:row>
    <x:row r="16" ht="66" customHeight="1">
      <x:c r="A16" s="475" t="str">
        <x:v>VI</x:v>
      </x:c>
      <x:c r="B16" s="476" t="str">
        <x:v>Modelo predictivo Ensemble Learning</x:v>
      </x:c>
      <x:c r="C16" s="476" t="str">
        <x:v>Evaluación, validación e interpretabilidad</x:v>
      </x:c>
      <x:c r="D16" s="476" t="str">
        <x:v>Anticipación de la predicción</x:v>
      </x:c>
      <x:c r="E16" s="476" t="str">
        <x:v>Momento del periodo en que puede generarse una predicción útil con información disponible hasta el corte.</x:v>
      </x:c>
      <x:c r="F16" s="476" t="str">
        <x:v>Temporal / ordinal</x:v>
      </x:c>
      <x:c r="G16" s="476" t="str">
        <x:v>P11/P12</x:v>
      </x:c>
      <x:c r="H16" s="476" t="str">
        <x:v>Prediction; PeriodoAcademico</x:v>
      </x:c>
      <x:c r="I16" s="476" t="str">
        <x:v>historial predicciones</x:v>
      </x:c>
      <x:c r="J16" s="476" t="str">
        <x:v>Reporte temporal / dashboard</x:v>
      </x:c>
      <x:c r="K16" s="476" t="str">
        <x:v>Historial fecha; cortes; dataset temporal; comparación temprana; log inferencia</x:v>
      </x:c>
      <x:c r="L16" s="476" t="str">
        <x:v>—</x:v>
      </x:c>
      <x:c r="M16" s="477" t="str">
        <x:v>Matriz fusionada definitiva + Anexo 07 + GitHub V5</x:v>
      </x:c>
    </x:row>
    <x:row r="17" ht="66" customHeight="1">
      <x:c r="A17" s="475" t="str">
        <x:v>VD</x:v>
      </x:c>
      <x:c r="B17" s="476" t="str">
        <x:v>Riesgo de deserción estudiantil</x:v>
      </x:c>
      <x:c r="C17" s="476" t="str">
        <x:v>Rendimiento y trayectoria académica</x:v>
      </x:c>
      <x:c r="D17" s="476" t="str">
        <x:v>Rendimiento académico</x:v>
      </x:c>
      <x:c r="E17" s="476" t="str">
        <x:v>Nivel de desempeño representado por promedio, calificaciones u otra medida disponible.</x:v>
      </x:c>
      <x:c r="F17" s="476" t="str">
        <x:v>Razón</x:v>
      </x:c>
      <x:c r="G17" s="476" t="str">
        <x:v>P05</x:v>
      </x:c>
      <x:c r="H17" s="476" t="str">
        <x:v>Grade; AcademicHistory; Student</x:v>
      </x:c>
      <x:c r="I17" s="476" t="str">
        <x:v>/grades; dashboards</x:v>
      </x:c>
      <x:c r="J17" s="476" t="str">
        <x:v>Dashboard + dataset</x:v>
      </x:c>
      <x:c r="K17" s="476" t="str">
        <x:v>Ficha académica; reporte notas; consulta; diccionario; dataset</x:v>
      </x:c>
      <x:c r="L17" s="476" t="str">
        <x:v>Grade=10,209 en corte V5; uso científico sujeto a autorización/metodología.</x:v>
      </x:c>
      <x:c r="M17" s="477" t="str">
        <x:v>Matriz fusionada definitiva + Anexo 07 + GitHub V5</x:v>
      </x:c>
    </x:row>
    <x:row r="18" ht="66" customHeight="1">
      <x:c r="A18" s="475" t="str">
        <x:v>VD</x:v>
      </x:c>
      <x:c r="B18" s="476" t="str">
        <x:v>Riesgo de deserción estudiantil</x:v>
      </x:c>
      <x:c r="C18" s="476" t="str">
        <x:v>Rendimiento y trayectoria académica</x:v>
      </x:c>
      <x:c r="D18" s="476" t="str">
        <x:v>Desaprobación académica</x:v>
      </x:c>
      <x:c r="E18" s="476" t="str">
        <x:v>Cantidad/proporción de áreas, cursos o evaluaciones desaprobadas durante el periodo.</x:v>
      </x:c>
      <x:c r="F18" s="476" t="str">
        <x:v>Razón</x:v>
      </x:c>
      <x:c r="G18" s="476" t="str">
        <x:v>P05</x:v>
      </x:c>
      <x:c r="H18" s="476" t="str">
        <x:v>Grade; AcademicHistory</x:v>
      </x:c>
      <x:c r="I18" s="476" t="str">
        <x:v>agregados académicos</x:v>
      </x:c>
      <x:c r="J18" s="476" t="str">
        <x:v>Dashboard + dataset</x:v>
      </x:c>
      <x:c r="K18" s="476" t="str">
        <x:v>Ficha desaprobados; historial; reporte periodo; SQL; dataset</x:v>
      </x:c>
      <x:c r="L18" s="476" t="str">
        <x:v>—</x:v>
      </x:c>
      <x:c r="M18" s="477" t="str">
        <x:v>Matriz fusionada definitiva + Anexo 07 + GitHub V5</x:v>
      </x:c>
    </x:row>
    <x:row r="19" ht="66" customHeight="1">
      <x:c r="A19" s="475" t="str">
        <x:v>VD</x:v>
      </x:c>
      <x:c r="B19" s="476" t="str">
        <x:v>Riesgo de deserción estudiantil</x:v>
      </x:c>
      <x:c r="C19" s="476" t="str">
        <x:v>Rendimiento y trayectoria académica</x:v>
      </x:c>
      <x:c r="D19" s="476" t="str">
        <x:v>Asistencia académica</x:v>
      </x:c>
      <x:c r="E19" s="476" t="str">
        <x:v>Porcentaje/frecuencia de asistencia, tardanza o inasistencia según registros disponibles.</x:v>
      </x:c>
      <x:c r="F19" s="476" t="str">
        <x:v>Razón</x:v>
      </x:c>
      <x:c r="G19" s="476" t="str">
        <x:v>P06</x:v>
      </x:c>
      <x:c r="H19" s="476" t="str">
        <x:v>Attendance; ResumenAsistencia</x:v>
      </x:c>
      <x:c r="I19" s="476" t="str">
        <x:v>/attendance; dashboards</x:v>
      </x:c>
      <x:c r="J19" s="476" t="str">
        <x:v>Dashboard + dataset</x:v>
      </x:c>
      <x:c r="K19" s="476" t="str">
        <x:v>Ficha asistencia; inasistencias; tardanzas; consulta periodo; dataset</x:v>
      </x:c>
      <x:c r="L19" s="476" t="str">
        <x:v>Attendance=34,950 en corte V5.</x:v>
      </x:c>
      <x:c r="M19" s="477" t="str">
        <x:v>Matriz fusionada definitiva + Anexo 07 + GitHub V5</x:v>
      </x:c>
    </x:row>
    <x:row r="20" ht="66" customHeight="1">
      <x:c r="A20" s="475" t="str">
        <x:v>VD</x:v>
      </x:c>
      <x:c r="B20" s="476" t="str">
        <x:v>Riesgo de deserción estudiantil</x:v>
      </x:c>
      <x:c r="C20" s="476" t="str">
        <x:v>Rendimiento y trayectoria académica</x:v>
      </x:c>
      <x:c r="D20" s="476" t="str">
        <x:v>Continuidad y progreso</x:v>
      </x:c>
      <x:c r="E20" s="476" t="str">
        <x:v>Evolución entre periodos/grados considerando continuidad de matrícula y progreso académico.</x:v>
      </x:c>
      <x:c r="F20" s="476" t="str">
        <x:v>Nominal / temporal</x:v>
      </x:c>
      <x:c r="G20" s="476" t="str">
        <x:v>P01/P05</x:v>
      </x:c>
      <x:c r="H20" s="476" t="str">
        <x:v>Matricula; Enrollment; AcademicHistory</x:v>
      </x:c>
      <x:c r="I20" s="476" t="str">
        <x:v>matrículas + agregados</x:v>
      </x:c>
      <x:c r="J20" s="476" t="str">
        <x:v>Dashboard / reporte longitudinal</x:v>
      </x:c>
      <x:c r="K20" s="476" t="str">
        <x:v>Historial matrícula; trayectoria; progreso; consulta continuidad; serie temporal</x:v>
      </x:c>
      <x:c r="L20" s="476" t="str">
        <x:v>Matricula=250: 225 activas, 15 retiradas, 10 trasladadas.</x:v>
      </x:c>
      <x:c r="M20" s="477" t="str">
        <x:v>Matriz fusionada definitiva + Anexo 07 + GitHub V5</x:v>
      </x:c>
    </x:row>
    <x:row r="21" ht="66" customHeight="1">
      <x:c r="A21" s="475" t="str">
        <x:v>VD</x:v>
      </x:c>
      <x:c r="B21" s="476" t="str">
        <x:v>Riesgo de deserción estudiantil</x:v>
      </x:c>
      <x:c r="C21" s="476" t="str">
        <x:v>Comportamiento y engagement en LMS</x:v>
      </x:c>
      <x:c r="D21" s="476" t="str">
        <x:v>Frecuencia de acceso</x:v>
      </x:c>
      <x:c r="E21" s="476" t="str">
        <x:v>Número de accesos, sesiones o días activos dentro de la ventana de observación.</x:v>
      </x:c>
      <x:c r="F21" s="476" t="str">
        <x:v>Razón</x:v>
      </x:c>
      <x:c r="G21" s="476" t="str">
        <x:v>P07</x:v>
      </x:c>
      <x:c r="H21" s="476" t="str">
        <x:v>LmsEvent; LmsIndicadorEstudiante</x:v>
      </x:c>
      <x:c r="I21" s="476" t="str">
        <x:v>/lms/*</x:v>
      </x:c>
      <x:c r="J21" s="476" t="str">
        <x:v>Dashboard / dataset</x:v>
      </x:c>
      <x:c r="K21" s="476" t="str">
        <x:v>Log accesos; sesiones; consulta eventos; agregación; dataset LMS</x:v>
      </x:c>
      <x:c r="L21" s="476" t="str">
        <x:v>LmsEvent=4,611; debe respetarse ventana temporal.</x:v>
      </x:c>
      <x:c r="M21" s="477" t="str">
        <x:v>Matriz fusionada definitiva + Anexo 07 + GitHub V5</x:v>
      </x:c>
    </x:row>
    <x:row r="22" ht="66" customHeight="1">
      <x:c r="A22" s="475" t="str">
        <x:v>VD</x:v>
      </x:c>
      <x:c r="B22" s="476" t="str">
        <x:v>Riesgo de deserción estudiantil</x:v>
      </x:c>
      <x:c r="C22" s="476" t="str">
        <x:v>Comportamiento y engagement en LMS</x:v>
      </x:c>
      <x:c r="D22" s="476" t="str">
        <x:v>Participación en actividades</x:v>
      </x:c>
      <x:c r="E22" s="476" t="str">
        <x:v>Cantidad/proporción de actividades, tareas o entregas realizadas/completadas.</x:v>
      </x:c>
      <x:c r="F22" s="476" t="str">
        <x:v>Razón</x:v>
      </x:c>
      <x:c r="G22" s="476" t="str">
        <x:v>P07</x:v>
      </x:c>
      <x:c r="H22" s="476" t="str">
        <x:v>AcademicActivity; ActivityProgress; LmsEntregaTarea</x:v>
      </x:c>
      <x:c r="I22" s="476" t="str">
        <x:v>/activities; /lms/*</x:v>
      </x:c>
      <x:c r="J22" s="476" t="str">
        <x:v>Dashboard / dataset</x:v>
      </x:c>
      <x:c r="K22" s="476" t="str">
        <x:v>Log actividades; entregas; finalización; consulta; dataset LMS</x:v>
      </x:c>
      <x:c r="L22" s="476" t="str">
        <x:v>—</x:v>
      </x:c>
      <x:c r="M22" s="477" t="str">
        <x:v>Matriz fusionada definitiva + Anexo 07 + GitHub V5</x:v>
      </x:c>
    </x:row>
    <x:row r="23" ht="66" customHeight="1">
      <x:c r="A23" s="475" t="str">
        <x:v>VD</x:v>
      </x:c>
      <x:c r="B23" s="476" t="str">
        <x:v>Riesgo de deserción estudiantil</x:v>
      </x:c>
      <x:c r="C23" s="476" t="str">
        <x:v>Comportamiento y engagement en LMS</x:v>
      </x:c>
      <x:c r="D23" s="476" t="str">
        <x:v>Intensidad y regularidad de interacción</x:v>
      </x:c>
      <x:c r="E23" s="476" t="str">
        <x:v>Nivel/patrón temporal de interacción mediante tiempo, días activos, secuencia o frecuencia.</x:v>
      </x:c>
      <x:c r="F23" s="476" t="str">
        <x:v>Razón / temporal</x:v>
      </x:c>
      <x:c r="G23" s="476" t="str">
        <x:v>P07</x:v>
      </x:c>
      <x:c r="H23" s="476" t="str">
        <x:v>LmsEvent; LmsActivity; LmsIndicadorEstudiante</x:v>
      </x:c>
      <x:c r="I23" s="476" t="str">
        <x:v>/lms/*</x:v>
      </x:c>
      <x:c r="J23" s="476" t="str">
        <x:v>Dashboard / dataset temporal</x:v>
      </x:c>
      <x:c r="K23" s="476" t="str">
        <x:v>Tiempo/actividad; días activos; log secuencial; agregación; dataset</x:v>
      </x:c>
      <x:c r="L23" s="476" t="str">
        <x:v>—</x:v>
      </x:c>
      <x:c r="M23" s="477" t="str">
        <x:v>Matriz fusionada definitiva + Anexo 07 + GitHub V5</x:v>
      </x:c>
    </x:row>
    <x:row r="24" ht="66" customHeight="1">
      <x:c r="A24" s="475" t="str">
        <x:v>VD</x:v>
      </x:c>
      <x:c r="B24" s="476" t="str">
        <x:v>Riesgo de deserción estudiantil</x:v>
      </x:c>
      <x:c r="C24" s="476" t="str">
        <x:v>Comportamiento y engagement en LMS</x:v>
      </x:c>
      <x:c r="D24" s="476" t="str">
        <x:v>Consulta de recursos y participación digital</x:v>
      </x:c>
      <x:c r="E24" s="476" t="str">
        <x:v>Uso de materiales, recursos, foros u otras interacciones digitales registradas.</x:v>
      </x:c>
      <x:c r="F24" s="476" t="str">
        <x:v>Razón</x:v>
      </x:c>
      <x:c r="G24" s="476" t="str">
        <x:v>P07</x:v>
      </x:c>
      <x:c r="H24" s="476" t="str">
        <x:v>CourseResource; LmsEvent; LmsIndicadorEstudiante</x:v>
      </x:c>
      <x:c r="I24" s="476" t="str">
        <x:v>/materials; /lms/*</x:v>
      </x:c>
      <x:c r="J24" s="476" t="str">
        <x:v>Dashboard / dataset</x:v>
      </x:c>
      <x:c r="K24" s="476" t="str">
        <x:v>Recursos consultados; participación; eventos; consulta recurso; dataset</x:v>
      </x:c>
      <x:c r="L24" s="476" t="str">
        <x:v>—</x:v>
      </x:c>
      <x:c r="M24" s="477" t="str">
        <x:v>Matriz fusionada definitiva + Anexo 07 + GitHub V5</x:v>
      </x:c>
    </x:row>
    <x:row r="25" ht="66" customHeight="1">
      <x:c r="A25" s="475" t="str">
        <x:v>VD</x:v>
      </x:c>
      <x:c r="B25" s="476" t="str">
        <x:v>Riesgo de deserción estudiantil</x:v>
      </x:c>
      <x:c r="C25" s="476" t="str">
        <x:v>Permanencia e identificación temprana del riesgo</x:v>
      </x:c>
      <x:c r="D25" s="476" t="str">
        <x:v>Estado observado de permanencia</x:v>
      </x:c>
      <x:c r="E25" s="476" t="str">
        <x:v>Condición real de permanencia/continuidad o deserción/abandono utilizada como etiqueta objetivo.</x:v>
      </x:c>
      <x:c r="F25" s="476" t="str">
        <x:v>Nominal</x:v>
      </x:c>
      <x:c r="G25" s="476" t="str">
        <x:v>P08/P11</x:v>
      </x:c>
      <x:c r="H25" s="476" t="str">
        <x:v>Matricula; Student + dataset científico</x:v>
      </x:c>
      <x:c r="I25" s="476" t="str">
        <x:v>pipeline científico</x:v>
      </x:c>
      <x:c r="J25" s="476" t="str">
        <x:v>Dataset / reporte científico</x:v>
      </x:c>
      <x:c r="K25" s="476" t="str">
        <x:v>Registro matrícula/retiro; definición etiqueta; trayectoria; estado; auditoría objetivo</x:v>
      </x:c>
      <x:c r="L25" s="476" t="str">
        <x:v>—</x:v>
      </x:c>
      <x:c r="M25" s="477" t="str">
        <x:v>Matriz fusionada definitiva + Anexo 07 + GitHub V5</x:v>
      </x:c>
    </x:row>
    <x:row r="26" ht="66" customHeight="1">
      <x:c r="A26" s="475" t="str">
        <x:v>VD</x:v>
      </x:c>
      <x:c r="B26" s="476" t="str">
        <x:v>Riesgo de deserción estudiantil</x:v>
      </x:c>
      <x:c r="C26" s="476" t="str">
        <x:v>Permanencia e identificación temprana del riesgo</x:v>
      </x:c>
      <x:c r="D26" s="476" t="str">
        <x:v>Probabilidad estimada de riesgo</x:v>
      </x:c>
      <x:c r="E26" s="476" t="str">
        <x:v>Valor probabilístico producido por el modelo para representar riesgo estimado.</x:v>
      </x:c>
      <x:c r="F26" s="476" t="str">
        <x:v>Razón</x:v>
      </x:c>
      <x:c r="G26" s="476" t="str">
        <x:v>P12</x:v>
      </x:c>
      <x:c r="H26" s="476" t="str">
        <x:v>Prediction</x:v>
      </x:c>
      <x:c r="I26" s="476" t="str">
        <x:v>/predict; /predictions</x:v>
      </x:c>
      <x:c r="J26" s="476" t="str">
        <x:v>Dashboard predicción</x:v>
      </x:c>
      <x:c r="K26" s="476" t="str">
        <x:v>Salida inferencia; Prediction; log API; ficha resultados; captura dashboard</x:v>
      </x:c>
      <x:c r="L26" s="476" t="str">
        <x:v>Sin valor científico vigente: Prediction=0 y modelo ML no entrenado.</x:v>
      </x:c>
      <x:c r="M26" s="477" t="str">
        <x:v>Matriz fusionada definitiva + Anexo 07 + GitHub V5</x:v>
      </x:c>
    </x:row>
    <x:row r="27" ht="66" customHeight="1">
      <x:c r="A27" s="475" t="str">
        <x:v>VD</x:v>
      </x:c>
      <x:c r="B27" s="476" t="str">
        <x:v>Riesgo de deserción estudiantil</x:v>
      </x:c>
      <x:c r="C27" s="476" t="str">
        <x:v>Permanencia e identificación temprana del riesgo</x:v>
      </x:c>
      <x:c r="D27" s="476" t="str">
        <x:v>Nivel de riesgo</x:v>
      </x:c>
      <x:c r="E27" s="476" t="str">
        <x:v>Categoría ordinal derivada de probabilidad o regla aprobada para seguimiento.</x:v>
      </x:c>
      <x:c r="F27" s="476" t="str">
        <x:v>Ordinal</x:v>
      </x:c>
      <x:c r="G27" s="476" t="str">
        <x:v>P12/P13</x:v>
      </x:c>
      <x:c r="H27" s="476" t="str">
        <x:v>Prediction; Alert</x:v>
      </x:c>
      <x:c r="I27" s="476" t="str">
        <x:v>/predict; /alerts</x:v>
      </x:c>
      <x:c r="J27" s="476" t="str">
        <x:v>Dashboard + alertas</x:v>
      </x:c>
      <x:c r="K27" s="476" t="str">
        <x:v>Umbrales; clasificación; Prediction; dashboard; historial alertas</x:v>
      </x:c>
      <x:c r="L27" s="476" t="str">
        <x:v>Sin valor científico vigente: Prediction=0 y modelo ML no entrenado.</x:v>
      </x:c>
      <x:c r="M27" s="477" t="str">
        <x:v>Matriz fusionada definitiva + Anexo 07 + GitHub V5</x:v>
      </x:c>
    </x:row>
    <x:row r="28" ht="66" customHeight="1">
      <x:c r="A28" s="475" t="str">
        <x:v>VD</x:v>
      </x:c>
      <x:c r="B28" s="476" t="str">
        <x:v>Riesgo de deserción estudiantil</x:v>
      </x:c>
      <x:c r="C28" s="476" t="str">
        <x:v>Permanencia e identificación temprana del riesgo</x:v>
      </x:c>
      <x:c r="D28" s="476" t="str">
        <x:v>Detección temprana</x:v>
      </x:c>
      <x:c r="E28" s="476" t="str">
        <x:v>Anticipación con la que el riesgo se identifica antes del desenlace/cierre del periodo.</x:v>
      </x:c>
      <x:c r="F28" s="476" t="str">
        <x:v>Temporal / ordinal</x:v>
      </x:c>
      <x:c r="G28" s="476" t="str">
        <x:v>P11/P12/P13</x:v>
      </x:c>
      <x:c r="H28" s="476" t="str">
        <x:v>Prediction; Alert; PeriodoAcademico</x:v>
      </x:c>
      <x:c r="I28" s="476" t="str">
        <x:v>historial / alertas</x:v>
      </x:c>
      <x:c r="J28" s="476" t="str">
        <x:v>Reporte temporal + dashboard</x:v>
      </x:c>
      <x:c r="K28" s="476" t="str">
        <x:v>Fechas predicción; cortes; línea tiempo; ventana; alertas tempranas</x:v>
      </x:c>
      <x:c r="L28" s="476" t="str">
        <x:v>Sin valor científico vigente: Prediction=0 y modelo ML no entrenado.</x:v>
      </x:c>
      <x:c r="M28" s="477" t="str">
        <x:v>Matriz fusionada definitiva + Anexo 07 + GitHub V5</x:v>
      </x:c>
    </x:row>
    <x:row r="29" ht="66" customHeight="1">
      <x:c r="A29" s="475" t="str">
        <x:v>VINT</x:v>
      </x:c>
      <x:c r="B29" s="476" t="str">
        <x:v>Sistema web inteligente</x:v>
      </x:c>
      <x:c r="C29" s="476" t="str">
        <x:v>Integración y explicabilidad predictiva</x:v>
      </x:c>
      <x:c r="D29" s="476" t="str">
        <x:v>Integración modelo-sistema</x:v>
      </x:c>
      <x:c r="E29" s="476" t="str">
        <x:v>Conexión funcional entre modelo entrenado y aplicación web para solicitar/recibir inferencias.</x:v>
      </x:c>
      <x:c r="F29" s="476" t="str">
        <x:v>Nominal</x:v>
      </x:c>
      <x:c r="G29" s="476" t="str">
        <x:v>P12</x:v>
      </x:c>
      <x:c r="H29" s="476" t="str">
        <x:v>Prediction; MlModelo</x:v>
      </x:c>
      <x:c r="I29" s="476" t="str">
        <x:v>Backend → ML_SERVICE_URL → FastAPI</x:v>
      </x:c>
      <x:c r="J29" s="476" t="str">
        <x:v>Evidencia integración</x:v>
      </x:c>
      <x:c r="K29" s="476" t="str">
        <x:v>Prueba API; log backend-modelo; contrato endpoint; deploy servicio; captura</x:v>
      </x:c>
      <x:c r="L29" s="476" t="str">
        <x:v>Contrato ML probado; servicio científico productivo aún depende de dataset/modelo autorizado.</x:v>
      </x:c>
      <x:c r="M29" s="477" t="str">
        <x:v>Matriz fusionada definitiva + Anexo 07 + GitHub V5</x:v>
      </x:c>
    </x:row>
    <x:row r="30" ht="66" customHeight="1">
      <x:c r="A30" s="475" t="str">
        <x:v>VINT</x:v>
      </x:c>
      <x:c r="B30" s="476" t="str">
        <x:v>Sistema web inteligente</x:v>
      </x:c>
      <x:c r="C30" s="476" t="str">
        <x:v>Integración y explicabilidad predictiva</x:v>
      </x:c>
      <x:c r="D30" s="476" t="str">
        <x:v>Generación y almacenamiento de inferencias</x:v>
      </x:c>
      <x:c r="E30" s="476" t="str">
        <x:v>Generar una predicción y guardar resultado, fecha, versión de modelo y estudiante de forma trazable.</x:v>
      </x:c>
      <x:c r="F30" s="476" t="str">
        <x:v>Nominal / temporal</x:v>
      </x:c>
      <x:c r="G30" s="476" t="str">
        <x:v>P12</x:v>
      </x:c>
      <x:c r="H30" s="476" t="str">
        <x:v>Prediction; PrediccionFeatureSnapshot; MlModelo</x:v>
      </x:c>
      <x:c r="I30" s="476" t="str">
        <x:v>/predict + Prisma</x:v>
      </x:c>
      <x:c r="J30" s="476" t="str">
        <x:v>Historial predicciones</x:v>
      </x:c>
      <x:c r="K30" s="476" t="str">
        <x:v>Caso funcional; log inferencia; BD; backend log; resultado guardado</x:v>
      </x:c>
      <x:c r="L30" s="476" t="str">
        <x:v>—</x:v>
      </x:c>
      <x:c r="M30" s="477" t="str">
        <x:v>Matriz fusionada definitiva + Anexo 07 + GitHub V5</x:v>
      </x:c>
    </x:row>
    <x:row r="31" ht="66" customHeight="1">
      <x:c r="A31" s="475" t="str">
        <x:v>VINT</x:v>
      </x:c>
      <x:c r="B31" s="476" t="str">
        <x:v>Sistema web inteligente</x:v>
      </x:c>
      <x:c r="C31" s="476" t="str">
        <x:v>Integración y explicabilidad predictiva</x:v>
      </x:c>
      <x:c r="D31" s="476" t="str">
        <x:v>Presentación del riesgo</x:v>
      </x:c>
      <x:c r="E31" s="476" t="str">
        <x:v>Mostrar coherentemente probabilidad, nivel y estado devueltos por el componente predictivo.</x:v>
      </x:c>
      <x:c r="F31" s="476" t="str">
        <x:v>Ordinal / razón</x:v>
      </x:c>
      <x:c r="G31" s="476" t="str">
        <x:v>P12/P14</x:v>
      </x:c>
      <x:c r="H31" s="476" t="str">
        <x:v>Prediction</x:v>
      </x:c>
      <x:c r="I31" s="476" t="str">
        <x:v>PredictionView / dashboard</x:v>
      </x:c>
      <x:c r="J31" s="476" t="str">
        <x:v>UI predicción</x:v>
      </x:c>
      <x:c r="K31" s="476" t="str">
        <x:v>Checklist UI; captura; UAT; comparación UI vs BD; flujo usuario</x:v>
      </x:c>
      <x:c r="L31" s="476" t="str">
        <x:v>—</x:v>
      </x:c>
      <x:c r="M31" s="477" t="str">
        <x:v>Matriz fusionada definitiva + Anexo 07 + GitHub V5</x:v>
      </x:c>
    </x:row>
    <x:row r="32" ht="66" customHeight="1">
      <x:c r="A32" s="475" t="str">
        <x:v>VINT</x:v>
      </x:c>
      <x:c r="B32" s="476" t="str">
        <x:v>Sistema web inteligente</x:v>
      </x:c>
      <x:c r="C32" s="476" t="str">
        <x:v>Integración y explicabilidad predictiva</x:v>
      </x:c>
      <x:c r="D32" s="476" t="str">
        <x:v>Explicación de factores relevantes</x:v>
      </x:c>
      <x:c r="E32" s="476" t="str">
        <x:v>Visualizar/consultar variables que ayudan a explicar una predicción individual o global.</x:v>
      </x:c>
      <x:c r="F32" s="476" t="str">
        <x:v>Ordinal / razón</x:v>
      </x:c>
      <x:c r="G32" s="476" t="str">
        <x:v>P11/P12</x:v>
      </x:c>
      <x:c r="H32" s="476" t="str">
        <x:v>PrediccionFactor; Prediction</x:v>
      </x:c>
      <x:c r="I32" s="476" t="str">
        <x:v>XAI / UI</x:v>
      </x:c>
      <x:c r="J32" s="476" t="str">
        <x:v>UI + reporte interpretabilidad</x:v>
      </x:c>
      <x:c r="K32" s="476" t="str">
        <x:v>Salida XAI; componente explicación; caso; JSON factores; reporte</x:v>
      </x:c>
      <x:c r="L32" s="476" t="str">
        <x:v>—</x:v>
      </x:c>
      <x:c r="M32" s="477" t="str">
        <x:v>Matriz fusionada definitiva + Anexo 07 + GitHub V5</x:v>
      </x:c>
    </x:row>
    <x:row r="33" ht="66" customHeight="1">
      <x:c r="A33" s="475" t="str">
        <x:v>VINT</x:v>
      </x:c>
      <x:c r="B33" s="476" t="str">
        <x:v>Sistema web inteligente</x:v>
      </x:c>
      <x:c r="C33" s="476" t="str">
        <x:v>Visualización y alerta temprana</x:v>
      </x:c>
      <x:c r="D33" s="476" t="str">
        <x:v>Dashboard de riesgo</x:v>
      </x:c>
      <x:c r="E33" s="476" t="str">
        <x:v>Panel con indicadores de riesgo, distribución y evolución para seguimiento institucional.</x:v>
      </x:c>
      <x:c r="F33" s="476" t="str">
        <x:v>Nominal</x:v>
      </x:c>
      <x:c r="G33" s="476" t="str">
        <x:v>P14</x:v>
      </x:c>
      <x:c r="H33" s="476" t="str">
        <x:v>DashboardSnapshot + agregados</x:v>
      </x:c>
      <x:c r="I33" s="476" t="str">
        <x:v>/dashboard/*</x:v>
      </x:c>
      <x:c r="J33" s="476" t="str">
        <x:v>Dashboard por rol</x:v>
      </x:c>
      <x:c r="K33" s="476" t="str">
        <x:v>Checklist; capturas; caso uso; consulta datos; reporte visualización</x:v>
      </x:c>
      <x:c r="L33" s="476" t="str">
        <x:v>—</x:v>
      </x:c>
      <x:c r="M33" s="477" t="str">
        <x:v>Matriz fusionada definitiva + Anexo 07 + GitHub V5</x:v>
      </x:c>
    </x:row>
    <x:row r="34" ht="66" customHeight="1">
      <x:c r="A34" s="475" t="str">
        <x:v>VINT</x:v>
      </x:c>
      <x:c r="B34" s="476" t="str">
        <x:v>Sistema web inteligente</x:v>
      </x:c>
      <x:c r="C34" s="476" t="str">
        <x:v>Visualización y alerta temprana</x:v>
      </x:c>
      <x:c r="D34" s="476" t="str">
        <x:v>Filtros e indicadores de seguimiento</x:v>
      </x:c>
      <x:c r="E34" s="476" t="str">
        <x:v>Consulta por estudiante, grado, sección, periodo u otros atributos autorizados.</x:v>
      </x:c>
      <x:c r="F34" s="476" t="str">
        <x:v>Nominal</x:v>
      </x:c>
      <x:c r="G34" s="476" t="str">
        <x:v>P14</x:v>
      </x:c>
      <x:c r="H34" s="476" t="str">
        <x:v>Student; Seccion; Periodo; agregados</x:v>
      </x:c>
      <x:c r="I34" s="476" t="str">
        <x:v>dashboard filters</x:v>
      </x:c>
      <x:c r="J34" s="476" t="str">
        <x:v>Dashboard</x:v>
      </x:c>
      <x:c r="K34" s="476" t="str">
        <x:v>Casos filtros; capturas; SQL/API; checklist; reporte validación</x:v>
      </x:c>
      <x:c r="L34" s="476" t="str">
        <x:v>—</x:v>
      </x:c>
      <x:c r="M34" s="477" t="str">
        <x:v>Matriz fusionada definitiva + Anexo 07 + GitHub V5</x:v>
      </x:c>
    </x:row>
    <x:row r="35" ht="66" customHeight="1">
      <x:c r="A35" s="475" t="str">
        <x:v>VINT</x:v>
      </x:c>
      <x:c r="B35" s="476" t="str">
        <x:v>Sistema web inteligente</x:v>
      </x:c>
      <x:c r="C35" s="476" t="str">
        <x:v>Visualización y alerta temprana</x:v>
      </x:c>
      <x:c r="D35" s="476" t="str">
        <x:v>Alertas y priorización</x:v>
      </x:c>
      <x:c r="E35" s="476" t="str">
        <x:v>Generar/mostrar alertas según nivel de riesgo para priorizar seguimiento.</x:v>
      </x:c>
      <x:c r="F35" s="476" t="str">
        <x:v>Ordinal</x:v>
      </x:c>
      <x:c r="G35" s="476" t="str">
        <x:v>P13</x:v>
      </x:c>
      <x:c r="H35" s="476" t="str">
        <x:v>Alert; AlertaHistorial; Notification</x:v>
      </x:c>
      <x:c r="I35" s="476" t="str">
        <x:v>/alerts</x:v>
      </x:c>
      <x:c r="J35" s="476" t="str">
        <x:v>Alertas/dashboard</x:v>
      </x:c>
      <x:c r="K35" s="476" t="str">
        <x:v>Reglas alertas; caso; log; captura; historial</x:v>
      </x:c>
      <x:c r="L35" s="476" t="str">
        <x:v>—</x:v>
      </x:c>
      <x:c r="M35" s="477" t="str">
        <x:v>Matriz fusionada definitiva + Anexo 07 + GitHub V5</x:v>
      </x:c>
    </x:row>
    <x:row r="36" ht="66" customHeight="1">
      <x:c r="A36" s="475" t="str">
        <x:v>VINT</x:v>
      </x:c>
      <x:c r="B36" s="476" t="str">
        <x:v>Sistema web inteligente</x:v>
      </x:c>
      <x:c r="C36" s="476" t="str">
        <x:v>Visualización y alerta temprana</x:v>
      </x:c>
      <x:c r="D36" s="476" t="str">
        <x:v>Usabilidad de la interfaz</x:v>
      </x:c>
      <x:c r="E36" s="476" t="str">
        <x:v>Claridad, facilidad de navegación y comprensión de funciones críticas.</x:v>
      </x:c>
      <x:c r="F36" s="476" t="str">
        <x:v>Ordinal</x:v>
      </x:c>
      <x:c r="G36" s="476" t="str">
        <x:v>P14/P17 + transversal</x:v>
      </x:c>
      <x:c r="H36" s="476" t="str">
        <x:v>UI completa</x:v>
      </x:c>
      <x:c r="I36" s="476" t="str">
        <x:v>UAT / frontend</x:v>
      </x:c>
      <x:c r="J36" s="476" t="str">
        <x:v>Todas las vistas</x:v>
      </x:c>
      <x:c r="K36" s="476" t="str">
        <x:v>Checklist usabilidad; ISO 25000; tareas; observaciones; incidencias UI</x:v>
      </x:c>
      <x:c r="L36" s="476" t="str">
        <x:v>—</x:v>
      </x:c>
      <x:c r="M36" s="477" t="str">
        <x:v>Matriz fusionada definitiva + Anexo 07 + GitHub V5</x:v>
      </x:c>
    </x:row>
    <x:row r="37" ht="66" customHeight="1">
      <x:c r="A37" s="475" t="str">
        <x:v>VINT</x:v>
      </x:c>
      <x:c r="B37" s="476" t="str">
        <x:v>Sistema web inteligente</x:v>
      </x:c>
      <x:c r="C37" s="476" t="str">
        <x:v>Gestión, trazabilidad y calidad del software</x:v>
      </x:c>
      <x:c r="D37" s="476" t="str">
        <x:v>Reportes e historial</x:v>
      </x:c>
      <x:c r="E37" s="476" t="str">
        <x:v>Disponibilidad de reportes y consulta histórica de predicciones, alertas y resultados.</x:v>
      </x:c>
      <x:c r="F37" s="476" t="str">
        <x:v>Nominal / temporal</x:v>
      </x:c>
      <x:c r="G37" s="476" t="str">
        <x:v>P15</x:v>
      </x:c>
      <x:c r="H37" s="476" t="str">
        <x:v>Report; Prediction; Alert; DashboardSnapshot</x:v>
      </x:c>
      <x:c r="I37" s="476" t="str">
        <x:v>/reports; histories</x:v>
      </x:c>
      <x:c r="J37" s="476" t="str">
        <x:v>Reportes/historial</x:v>
      </x:c>
      <x:c r="K37" s="476" t="str">
        <x:v>Caso reportes; archivo exportado; consulta BD; captura; registro generación</x:v>
      </x:c>
      <x:c r="L37" s="476" t="str">
        <x:v>—</x:v>
      </x:c>
      <x:c r="M37" s="477" t="str">
        <x:v>Matriz fusionada definitiva + Anexo 07 + GitHub V5</x:v>
      </x:c>
    </x:row>
    <x:row r="38" ht="66" customHeight="1">
      <x:c r="A38" s="475" t="str">
        <x:v>VINT</x:v>
      </x:c>
      <x:c r="B38" s="476" t="str">
        <x:v>Sistema web inteligente</x:v>
      </x:c>
      <x:c r="C38" s="476" t="str">
        <x:v>Gestión, trazabilidad y calidad del software</x:v>
      </x:c>
      <x:c r="D38" s="476" t="str">
        <x:v>Trazabilidad y auditoría</x:v>
      </x:c>
      <x:c r="E38" s="476" t="str">
        <x:v>Registro verificable de origen, usuario/rol, fecha, inferencia y operaciones relevantes.</x:v>
      </x:c>
      <x:c r="F38" s="476" t="str">
        <x:v>Nominal / temporal</x:v>
      </x:c>
      <x:c r="G38" s="476" t="str">
        <x:v>P18</x:v>
      </x:c>
      <x:c r="H38" s="476" t="str">
        <x:v>AuditLog; User; Prediction</x:v>
      </x:c>
      <x:c r="I38" s="476" t="str">
        <x:v>/admin/audit-logs</x:v>
      </x:c>
      <x:c r="J38" s="476" t="str">
        <x:v>Auditoría</x:v>
      </x:c>
      <x:c r="K38" s="476" t="str">
        <x:v>AuditLog; tabla trazabilidad; request id; access log; reporte auditoría</x:v>
      </x:c>
      <x:c r="L38" s="476" t="str">
        <x:v>AuditLog y control por rol forman parte del backend; smoke RBAC 42 permitidos/15 denegados.</x:v>
      </x:c>
      <x:c r="M38" s="477" t="str">
        <x:v>Matriz fusionada definitiva + Anexo 07 + GitHub V5</x:v>
      </x:c>
    </x:row>
    <x:row r="39" ht="66" customHeight="1">
      <x:c r="A39" s="475" t="str">
        <x:v>VINT</x:v>
      </x:c>
      <x:c r="B39" s="476" t="str">
        <x:v>Sistema web inteligente</x:v>
      </x:c>
      <x:c r="C39" s="476" t="str">
        <x:v>Gestión, trazabilidad y calidad del software</x:v>
      </x:c>
      <x:c r="D39" s="476" t="str">
        <x:v>Eficiencia de respuesta</x:v>
      </x:c>
      <x:c r="E39" s="476" t="str">
        <x:v>Tiempo/comportamiento durante inferencia, dashboard, filtros y reportes.</x:v>
      </x:c>
      <x:c r="F39" s="476" t="str">
        <x:v>Razón</x:v>
      </x:c>
      <x:c r="G39" s="476" t="str">
        <x:v>P19/P20 + módulos críticos</x:v>
      </x:c>
      <x:c r="H39" s="476" t="str">
        <x:v>Logs/mediciones</x:v>
      </x:c>
      <x:c r="I39" s="476" t="str">
        <x:v>performance tests</x:v>
      </x:c>
      <x:c r="J39" s="476" t="str">
        <x:v>Reporte rendimiento</x:v>
      </x:c>
      <x:c r="K39" s="476" t="str">
        <x:v>Tiempo respuesta; logs; carga; medición FE/BE; ficha ISO 25000</x:v>
      </x:c>
      <x:c r="L39" s="476" t="str">
        <x:v>—</x:v>
      </x:c>
      <x:c r="M39" s="477" t="str">
        <x:v>Matriz fusionada definitiva + Anexo 07 + GitHub V5</x:v>
      </x:c>
    </x:row>
    <x:row r="40" ht="66" customHeight="1">
      <x:c r="A40" s="478" t="str">
        <x:v>VINT</x:v>
      </x:c>
      <x:c r="B40" s="479" t="str">
        <x:v>Sistema web inteligente</x:v>
      </x:c>
      <x:c r="C40" s="479" t="str">
        <x:v>Gestión, trazabilidad y calidad del software</x:v>
      </x:c>
      <x:c r="D40" s="479" t="str">
        <x:v>Confiabilidad y mantenibilidad</x:v>
      </x:c>
      <x:c r="E40" s="479" t="str">
        <x:v>Funciones críticas operan correctamente y el código mantiene calidad/reproducibilidad.</x:v>
      </x:c>
      <x:c r="F40" s="479" t="str">
        <x:v>Razón / nominal</x:v>
      </x:c>
      <x:c r="G40" s="479" t="str">
        <x:v>P20</x:v>
      </x:c>
      <x:c r="H40" s="479" t="str">
        <x:v>Código + pruebas + Sonar + deploy</x:v>
      </x:c>
      <x:c r="I40" s="479" t="str">
        <x:v>qa:pipeline / Sonar</x:v>
      </x:c>
      <x:c r="J40" s="479" t="str">
        <x:v>Reporte calidad</x:v>
      </x:c>
      <x:c r="K40" s="479" t="str">
        <x:v>Plan/casos; regresión; defectos; Sonar; Docker/deploy reproducible</x:v>
      </x:c>
      <x:c r="L40" s="479" t="str">
        <x:v>Smoke producción 67/67; backend 81/81; frontend 16/16; ML contrato 7/7.</x:v>
      </x:c>
      <x:c r="M40" s="480" t="str">
        <x:v>Matriz fusionada definitiva + Anexo 07 + GitHub V5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46" hidden="0" customWidth="1"/>
    <x:col min="4" max="4" width="28" hidden="0" customWidth="1"/>
    <x:col min="5" max="5" width="46" hidden="0" customWidth="1"/>
    <x:col min="6" max="6" width="34" hidden="0" customWidth="1"/>
    <x:col min="7" max="7" width="48" hidden="0" customWidth="1"/>
    <x:col min="8" max="8" width="42" hidden="0" customWidth="1"/>
    <x:col min="9" max="9" width="46" hidden="0" customWidth="1"/>
    <x:col min="10" max="10" width="42" hidden="0" customWidth="1"/>
    <x:col min="11" max="11" width="40" hidden="0" customWidth="1"/>
  </x:cols>
  <x:sheetData>
    <x:row r="1" ht="34" customHeight="1">
      <x:c r="A1" s="444" t="str">
        <x:v>Matriz de seguridad y riesgos</x:v>
      </x:c>
      <x:c r="B1" s="444"/>
      <x:c r="C1" s="444"/>
      <x:c r="D1" s="444"/>
      <x:c r="E1" s="444"/>
      <x:c r="F1" s="444"/>
      <x:c r="G1" s="444"/>
      <x:c r="H1" s="444"/>
      <x:c r="I1" s="444"/>
      <x:c r="J1" s="444"/>
      <x:c r="K1" s="444"/>
    </x:row>
    <x:row r="2" ht="42" customHeight="1">
      <x:c r="A2" s="448" t="str">
        <x:v>Riesgo técnico/metodológico × activo × control × prueba × recuperación. Incluye el hallazgo de producción vigente sin convertirlo en una columna de 'pendientes' de la matriz principal.</x:v>
      </x:c>
      <x:c r="B2" s="448"/>
      <x:c r="C2" s="448"/>
      <x:c r="D2" s="448"/>
      <x:c r="E2" s="448"/>
      <x:c r="F2" s="448"/>
      <x:c r="G2" s="448"/>
      <x:c r="H2" s="448"/>
      <x:c r="I2" s="448"/>
      <x:c r="J2" s="448"/>
      <x:c r="K2" s="448"/>
    </x:row>
    <x:row r="4" ht="48" customHeight="1">
      <x:c r="A4" s="453" t="str">
        <x:v>ID</x:v>
      </x:c>
      <x:c r="B4" s="453" t="str">
        <x:v>Activo / área</x:v>
      </x:c>
      <x:c r="C4" s="453" t="str">
        <x:v>Riesgo / causa</x:v>
      </x:c>
      <x:c r="D4" s="453" t="str">
        <x:v>Impacto CIA / científico</x:v>
      </x:c>
      <x:c r="E4" s="453" t="str">
        <x:v>Control existente</x:v>
      </x:c>
      <x:c r="F4" s="453" t="str">
        <x:v>Tema ISO 27001</x:v>
      </x:c>
      <x:c r="G4" s="453" t="str">
        <x:v>Tratamiento / mejora</x:v>
      </x:c>
      <x:c r="H4" s="453" t="str">
        <x:v>Prueba de control</x:v>
      </x:c>
      <x:c r="I4" s="453" t="str">
        <x:v>Respuesta / recuperación</x:v>
      </x:c>
      <x:c r="J4" s="453" t="str">
        <x:v>Dónde revisar</x:v>
      </x:c>
      <x:c r="K4" s="453" t="str">
        <x:v>Evidencia</x:v>
      </x:c>
    </x:row>
    <x:row r="5" ht="66" customHeight="1">
      <x:c r="A5" s="472" t="str">
        <x:v>SR-01</x:v>
      </x:c>
      <x:c r="B5" s="473" t="str">
        <x:v>Credenciales / cuentas</x:v>
      </x:c>
      <x:c r="C5" s="473" t="str">
        <x:v>Exposición de campo password en endpoint administrativo desplegado</x:v>
      </x:c>
      <x:c r="D5" s="473" t="str">
        <x:v>Confidencialidad crítica</x:v>
      </x:c>
      <x:c r="E5" s="473" t="str">
        <x:v>Código local usa passwordEnv; endpoint admin protegido por rol</x:v>
      </x:c>
      <x:c r="F5" s="473" t="str">
        <x:v>Control de acceso + gestión de secretos + secure deployment</x:v>
      </x:c>
      <x:c r="G5" s="473" t="str">
        <x:v>Redeploy backend y rotar valor expuesto; verificar respuesta sin password</x:v>
      </x:c>
      <x:c r="H5" s="473" t="str">
        <x:v>Prueba admin + inspección JSON + 403 no-admin</x:v>
      </x:c>
      <x:c r="I5" s="473" t="str">
        <x:v>Rollback deployment si la corrección rompe endpoint; revocar/rotar secreto</x:v>
      </x:c>
      <x:c r="J5" s="473" t="str">
        <x:v>backend accounts-export/admin + Railway</x:v>
      </x:c>
      <x:c r="K5" s="474" t="str">
        <x:v>Hallazgo productivo verificado 24/09/2026</x:v>
      </x:c>
    </x:row>
    <x:row r="6" ht="66" customHeight="1">
      <x:c r="A6" s="475" t="str">
        <x:v>SR-02</x:v>
      </x:c>
      <x:c r="B6" s="476" t="str">
        <x:v>JWT / sesión</x:v>
      </x:c>
      <x:c r="C6" s="476" t="str">
        <x:v>Robo, expiración o uso de sesión revocada</x:v>
      </x:c>
      <x:c r="D6" s="476" t="str">
        <x:v>Confidencialidad / integridad</x:v>
      </x:c>
      <x:c r="E6" s="476" t="str">
        <x:v>JWT + refresh + Session + logout revoca + hash token</x:v>
      </x:c>
      <x:c r="F6" s="476" t="str">
        <x:v>Gestión de identidad y sesión</x:v>
      </x:c>
      <x:c r="G6" s="476" t="str">
        <x:v>Revisar expiración, hash, revocación y almacenamiento cliente</x:v>
      </x:c>
      <x:c r="H6" s="476" t="str">
        <x:v>Login/refresh/logout/restore; token inválido; 401</x:v>
      </x:c>
      <x:c r="I6" s="476" t="str">
        <x:v>Revocar sesiones; forzar re-login</x:v>
      </x:c>
      <x:c r="J6" s="476" t="str">
        <x:v>auth.controller; AuthProvider; Session</x:v>
      </x:c>
      <x:c r="K6" s="477" t="str">
        <x:v>Smoke roles + backend tests</x:v>
      </x:c>
    </x:row>
    <x:row r="7" ht="66" customHeight="1">
      <x:c r="A7" s="475" t="str">
        <x:v>SR-03</x:v>
      </x:c>
      <x:c r="B7" s="476" t="str">
        <x:v>RBAC / scope</x:v>
      </x:c>
      <x:c r="C7" s="476" t="str">
        <x:v>Acceso a datos de otro rol/estudiante</x:v>
      </x:c>
      <x:c r="D7" s="476" t="str">
        <x:v>Confidencialidad alta</x:v>
      </x:c>
      <x:c r="E7" s="476" t="str">
        <x:v>authorize + scopes profesor/estudiante + rutas separadas</x:v>
      </x:c>
      <x:c r="F7" s="476" t="str">
        <x:v>Mínimo privilegio / autorización</x:v>
      </x:c>
      <x:c r="G7" s="476" t="str">
        <x:v>Asegurar backend y no solo menú frontend</x:v>
      </x:c>
      <x:c r="H7" s="476" t="str">
        <x:v>42 permitidos 200 + 15 denegados 403; IDOR negativo</x:v>
      </x:c>
      <x:c r="I7" s="476" t="str">
        <x:v>Revocar acceso/corregir scope y auditar</x:v>
      </x:c>
      <x:c r="J7" s="476" t="str">
        <x:v>routes/middleware/controllers</x:v>
      </x:c>
      <x:c r="K7" s="477" t="str">
        <x:v>Smoke producción V5</x:v>
      </x:c>
    </x:row>
    <x:row r="8" ht="66" customHeight="1">
      <x:c r="A8" s="475" t="str">
        <x:v>SR-04</x:v>
      </x:c>
      <x:c r="B8" s="476" t="str">
        <x:v>API</x:v>
      </x:c>
      <x:c r="C8" s="476" t="str">
        <x:v>Abuso, inyección, payload malicioso o tráfico excesivo</x:v>
      </x:c>
      <x:c r="D8" s="476" t="str">
        <x:v>CIA</x:v>
      </x:c>
      <x:c r="E8" s="476" t="str">
        <x:v>Helmet, CORS, rate-limit, sanitizeBody, Zod/validadores</x:v>
      </x:c>
      <x:c r="F8" s="476" t="str">
        <x:v>Seguridad de aplicaciones y red</x:v>
      </x:c>
      <x:c r="G8" s="476" t="str">
        <x:v>Mantener límites, orígenes y validación centralizada</x:v>
      </x:c>
      <x:c r="H8" s="476" t="str">
        <x:v>429, CORS, payload inválido, XSS/inyección</x:v>
      </x:c>
      <x:c r="I8" s="476" t="str">
        <x:v>Bloquear origen/IP si aplica; rollback config</x:v>
      </x:c>
      <x:c r="J8" s="476" t="str">
        <x:v>backend/src/index.ts; middleware; validators</x:v>
      </x:c>
      <x:c r="K8" s="477" t="str">
        <x:v>Código vigente</x:v>
      </x:c>
    </x:row>
    <x:row r="9" ht="66" customHeight="1">
      <x:c r="A9" s="475" t="str">
        <x:v>SR-05</x:v>
      </x:c>
      <x:c r="B9" s="476" t="str">
        <x:v>Secretos</x:v>
      </x:c>
      <x:c r="C9" s="476" t="str">
        <x:v>JWT_SECRET, DB URL o claves versionadas/expuestas</x:v>
      </x:c>
      <x:c r="D9" s="476" t="str">
        <x:v>Confidencialidad crítica</x:v>
      </x:c>
      <x:c r="E9" s="476" t="str">
        <x:v>Variables de entorno + .gitignore + escaneo</x:v>
      </x:c>
      <x:c r="F9" s="476" t="str">
        <x:v>Gestión de secretos</x:v>
      </x:c>
      <x:c r="G9" s="476" t="str">
        <x:v>Rotación externa y separación por entorno</x:v>
      </x:c>
      <x:c r="H9" s="476" t="str">
        <x:v>Escaneo repo + revisión env examples</x:v>
      </x:c>
      <x:c r="I9" s="476" t="str">
        <x:v>Rotar secreto, revocar token, redeploy</x:v>
      </x:c>
      <x:c r="J9" s="476" t="str">
        <x:v>env/config/deployment</x:v>
      </x:c>
      <x:c r="K9" s="477" t="str">
        <x:v>Escaneo V5 reporta 0 secretos versionados</x:v>
      </x:c>
    </x:row>
    <x:row r="10" ht="66" customHeight="1">
      <x:c r="A10" s="475" t="str">
        <x:v>SR-06</x:v>
      </x:c>
      <x:c r="B10" s="476" t="str">
        <x:v>Datos personales</x:v>
      </x:c>
      <x:c r="C10" s="476" t="str">
        <x:v>Exposición de DNI/contacto/registro de estudiante</x:v>
      </x:c>
      <x:c r="D10" s="476" t="str">
        <x:v>Confidencialidad alta</x:v>
      </x:c>
      <x:c r="E10" s="476" t="str">
        <x:v>RBAC, scope, minimización, exports controlados</x:v>
      </x:c>
      <x:c r="F10" s="476" t="str">
        <x:v>Privacidad / clasificación de información</x:v>
      </x:c>
      <x:c r="G10" s="476" t="str">
        <x:v>Limitar campos por rol y exportación</x:v>
      </x:c>
      <x:c r="H10" s="476" t="str">
        <x:v>Casos acceso ajeno; revisión payloads</x:v>
      </x:c>
      <x:c r="I10" s="476" t="str">
        <x:v>Ocultar campo, auditar, notificar según política institucional</x:v>
      </x:c>
      <x:c r="J10" s="476" t="str">
        <x:v>Student/User/controllers</x:v>
      </x:c>
      <x:c r="K10" s="477" t="str">
        <x:v>RNF-017 + pruebas scope</x:v>
      </x:c>
    </x:row>
    <x:row r="11" ht="66" customHeight="1">
      <x:c r="A11" s="475" t="str">
        <x:v>SR-07</x:v>
      </x:c>
      <x:c r="B11" s="476" t="str">
        <x:v>Dataset científico</x:v>
      </x:c>
      <x:c r="C11" s="476" t="str">
        <x:v>Uso no autorizado, no anonimizado o mezcla con demo</x:v>
      </x:c>
      <x:c r="D11" s="476" t="str">
        <x:v>Confidencialidad / integridad científica</x:v>
      </x:c>
      <x:c r="E11" s="476" t="str">
        <x:v>ML_DATA_MODE=real + DATASET_PATH + regla demo≠ciencia</x:v>
      </x:c>
      <x:c r="F11" s="476" t="str">
        <x:v>Protección de datos + integridad de investigación</x:v>
      </x:c>
      <x:c r="G11" s="476" t="str">
        <x:v>Anonimizar; registrar autorización/versión; bloquear fallback sintético</x:v>
      </x:c>
      <x:c r="H11" s="476" t="str">
        <x:v>Validar dataset path/hash/identificadores/leakage</x:v>
      </x:c>
      <x:c r="I11" s="476" t="str">
        <x:v>Retirar dataset/artefacto y recalcular</x:v>
      </x:c>
      <x:c r="J11" s="476" t="str">
        <x:v>machine-learning; MlDataset</x:v>
      </x:c>
      <x:c r="K11" s="477" t="str">
        <x:v>Sin entrenamiento científico actual</x:v>
      </x:c>
    </x:row>
    <x:row r="12" ht="66" customHeight="1">
      <x:c r="A12" s="475" t="str">
        <x:v>SR-08</x:v>
      </x:c>
      <x:c r="B12" s="476" t="str">
        <x:v>Base de datos</x:v>
      </x:c>
      <x:c r="C12" s="476" t="str">
        <x:v>Migración destructiva, P3009, corrupción o pérdida</x:v>
      </x:c>
      <x:c r="D12" s="476" t="str">
        <x:v>Disponibilidad / integridad crítica</x:v>
      </x:c>
      <x:c r="E12" s="476" t="str">
        <x:v>migrate deploy; resets legacy deshabilitados; no DROP automático</x:v>
      </x:c>
      <x:c r="F12" s="476" t="str">
        <x:v>Backup, continuidad y change management</x:v>
      </x:c>
      <x:c r="G12" s="476" t="str">
        <x:v>Backup antes de migrar; probar restore; índices/FK</x:v>
      </x:c>
      <x:c r="H12" s="476" t="str">
        <x:v>prisma validate; migrate dry-run; restore test</x:v>
      </x:c>
      <x:c r="I12" s="476" t="str">
        <x:v>Rollback migration compatible + restauración backup</x:v>
      </x:c>
      <x:c r="J12" s="476" t="str">
        <x:v>Prisma/MySQL/Railway</x:v>
      </x:c>
      <x:c r="K12" s="477" t="str">
        <x:v>Package scripts actuales</x:v>
      </x:c>
    </x:row>
    <x:row r="13" ht="66" customHeight="1">
      <x:c r="A13" s="475" t="str">
        <x:v>SR-09</x:v>
      </x:c>
      <x:c r="B13" s="476" t="str">
        <x:v>Backups</x:v>
      </x:c>
      <x:c r="C13" s="476" t="str">
        <x:v>Backup inexistente o no restaurable</x:v>
      </x:c>
      <x:c r="D13" s="476" t="str">
        <x:v>Disponibilidad</x:v>
      </x:c>
      <x:c r="E13" s="476" t="str">
        <x:v>Volumen persistente local + política de backup requerida</x:v>
      </x:c>
      <x:c r="F13" s="476" t="str">
        <x:v>Continuidad / backup</x:v>
      </x:c>
      <x:c r="G13" s="476" t="str">
        <x:v>Definir frecuencia, retención, cifrado y prueba de restauración</x:v>
      </x:c>
      <x:c r="H13" s="476" t="str">
        <x:v>Restore controlado en entorno aislado</x:v>
      </x:c>
      <x:c r="I13" s="476" t="str">
        <x:v>Restaurar último backup íntegro</x:v>
      </x:c>
      <x:c r="J13" s="476" t="str">
        <x:v>MySQL / infraestructura</x:v>
      </x:c>
      <x:c r="K13" s="477" t="str">
        <x:v>9.3 Anexo</x:v>
      </x:c>
    </x:row>
    <x:row r="14" ht="66" customHeight="1">
      <x:c r="A14" s="475" t="str">
        <x:v>SR-10</x:v>
      </x:c>
      <x:c r="B14" s="476" t="str">
        <x:v>Auditoría / logs</x:v>
      </x:c>
      <x:c r="C14" s="476" t="str">
        <x:v>Logs con PII/secreto o volumen sin retención</x:v>
      </x:c>
      <x:c r="D14" s="476" t="str">
        <x:v>Confidencialidad / trazabilidad</x:v>
      </x:c>
      <x:c r="E14" s="476" t="str">
        <x:v>AuditLog + morgan + sanitización</x:v>
      </x:c>
      <x:c r="F14" s="476" t="str">
        <x:v>Logging, monitoring y retención</x:v>
      </x:c>
      <x:c r="G14" s="476" t="str">
        <x:v>Anonimizar; restringir acceso; definir retención</x:v>
      </x:c>
      <x:c r="H14" s="476" t="str">
        <x:v>Revisión logs + permisos</x:v>
      </x:c>
      <x:c r="I14" s="476" t="str">
        <x:v>Purga conforme política preservando evidencias necesarias</x:v>
      </x:c>
      <x:c r="J14" s="476" t="str">
        <x:v>AuditLog / logs Railway</x:v>
      </x:c>
      <x:c r="K14" s="477" t="str">
        <x:v>P18 / 9.3</x:v>
      </x:c>
    </x:row>
    <x:row r="15" ht="66" customHeight="1">
      <x:c r="A15" s="475" t="str">
        <x:v>SR-11</x:v>
      </x:c>
      <x:c r="B15" s="476" t="str">
        <x:v>ML artefacto</x:v>
      </x:c>
      <x:c r="C15" s="476" t="str">
        <x:v>Drift, modelo obsoleto o artefacto distinto al evaluado</x:v>
      </x:c>
      <x:c r="D15" s="476" t="str">
        <x:v>Integridad / fiabilidad</x:v>
      </x:c>
      <x:c r="E15" s="476" t="str">
        <x:v>Versionar dataset/modelo; esProduccion; smoke no sustituye evaluación</x:v>
      </x:c>
      <x:c r="F15" s="476" t="str">
        <x:v>Gestión de cambios / integridad</x:v>
      </x:c>
      <x:c r="G15" s="476" t="str">
        <x:v>Monitorear drift; reentrenar y comparar antes de promover</x:v>
      </x:c>
      <x:c r="H15" s="476" t="str">
        <x:v>Métricas por cohorte + hash/version</x:v>
      </x:c>
      <x:c r="I15" s="476" t="str">
        <x:v>Revertir a artefacto anterior validado</x:v>
      </x:c>
      <x:c r="J15" s="476" t="str">
        <x:v>MlModelo/MlMetrica/ML service</x:v>
      </x:c>
      <x:c r="K15" s="477" t="str">
        <x:v>8.5.2–8.5.3</x:v>
      </x:c>
    </x:row>
    <x:row r="16" ht="66" customHeight="1">
      <x:c r="A16" s="475" t="str">
        <x:v>SR-12</x:v>
      </x:c>
      <x:c r="B16" s="476" t="str">
        <x:v>Predicciones</x:v>
      </x:c>
      <x:c r="C16" s="476" t="str">
        <x:v>Fabricar score o mostrar 0 como si fuera riesgo real</x:v>
      </x:c>
      <x:c r="D16" s="476" t="str">
        <x:v>Integridad científica</x:v>
      </x:c>
      <x:c r="E16" s="476" t="str">
        <x:v>Prediction=0 produce 'Sin predicción'; avgRisk=null</x:v>
      </x:c>
      <x:c r="F16" s="476" t="str">
        <x:v>Integridad de información</x:v>
      </x:c>
      <x:c r="G16" s="476" t="str">
        <x:v>Mantener nulos/estado honesto cuando no hay modelo</x:v>
      </x:c>
      <x:c r="H16" s="476" t="str">
        <x:v>Tests formato/UI/reportes</x:v>
      </x:c>
      <x:c r="I16" s="476" t="str">
        <x:v>Deshabilitar inferencia/visualización si contrato falla</x:v>
      </x:c>
      <x:c r="J16" s="476" t="str">
        <x:v>Prediction views/controllers</x:v>
      </x:c>
      <x:c r="K16" s="477" t="str">
        <x:v>Cierre V5</x:v>
      </x:c>
    </x:row>
    <x:row r="17" ht="66" customHeight="1">
      <x:c r="A17" s="475" t="str">
        <x:v>SR-13</x:v>
      </x:c>
      <x:c r="B17" s="476" t="str">
        <x:v>Frontend</x:v>
      </x:c>
      <x:c r="C17" s="476" t="str">
        <x:v>Complejidad, navegación inaccesible o fuga por UI</x:v>
      </x:c>
      <x:c r="D17" s="476" t="str">
        <x:v>Usabilidad / confidencialidad</x:v>
      </x:c>
      <x:c r="E17" s="476" t="str">
        <x:v>ROLE_SECTIONS + AuthProvider + componentes</x:v>
      </x:c>
      <x:c r="F17" s="476" t="str">
        <x:v>Secure UX / accessibility</x:v>
      </x:c>
      <x:c r="G17" s="476" t="str">
        <x:v>Componentizar, lazy loading y accesibilidad</x:v>
      </x:c>
      <x:c r="H17" s="476" t="str">
        <x:v>UAT 3 roles + viewport + consola/red</x:v>
      </x:c>
      <x:c r="I17" s="476" t="str">
        <x:v>Rollback UI; ocultar módulo no autorizado</x:v>
      </x:c>
      <x:c r="J17" s="476" t="str">
        <x:v>frontend/src</x:v>
      </x:c>
      <x:c r="K17" s="477" t="str">
        <x:v>9.3 Anexo</x:v>
      </x:c>
    </x:row>
    <x:row r="18" ht="66" customHeight="1">
      <x:c r="A18" s="475" t="str">
        <x:v>SR-14</x:v>
      </x:c>
      <x:c r="B18" s="476" t="str">
        <x:v>Infraestructura</x:v>
      </x:c>
      <x:c r="C18" s="476" t="str">
        <x:v>Configuración incorrecta de CORS/URL/env o caída de servicio</x:v>
      </x:c>
      <x:c r="D18" s="476" t="str">
        <x:v>Disponibilidad</x:v>
      </x:c>
      <x:c r="E18" s="476" t="str">
        <x:v>Health, variables por entorno, Vercel/Railway</x:v>
      </x:c>
      <x:c r="F18" s="476" t="str">
        <x:v>Operaciones seguras / continuidad</x:v>
      </x:c>
      <x:c r="G18" s="476" t="str">
        <x:v>Monitorear health, logs y variables; smoke tras deploy</x:v>
      </x:c>
      <x:c r="H18" s="476" t="str">
        <x:v>/health, login, DB, CORS, smoke E2E</x:v>
      </x:c>
      <x:c r="I18" s="476" t="str">
        <x:v>Rollback deployment/config</x:v>
      </x:c>
      <x:c r="J18" s="476" t="str">
        <x:v>Vercel/Railway/Docker</x:v>
      </x:c>
      <x:c r="K18" s="477" t="str">
        <x:v>P19</x:v>
      </x:c>
    </x:row>
    <x:row r="19" ht="66" customHeight="1">
      <x:c r="A19" s="478" t="str">
        <x:v>SR-15</x:v>
      </x:c>
      <x:c r="B19" s="479" t="str">
        <x:v>Gobernanza</x:v>
      </x:c>
      <x:c r="C19" s="479" t="str">
        <x:v>Uso automático de predicción para decisiones sobre estudiantes</x:v>
      </x:c>
      <x:c r="D19" s="479" t="str">
        <x:v>Impacto institucional</x:v>
      </x:c>
      <x:c r="E19" s="479" t="str">
        <x:v>Sistema definido como apoyo humano, no decisión automática</x:v>
      </x:c>
      <x:c r="F19" s="479" t="str">
        <x:v>Gobernanza y uso responsable</x:v>
      </x:c>
      <x:c r="G19" s="479" t="str">
        <x:v>Revisión humana + trazabilidad de decisiones</x:v>
      </x:c>
      <x:c r="H19" s="479" t="str">
        <x:v>UAT/reportes/alertas con contexto</x:v>
      </x:c>
      <x:c r="I19" s="479" t="str">
        <x:v>Suspender regla automática y revisar política</x:v>
      </x:c>
      <x:c r="J19" s="479" t="str">
        <x:v>Dashboard/alertas/reportes</x:v>
      </x:c>
      <x:c r="K19" s="480" t="str">
        <x:v>Anexo 8.5.4 / 9.3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40" hidden="0" customWidth="1"/>
    <x:col min="4" max="4" width="28" hidden="0" customWidth="1"/>
    <x:col min="5" max="5" width="46" hidden="0" customWidth="1"/>
    <x:col min="6" max="6" width="38" hidden="0" customWidth="1"/>
    <x:col min="7" max="7" width="44" hidden="0" customWidth="1"/>
    <x:col min="8" max="8" width="46" hidden="0" customWidth="1"/>
    <x:col min="9" max="9" width="28" hidden="0" customWidth="1"/>
    <x:col min="10" max="10" width="36" hidden="0" customWidth="1"/>
  </x:cols>
  <x:sheetData>
    <x:row r="1" ht="34" customHeight="1">
      <x:c r="A1" s="444" t="str">
        <x:v>Matriz de pruebas × cobertura</x:v>
      </x:c>
      <x:c r="B1" s="444"/>
      <x:c r="C1" s="444"/>
      <x:c r="D1" s="444"/>
      <x:c r="E1" s="444"/>
      <x:c r="F1" s="444"/>
      <x:c r="G1" s="444"/>
      <x:c r="H1" s="444"/>
      <x:c r="I1" s="444"/>
      <x:c r="J1" s="444"/>
    </x:row>
    <x:row r="2" ht="42" customHeight="1">
      <x:c r="A2" s="448" t="str">
        <x:v>Estrategia de verificación/validación alineada a ISO/IEC/IEEE 29119. Distingue pruebas de software de evaluación científica del modelo ML.</x:v>
      </x:c>
      <x:c r="B2" s="448"/>
      <x:c r="C2" s="448"/>
      <x:c r="D2" s="448"/>
      <x:c r="E2" s="448"/>
      <x:c r="F2" s="448"/>
      <x:c r="G2" s="448"/>
      <x:c r="H2" s="448"/>
      <x:c r="I2" s="448"/>
      <x:c r="J2" s="448"/>
    </x:row>
    <x:row r="4" ht="48" customHeight="1">
      <x:c r="A4" s="453" t="str">
        <x:v>ID</x:v>
      </x:c>
      <x:c r="B4" s="453" t="str">
        <x:v>Estrategia</x:v>
      </x:c>
      <x:c r="C4" s="453" t="str">
        <x:v>Objeto de prueba</x:v>
      </x:c>
      <x:c r="D4" s="453" t="str">
        <x:v>Cobertura</x:v>
      </x:c>
      <x:c r="E4" s="453" t="str">
        <x:v>Mecanismo / herramienta</x:v>
      </x:c>
      <x:c r="F4" s="453" t="str">
        <x:v>Criterio de entrada</x:v>
      </x:c>
      <x:c r="G4" s="453" t="str">
        <x:v>Criterio de cierre</x:v>
      </x:c>
      <x:c r="H4" s="453" t="str">
        <x:v>Evidencia</x:v>
      </x:c>
      <x:c r="I4" s="453" t="str">
        <x:v>Disparador / momento</x:v>
      </x:c>
      <x:c r="J4" s="453" t="str">
        <x:v>Calidad / norma</x:v>
      </x:c>
    </x:row>
    <x:row r="5" ht="66" customHeight="1">
      <x:c r="A5" s="472" t="str">
        <x:v>T01</x:v>
      </x:c>
      <x:c r="B5" s="473" t="str">
        <x:v>Verificación estática</x:v>
      </x:c>
      <x:c r="C5" s="473" t="str">
        <x:v>Código, tipos, reglas, schema y configuración</x:v>
      </x:c>
      <x:c r="D5" s="473" t="str">
        <x:v>RF/RNF transversal</x:v>
      </x:c>
      <x:c r="E5" s="473" t="str">
        <x:v>Type-check, lint, build, prisma validate/generate, Sonar</x:v>
      </x:c>
      <x:c r="F5" s="473" t="str">
        <x:v>Commit identificado + dependencias</x:v>
      </x:c>
      <x:c r="G5" s="473" t="str">
        <x:v>0 errores bloqueantes; hallazgos críticos gestionados</x:v>
      </x:c>
      <x:c r="H5" s="473" t="str">
        <x:v>Logs fechados + Sonar + build/typecheck</x:v>
      </x:c>
      <x:c r="I5" s="473" t="str">
        <x:v>Antes de merge/release</x:v>
      </x:c>
      <x:c r="J5" s="474" t="str">
        <x:v>ISO 29119 + mantenibilidad/seguridad</x:v>
      </x:c>
    </x:row>
    <x:row r="6" ht="66" customHeight="1">
      <x:c r="A6" s="475" t="str">
        <x:v>T02</x:v>
      </x:c>
      <x:c r="B6" s="476" t="str">
        <x:v>Unitarias</x:v>
      </x:c>
      <x:c r="C6" s="476" t="str">
        <x:v>Validadores, utilidades, formato, servicios y ML contrato</x:v>
      </x:c>
      <x:c r="D6" s="476" t="str">
        <x:v>RF críticos + RNF-008/018</x:v>
      </x:c>
      <x:c r="E6" s="476" t="str">
        <x:v>node:test/tsx; pytest</x:v>
      </x:c>
      <x:c r="F6" s="476" t="str">
        <x:v>Código compilable + fixtures controladas</x:v>
      </x:c>
      <x:c r="G6" s="476" t="str">
        <x:v>Funciones retornan resultado esperado sin efectos colaterales</x:v>
      </x:c>
      <x:c r="H6" s="476" t="str">
        <x:v>Backend 81/81; Frontend 16/16; ML 7/7; formato 4/4 en corte V5</x:v>
      </x:c>
      <x:c r="I6" s="476" t="str">
        <x:v>Cada cambio de lógica</x:v>
      </x:c>
      <x:c r="J6" s="477" t="str">
        <x:v>ISO 29119 + adecuación funcional</x:v>
      </x:c>
    </x:row>
    <x:row r="7" ht="66" customHeight="1">
      <x:c r="A7" s="475" t="str">
        <x:v>T03</x:v>
      </x:c>
      <x:c r="B7" s="476" t="str">
        <x:v>Caja blanca</x:v>
      </x:c>
      <x:c r="C7" s="476" t="str">
        <x:v>Ramas internas, schemas, scopes, errores y transacciones</x:v>
      </x:c>
      <x:c r="D7" s="476" t="str">
        <x:v>RF de negocio/RBAC</x:v>
      </x:c>
      <x:c r="E7" s="476" t="str">
        <x:v>Revisión de código + tests internos</x:v>
      </x:c>
      <x:c r="F7" s="476" t="str">
        <x:v>Código/rutas identificadas</x:v>
      </x:c>
      <x:c r="G7" s="476" t="str">
        <x:v>Ramas críticas y validaciones cubiertas</x:v>
      </x:c>
      <x:c r="H7" s="476" t="str">
        <x:v>Logs/tests + revisión</x:v>
      </x:c>
      <x:c r="I7" s="476" t="str">
        <x:v>Cambios en controladores/services</x:v>
      </x:c>
      <x:c r="J7" s="477" t="str">
        <x:v>ISO 29119 + mantenibilidad</x:v>
      </x:c>
    </x:row>
    <x:row r="8" ht="66" customHeight="1">
      <x:c r="A8" s="475" t="str">
        <x:v>T04</x:v>
      </x:c>
      <x:c r="B8" s="476" t="str">
        <x:v>Caja negra</x:v>
      </x:c>
      <x:c r="C8" s="476" t="str">
        <x:v>Comportamiento visible UI/API</x:v>
      </x:c>
      <x:c r="D8" s="476" t="str">
        <x:v>RF-001–046</x:v>
      </x:c>
      <x:c r="E8" s="476" t="str">
        <x:v>HTTP/UI manual/automatizada</x:v>
      </x:c>
      <x:c r="F8" s="476" t="str">
        <x:v>Servicios disponibles + datos QA</x:v>
      </x:c>
      <x:c r="G8" s="476" t="str">
        <x:v>Resultado observable conforme al requisito</x:v>
      </x:c>
      <x:c r="H8" s="476" t="str">
        <x:v>Captura/JSON/log</x:v>
      </x:c>
      <x:c r="I8" s="476" t="str">
        <x:v>Por sprint/release</x:v>
      </x:c>
      <x:c r="J8" s="477" t="str">
        <x:v>ISO 29119 + funcionalidad/usabilidad</x:v>
      </x:c>
    </x:row>
    <x:row r="9" ht="66" customHeight="1">
      <x:c r="A9" s="475" t="str">
        <x:v>T05</x:v>
      </x:c>
      <x:c r="B9" s="476" t="str">
        <x:v>Integración</x:v>
      </x:c>
      <x:c r="C9" s="476" t="str">
        <x:v>Frontend↔API, API↔MySQL, API↔FastAPI</x:v>
      </x:c>
      <x:c r="D9" s="476" t="str">
        <x:v>RF-021–027 + módulos persistentes</x:v>
      </x:c>
      <x:c r="E9" s="476" t="str">
        <x:v>Smoke/API + test integration</x:v>
      </x:c>
      <x:c r="F9" s="476" t="str">
        <x:v>Entornos aislados/seguros</x:v>
      </x:c>
      <x:c r="G9" s="476" t="str">
        <x:v>Contrato, persistencia y respuesta coherentes</x:v>
      </x:c>
      <x:c r="H9" s="476" t="str">
        <x:v>Smoke 67/67 prod; test aislado cuando exista MySQL 33316</x:v>
      </x:c>
      <x:c r="I9" s="476" t="str">
        <x:v>Cambios de contratos/DB/ML</x:v>
      </x:c>
      <x:c r="J9" s="477" t="str">
        <x:v>Compatibilidad/fiabilidad</x:v>
      </x:c>
    </x:row>
    <x:row r="10" ht="66" customHeight="1">
      <x:c r="A10" s="475" t="str">
        <x:v>T06</x:v>
      </x:c>
      <x:c r="B10" s="476" t="str">
        <x:v>Seguridad</x:v>
      </x:c>
      <x:c r="C10" s="476" t="str">
        <x:v>JWT, RBAC, scopes, CORS, input, secrets</x:v>
      </x:c>
      <x:c r="D10" s="476" t="str">
        <x:v>RNF-001–004/017</x:v>
      </x:c>
      <x:c r="E10" s="476" t="str">
        <x:v>401/403/429, acceso ajeno, escaneo secretos</x:v>
      </x:c>
      <x:c r="F10" s="476" t="str">
        <x:v>Usuarios de prueba + endpoints</x:v>
      </x:c>
      <x:c r="G10" s="476" t="str">
        <x:v>Ningún recurso fuera de rol/scope; secretos no expuestos</x:v>
      </x:c>
      <x:c r="H10" s="476" t="str">
        <x:v>42 permitidos 200 / 15 denegados 403 + escaneo</x:v>
      </x:c>
      <x:c r="I10" s="476" t="str">
        <x:v>Cambios auth/admin/rutas</x:v>
      </x:c>
      <x:c r="J10" s="477" t="str">
        <x:v>ISO 27001 + seguridad ISO25010</x:v>
      </x:c>
    </x:row>
    <x:row r="11" ht="66" customHeight="1">
      <x:c r="A11" s="475" t="str">
        <x:v>T07</x:v>
      </x:c>
      <x:c r="B11" s="476" t="str">
        <x:v>Rendimiento</x:v>
      </x:c>
      <x:c r="C11" s="476" t="str">
        <x:v>Health, login, KPIs, filtros, predict/reportes</x:v>
      </x:c>
      <x:c r="D11" s="476" t="str">
        <x:v>RNF-010</x:v>
      </x:c>
      <x:c r="E11" s="476" t="str">
        <x:v>Medición de tiempos/carga en entorno definido</x:v>
      </x:c>
      <x:c r="F11" s="476" t="str">
        <x:v>Carga controlada</x:v>
      </x:c>
      <x:c r="G11" s="476" t="str">
        <x:v>Tiempos contrastados con umbral documentado</x:v>
      </x:c>
      <x:c r="H11" s="476" t="str">
        <x:v>Reporte performance/logs</x:v>
      </x:c>
      <x:c r="I11" s="476" t="str">
        <x:v>Cambios de query/índices/algoritmo</x:v>
      </x:c>
      <x:c r="J11" s="477" t="str">
        <x:v>Eficiencia ISO25010</x:v>
      </x:c>
    </x:row>
    <x:row r="12" ht="66" customHeight="1">
      <x:c r="A12" s="475" t="str">
        <x:v>T08</x:v>
      </x:c>
      <x:c r="B12" s="476" t="str">
        <x:v>Aceptación por rol</x:v>
      </x:c>
      <x:c r="C12" s="476" t="str">
        <x:v>Recorridos Director/Profesor/Estudiante</x:v>
      </x:c>
      <x:c r="D12" s="476" t="str">
        <x:v>RF visibles + RNF-011/012</x:v>
      </x:c>
      <x:c r="E12" s="476" t="str">
        <x:v>UAT + capturas + checklist</x:v>
      </x:c>
      <x:c r="F12" s="476" t="str">
        <x:v>Cuentas/entorno autorizado</x:v>
      </x:c>
      <x:c r="G12" s="476" t="str">
        <x:v>Flujos críticos utilizables y comprensibles por perfil</x:v>
      </x:c>
      <x:c r="H12" s="476" t="str">
        <x:v>Capturas/observaciones</x:v>
      </x:c>
      <x:c r="I12" s="476" t="str">
        <x:v>Antes de sustentación/release</x:v>
      </x:c>
      <x:c r="J12" s="477" t="str">
        <x:v>Usabilidad/adecuación funcional</x:v>
      </x:c>
    </x:row>
    <x:row r="13" ht="66" customHeight="1">
      <x:c r="A13" s="475" t="str">
        <x:v>T09</x:v>
      </x:c>
      <x:c r="B13" s="476" t="str">
        <x:v>Regresión</x:v>
      </x:c>
      <x:c r="C13" s="476" t="str">
        <x:v>Monorepo completo después de cambios</x:v>
      </x:c>
      <x:c r="D13" s="476" t="str">
        <x:v>Todos los RF/RNF impactados</x:v>
      </x:c>
      <x:c r="E13" s="476" t="str">
        <x:v>qa:pipeline + build + type-check + tests + smoke</x:v>
      </x:c>
      <x:c r="F13" s="476" t="str">
        <x:v>Corrección implementada</x:v>
      </x:c>
      <x:c r="G13" s="476" t="str">
        <x:v>Cambio no rompe funciones previamente verificadas</x:v>
      </x:c>
      <x:c r="H13" s="476" t="str">
        <x:v>Logs antes/después + commit</x:v>
      </x:c>
      <x:c r="I13" s="476" t="str">
        <x:v>Obligatorio tras P20/cambio relevante</x:v>
      </x:c>
      <x:c r="J13" s="477" t="str">
        <x:v>Mantenibilidad/fiabilidad</x:v>
      </x:c>
    </x:row>
    <x:row r="14" ht="66" customHeight="1">
      <x:c r="A14" s="478" t="str">
        <x:v>T10</x:v>
      </x:c>
      <x:c r="B14" s="479" t="str">
        <x:v>Restauración / continuidad</x:v>
      </x:c>
      <x:c r="C14" s="479" t="str">
        <x:v>BD, deploy y configuración</x:v>
      </x:c>
      <x:c r="D14" s="479" t="str">
        <x:v>RNF-005/006/013/014</x:v>
      </x:c>
      <x:c r="E14" s="479" t="str">
        <x:v>Restore/rollback controlado</x:v>
      </x:c>
      <x:c r="F14" s="479" t="str">
        <x:v>Backup/versión anterior disponible</x:v>
      </x:c>
      <x:c r="G14" s="479" t="str">
        <x:v>Se recupera servicio/dato sin pérdida no aceptada</x:v>
      </x:c>
      <x:c r="H14" s="479" t="str">
        <x:v>Log de restore/rollback + health</x:v>
      </x:c>
      <x:c r="I14" s="479" t="str">
        <x:v>Migraciones/releases críticos</x:v>
      </x:c>
      <x:c r="J14" s="480" t="str">
        <x:v>Fiabilidad/portabilidad/ISO27001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22" hidden="0" customWidth="1"/>
    <x:col min="4" max="4" width="42" hidden="0" customWidth="1"/>
    <x:col min="5" max="5" width="30" hidden="0" customWidth="1"/>
    <x:col min="6" max="6" width="46" hidden="0" customWidth="1"/>
    <x:col min="7" max="7" width="32" hidden="0" customWidth="1"/>
    <x:col min="8" max="8" width="30" hidden="0" customWidth="1"/>
    <x:col min="9" max="9" width="30" hidden="0" customWidth="1"/>
    <x:col min="10" max="10" width="32" hidden="0" customWidth="1"/>
    <x:col min="11" max="11" width="40" hidden="0" customWidth="1"/>
    <x:col min="12" max="12" width="38" hidden="0" customWidth="1"/>
  </x:cols>
  <x:sheetData>
    <x:row r="1" ht="34" customHeight="1">
      <x:c r="A1" s="444" t="str">
        <x:v>Matriz de despliegue, monitoreo y recuperación</x:v>
      </x:c>
      <x:c r="B1" s="444"/>
      <x:c r="C1" s="444"/>
      <x:c r="D1" s="444"/>
      <x:c r="E1" s="444"/>
      <x:c r="F1" s="444"/>
      <x:c r="G1" s="444"/>
      <x:c r="H1" s="444"/>
      <x:c r="I1" s="444"/>
      <x:c r="J1" s="444"/>
      <x:c r="K1" s="444"/>
      <x:c r="L1" s="444"/>
    </x:row>
    <x:row r="2" ht="42" customHeight="1">
      <x:c r="A2" s="448" t="str">
        <x:v>Entornos local/nube, variables, health, logs, persistencia, smoke y recuperación. El corte V5 ya verificó backend, frontend y BD; el ML científico sigue condicionado al dataset autorizado.</x:v>
      </x:c>
      <x:c r="B2" s="448"/>
      <x:c r="C2" s="448"/>
      <x:c r="D2" s="448"/>
      <x:c r="E2" s="448"/>
      <x:c r="F2" s="448"/>
      <x:c r="G2" s="448"/>
      <x:c r="H2" s="448"/>
      <x:c r="I2" s="448"/>
      <x:c r="J2" s="448"/>
      <x:c r="K2" s="448"/>
      <x:c r="L2" s="448"/>
    </x:row>
    <x:row r="4" ht="48" customHeight="1">
      <x:c r="A4" s="453" t="str">
        <x:v>ID</x:v>
      </x:c>
      <x:c r="B4" s="453" t="str">
        <x:v>Ámbito</x:v>
      </x:c>
      <x:c r="C4" s="453" t="str">
        <x:v>Componente</x:v>
      </x:c>
      <x:c r="D4" s="453" t="str">
        <x:v>URL / puerto</x:v>
      </x:c>
      <x:c r="E4" s="453" t="str">
        <x:v>Comando / operación</x:v>
      </x:c>
      <x:c r="F4" s="453" t="str">
        <x:v>Variables / señales</x:v>
      </x:c>
      <x:c r="G4" s="453" t="str">
        <x:v>Health / verificación</x:v>
      </x:c>
      <x:c r="H4" s="453" t="str">
        <x:v>Logs / observabilidad</x:v>
      </x:c>
      <x:c r="I4" s="453" t="str">
        <x:v>Persistencia / backup</x:v>
      </x:c>
      <x:c r="J4" s="453" t="str">
        <x:v>Prueba</x:v>
      </x:c>
      <x:c r="K4" s="453" t="str">
        <x:v>Recuperación</x:v>
      </x:c>
      <x:c r="L4" s="453" t="str">
        <x:v>Evidencia / ruta</x:v>
      </x:c>
    </x:row>
    <x:row r="5" ht="66" customHeight="1">
      <x:c r="A5" s="472" t="str">
        <x:v>D01</x:v>
      </x:c>
      <x:c r="B5" s="473" t="str">
        <x:v>Local</x:v>
      </x:c>
      <x:c r="C5" s="473" t="str">
        <x:v>Frontend</x:v>
      </x:c>
      <x:c r="D5" s="473" t="str">
        <x:v>localhost:3029</x:v>
      </x:c>
      <x:c r="E5" s="473" t="str">
        <x:v>npm run dev:web</x:v>
      </x:c>
      <x:c r="F5" s="473" t="str">
        <x:v>NEXT_PUBLIC_API_URL</x:v>
      </x:c>
      <x:c r="G5" s="473" t="str">
        <x:v>Carga login/dashboard</x:v>
      </x:c>
      <x:c r="H5" s="473" t="str">
        <x:v>Consola/red</x:v>
      </x:c>
      <x:c r="I5" s="473" t="str">
        <x:v>N/A</x:v>
      </x:c>
      <x:c r="J5" s="473" t="str">
        <x:v>Smoke UI</x:v>
      </x:c>
      <x:c r="K5" s="473" t="str">
        <x:v>Reiniciar servicio / revisar env</x:v>
      </x:c>
      <x:c r="L5" s="474" t="str">
        <x:v>frontend/package.json</x:v>
      </x:c>
    </x:row>
    <x:row r="6" ht="66" customHeight="1">
      <x:c r="A6" s="475" t="str">
        <x:v>D02</x:v>
      </x:c>
      <x:c r="B6" s="476" t="str">
        <x:v>Local</x:v>
      </x:c>
      <x:c r="C6" s="476" t="str">
        <x:v>Backend</x:v>
      </x:c>
      <x:c r="D6" s="476" t="str">
        <x:v>localhost:4000</x:v>
      </x:c>
      <x:c r="E6" s="476" t="str">
        <x:v>npm run dev:api</x:v>
      </x:c>
      <x:c r="F6" s="476" t="str">
        <x:v>DATABASE_URL; JWT_SECRET; CORS_ORIGIN; ML_SERVICE_URL</x:v>
      </x:c>
      <x:c r="G6" s="476" t="str">
        <x:v>GET /health</x:v>
      </x:c>
      <x:c r="H6" s="476" t="str">
        <x:v>morgan/terminal</x:v>
      </x:c>
      <x:c r="I6" s="476" t="str">
        <x:v>MySQL externo/local</x:v>
      </x:c>
      <x:c r="J6" s="476" t="str">
        <x:v>Smoke API</x:v>
      </x:c>
      <x:c r="K6" s="476" t="str">
        <x:v>Reiniciar / corregir env</x:v>
      </x:c>
      <x:c r="L6" s="477" t="str">
        <x:v>backend/package.json</x:v>
      </x:c>
    </x:row>
    <x:row r="7" ht="66" customHeight="1">
      <x:c r="A7" s="475" t="str">
        <x:v>D03</x:v>
      </x:c>
      <x:c r="B7" s="476" t="str">
        <x:v>Local</x:v>
      </x:c>
      <x:c r="C7" s="476" t="str">
        <x:v>MySQL</x:v>
      </x:c>
      <x:c r="D7" s="476" t="str">
        <x:v>3306 / XAMPP o Docker</x:v>
      </x:c>
      <x:c r="E7" s="476" t="str">
        <x:v>docker compose up / MySQL local</x:v>
      </x:c>
      <x:c r="F7" s="476" t="str">
        <x:v>MYSQL_PASSWORD; MYSQL_ROOT_PASSWORD; DATABASE_URL</x:v>
      </x:c>
      <x:c r="G7" s="476" t="str">
        <x:v>Conexión Prisma</x:v>
      </x:c>
      <x:c r="H7" s="476" t="str">
        <x:v>MySQL logs</x:v>
      </x:c>
      <x:c r="I7" s="476" t="str">
        <x:v>Volumen mysqldata</x:v>
      </x:c>
      <x:c r="J7" s="476" t="str">
        <x:v>prisma validate/query</x:v>
      </x:c>
      <x:c r="K7" s="476" t="str">
        <x:v>Restore backup / revisar conexión</x:v>
      </x:c>
      <x:c r="L7" s="477" t="str">
        <x:v>docker-compose.yml</x:v>
      </x:c>
    </x:row>
    <x:row r="8" ht="66" customHeight="1">
      <x:c r="A8" s="475" t="str">
        <x:v>D04</x:v>
      </x:c>
      <x:c r="B8" s="476" t="str">
        <x:v>Local</x:v>
      </x:c>
      <x:c r="C8" s="476" t="str">
        <x:v>ML</x:v>
      </x:c>
      <x:c r="D8" s="476" t="str">
        <x:v>localhost:5000</x:v>
      </x:c>
      <x:c r="E8" s="476" t="str">
        <x:v>npm run dev:ml</x:v>
      </x:c>
      <x:c r="F8" s="476" t="str">
        <x:v>ML_DATA_MODE; DATASET_PATH; ML_CORS_ORIGINS</x:v>
      </x:c>
      <x:c r="G8" s="476" t="str">
        <x:v>GET /health</x:v>
      </x:c>
      <x:c r="H8" s="476" t="str">
        <x:v>uvicorn logs</x:v>
      </x:c>
      <x:c r="I8" s="476" t="str">
        <x:v>Artefactos ML</x:v>
      </x:c>
      <x:c r="J8" s="476" t="str">
        <x:v>ml:test / predict contrato</x:v>
      </x:c>
      <x:c r="K8" s="476" t="str">
        <x:v>Reiniciar / volver a artefacto válido</x:v>
      </x:c>
      <x:c r="L8" s="477" t="str">
        <x:v>machine-learning</x:v>
      </x:c>
    </x:row>
    <x:row r="9" ht="66" customHeight="1">
      <x:c r="A9" s="475" t="str">
        <x:v>D05</x:v>
      </x:c>
      <x:c r="B9" s="476" t="str">
        <x:v>Producción</x:v>
      </x:c>
      <x:c r="C9" s="476" t="str">
        <x:v>Frontend</x:v>
      </x:c>
      <x:c r="D9" s="476" t="str">
        <x:v>taller1-frontend.vercel.app</x:v>
      </x:c>
      <x:c r="E9" s="476" t="str">
        <x:v>Vercel build monorepo</x:v>
      </x:c>
      <x:c r="F9" s="476" t="str">
        <x:v>NEXT_PUBLIC_API_URL</x:v>
      </x:c>
      <x:c r="G9" s="476" t="str">
        <x:v>HTTP 200 + flujo login</x:v>
      </x:c>
      <x:c r="H9" s="476" t="str">
        <x:v>Vercel logs</x:v>
      </x:c>
      <x:c r="I9" s="476" t="str">
        <x:v>Estático/build</x:v>
      </x:c>
      <x:c r="J9" s="476" t="str">
        <x:v>Carga + UAT visual</x:v>
      </x:c>
      <x:c r="K9" s="476" t="str">
        <x:v>Rollback deployment</x:v>
      </x:c>
      <x:c r="L9" s="477" t="str">
        <x:v>Corte V5: 200 HTML</x:v>
      </x:c>
    </x:row>
    <x:row r="10" ht="66" customHeight="1">
      <x:c r="A10" s="475" t="str">
        <x:v>D06</x:v>
      </x:c>
      <x:c r="B10" s="476" t="str">
        <x:v>Producción</x:v>
      </x:c>
      <x:c r="C10" s="476" t="str">
        <x:v>Backend</x:v>
      </x:c>
      <x:c r="D10" s="476" t="str">
        <x:v>backend-production-fcb1.up.railway.app/api/v1</x:v>
      </x:c>
      <x:c r="E10" s="476" t="str">
        <x:v>start:prod</x:v>
      </x:c>
      <x:c r="F10" s="476" t="str">
        <x:v>DATABASE_URL; JWT_SECRET; CORS_ORIGIN; ML_SERVICE_URL</x:v>
      </x:c>
      <x:c r="G10" s="476" t="str">
        <x:v>GET /health = 200</x:v>
      </x:c>
      <x:c r="H10" s="476" t="str">
        <x:v>Railway logs</x:v>
      </x:c>
      <x:c r="I10" s="476" t="str">
        <x:v>N/A</x:v>
      </x:c>
      <x:c r="J10" s="476" t="str">
        <x:v>Smoke 67/67</x:v>
      </x:c>
      <x:c r="K10" s="476" t="str">
        <x:v>Rollback/redeploy; revisar env</x:v>
      </x:c>
      <x:c r="L10" s="477" t="str">
        <x:v>Corte V5</x:v>
      </x:c>
    </x:row>
    <x:row r="11" ht="66" customHeight="1">
      <x:c r="A11" s="475" t="str">
        <x:v>D07</x:v>
      </x:c>
      <x:c r="B11" s="476" t="str">
        <x:v>Producción</x:v>
      </x:c>
      <x:c r="C11" s="476" t="str">
        <x:v>MySQL</x:v>
      </x:c>
      <x:c r="D11" s="476" t="str">
        <x:v>Railway MySQL TALLER1/production</x:v>
      </x:c>
      <x:c r="E11" s="476" t="str">
        <x:v>prisma migrate deploy</x:v>
      </x:c>
      <x:c r="F11" s="476" t="str">
        <x:v>DATABASE_URL</x:v>
      </x:c>
      <x:c r="G11" s="476" t="str">
        <x:v>Conexión + consultas solo lectura</x:v>
      </x:c>
      <x:c r="H11" s="476" t="str">
        <x:v>Railway/MySQL logs</x:v>
      </x:c>
      <x:c r="I11" s="476" t="str">
        <x:v>Backup requerido</x:v>
      </x:c>
      <x:c r="J11" s="476" t="str">
        <x:v>Integridad V5 + query</x:v>
      </x:c>
      <x:c r="K11" s="476" t="str">
        <x:v>Restore backup; no reset/drop</x:v>
      </x:c>
      <x:c r="L11" s="477" t="str">
        <x:v>Corte V5</x:v>
      </x:c>
    </x:row>
    <x:row r="12" ht="66" customHeight="1">
      <x:c r="A12" s="475" t="str">
        <x:v>D08</x:v>
      </x:c>
      <x:c r="B12" s="476" t="str">
        <x:v>Producción</x:v>
      </x:c>
      <x:c r="C12" s="476" t="str">
        <x:v>ML</x:v>
      </x:c>
      <x:c r="D12" s="476" t="str">
        <x:v>Servicio independiente / Railway opcional</x:v>
      </x:c>
      <x:c r="E12" s="476" t="str">
        <x:v>uvicorn/Dockerfile</x:v>
      </x:c>
      <x:c r="F12" s="476" t="str">
        <x:v>ML_DATA_MODE=real; DATASET_PATH; ML_CORS_ORIGINS</x:v>
      </x:c>
      <x:c r="G12" s="476" t="str">
        <x:v>/health + /predict cuando exista modelo</x:v>
      </x:c>
      <x:c r="H12" s="476" t="str">
        <x:v>Logs ML</x:v>
      </x:c>
      <x:c r="I12" s="476" t="str">
        <x:v>Artefacto model</x:v>
      </x:c>
      <x:c r="J12" s="476" t="str">
        <x:v>Contrato + smoke + evaluación científica</x:v>
      </x:c>
      <x:c r="K12" s="476" t="str">
        <x:v>Rollback artefacto/deploy</x:v>
      </x:c>
      <x:c r="L12" s="477" t="str">
        <x:v>Sin servicio científico completo hasta dataset autorizado</x:v>
      </x:c>
    </x:row>
    <x:row r="13" ht="66" customHeight="1">
      <x:c r="A13" s="475" t="str">
        <x:v>M01</x:v>
      </x:c>
      <x:c r="B13" s="476" t="str">
        <x:v>Monitoreo</x:v>
      </x:c>
      <x:c r="C13" s="476" t="str">
        <x:v>API</x:v>
      </x:c>
      <x:c r="D13" s="476" t="str">
        <x:v>Backend</x:v>
      </x:c>
      <x:c r="E13" s="476" t="str">
        <x:v>Observabilidad runtime</x:v>
      </x:c>
      <x:c r="F13" s="476" t="str">
        <x:v>latencia; errores; 401/403/429</x:v>
      </x:c>
      <x:c r="G13" s="476" t="str">
        <x:v>Health + error rate</x:v>
      </x:c>
      <x:c r="H13" s="476" t="str">
        <x:v>Logs</x:v>
      </x:c>
      <x:c r="I13" s="476" t="str">
        <x:v>N/A</x:v>
      </x:c>
      <x:c r="J13" s="476" t="str">
        <x:v>Tendencias/error clusters</x:v>
      </x:c>
      <x:c r="K13" s="476" t="str">
        <x:v>Ajustar rate limit/caché/paginación</x:v>
      </x:c>
      <x:c r="L13" s="477" t="str">
        <x:v>P19/P20</x:v>
      </x:c>
    </x:row>
    <x:row r="14" ht="66" customHeight="1">
      <x:c r="A14" s="475" t="str">
        <x:v>M02</x:v>
      </x:c>
      <x:c r="B14" s="476" t="str">
        <x:v>Monitoreo</x:v>
      </x:c>
      <x:c r="C14" s="476" t="str">
        <x:v>BD</x:v>
      </x:c>
      <x:c r="D14" s="476" t="str">
        <x:v>MySQL</x:v>
      </x:c>
      <x:c r="E14" s="476" t="str">
        <x:v>Métricas DB</x:v>
      </x:c>
      <x:c r="F14" s="476" t="str">
        <x:v>conexiones; queries; tamaño; backups</x:v>
      </x:c>
      <x:c r="G14" s="476" t="str">
        <x:v>Conectividad/integridad</x:v>
      </x:c>
      <x:c r="H14" s="476" t="str">
        <x:v>DB logs</x:v>
      </x:c>
      <x:c r="I14" s="476" t="str">
        <x:v>Backup/restore</x:v>
      </x:c>
      <x:c r="J14" s="476" t="str">
        <x:v>Restore test</x:v>
      </x:c>
      <x:c r="K14" s="476" t="str">
        <x:v>Índices/pool/archivado</x:v>
      </x:c>
      <x:c r="L14" s="477" t="str">
        <x:v>9.3</x:v>
      </x:c>
    </x:row>
    <x:row r="15" ht="66" customHeight="1">
      <x:c r="A15" s="475" t="str">
        <x:v>M03</x:v>
      </x:c>
      <x:c r="B15" s="476" t="str">
        <x:v>Monitoreo</x:v>
      </x:c>
      <x:c r="C15" s="476" t="str">
        <x:v>Seguridad</x:v>
      </x:c>
      <x:c r="D15" s="476" t="str">
        <x:v>Auth/admin</x:v>
      </x:c>
      <x:c r="E15" s="476" t="str">
        <x:v>AuditLog + escaneo</x:v>
      </x:c>
      <x:c r="F15" s="476" t="str">
        <x:v>accesos; secretos; operaciones admin</x:v>
      </x:c>
      <x:c r="G15" s="476" t="str">
        <x:v>Sin exposición / trazabilidad</x:v>
      </x:c>
      <x:c r="H15" s="476" t="str">
        <x:v>AuditLog + logs</x:v>
      </x:c>
      <x:c r="I15" s="476" t="str">
        <x:v>Retención controlada</x:v>
      </x:c>
      <x:c r="J15" s="476" t="str">
        <x:v>403 + revisión exports</x:v>
      </x:c>
      <x:c r="K15" s="476" t="str">
        <x:v>Rotación/redeploy/revocación</x:v>
      </x:c>
      <x:c r="L15" s="477" t="str">
        <x:v>SR-01…SR-10</x:v>
      </x:c>
    </x:row>
    <x:row r="16" ht="66" customHeight="1">
      <x:c r="A16" s="475" t="str">
        <x:v>M04</x:v>
      </x:c>
      <x:c r="B16" s="476" t="str">
        <x:v>Monitoreo</x:v>
      </x:c>
      <x:c r="C16" s="476" t="str">
        <x:v>ML</x:v>
      </x:c>
      <x:c r="D16" s="476" t="str">
        <x:v>Modelo/datos</x:v>
      </x:c>
      <x:c r="E16" s="476" t="str">
        <x:v>Versiones + métricas por cohorte</x:v>
      </x:c>
      <x:c r="F16" s="476" t="str">
        <x:v>drift; desempeño; versión</x:v>
      </x:c>
      <x:c r="G16" s="476" t="str">
        <x:v>Modelo productivo coincide con evaluado</x:v>
      </x:c>
      <x:c r="H16" s="476" t="str">
        <x:v>MlModelo/MlMetrica/logs</x:v>
      </x:c>
      <x:c r="I16" s="476" t="str">
        <x:v>Artefactos versionados</x:v>
      </x:c>
      <x:c r="J16" s="476" t="str">
        <x:v>Evaluación periódica con datos autorizados</x:v>
      </x:c>
      <x:c r="K16" s="476" t="str">
        <x:v>Reentrenar y promover con comparación</x:v>
      </x:c>
      <x:c r="L16" s="477" t="str">
        <x:v>8.5.2–8.5.3</x:v>
      </x:c>
    </x:row>
    <x:row r="17" ht="66" customHeight="1">
      <x:c r="A17" s="478" t="str">
        <x:v>M05</x:v>
      </x:c>
      <x:c r="B17" s="479" t="str">
        <x:v>Monitoreo</x:v>
      </x:c>
      <x:c r="C17" s="479" t="str">
        <x:v>Frontend</x:v>
      </x:c>
      <x:c r="D17" s="479" t="str">
        <x:v>Vercel/UI</x:v>
      </x:c>
      <x:c r="E17" s="479" t="str">
        <x:v>Logs + UAT visual</x:v>
      </x:c>
      <x:c r="F17" s="479" t="str">
        <x:v>errores consola/red; accesibilidad; navegación</x:v>
      </x:c>
      <x:c r="G17" s="479" t="str">
        <x:v>Sin errores críticos por rol</x:v>
      </x:c>
      <x:c r="H17" s="479" t="str">
        <x:v>Capturas/logs</x:v>
      </x:c>
      <x:c r="I17" s="479" t="str">
        <x:v>N/A</x:v>
      </x:c>
      <x:c r="J17" s="479" t="str">
        <x:v>3 roles × viewports</x:v>
      </x:c>
      <x:c r="K17" s="479" t="str">
        <x:v>Rollback UI / corregir componente</x:v>
      </x:c>
      <x:c r="L17" s="480" t="str">
        <x:v>Evidencia visual final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44" hidden="0" customWidth="1"/>
    <x:col min="4" max="4" width="44" hidden="0" customWidth="1"/>
    <x:col min="5" max="5" width="50" hidden="0" customWidth="1"/>
    <x:col min="6" max="6" width="38" hidden="0" customWidth="1"/>
    <x:col min="7" max="7" width="38" hidden="0" customWidth="1"/>
    <x:col min="8" max="8" width="46" hidden="0" customWidth="1"/>
    <x:col min="9" max="9" width="50" hidden="0" customWidth="1"/>
    <x:col min="10" max="10" width="44" hidden="0" customWidth="1"/>
    <x:col min="11" max="11" width="44" hidden="0" customWidth="1"/>
    <x:col min="12" max="12" width="34" hidden="0" customWidth="1"/>
    <x:col min="13" max="13" width="38" hidden="0" customWidth="1"/>
  </x:cols>
  <x:sheetData>
    <x:row r="1" ht="34" customHeight="1">
      <x:c r="A1" s="444" t="str">
        <x:v>Matriz de mantenimiento y cambio-impacto</x:v>
      </x:c>
      <x:c r="B1" s="444"/>
      <x:c r="C1" s="444"/>
      <x:c r="D1" s="444"/>
      <x:c r="E1" s="444"/>
      <x:c r="F1" s="444"/>
      <x:c r="G1" s="444"/>
      <x:c r="H1" s="444"/>
      <x:c r="I1" s="444"/>
      <x:c r="J1" s="444"/>
      <x:c r="K1" s="444"/>
      <x:c r="L1" s="444"/>
      <x:c r="M1" s="444"/>
    </x:row>
    <x:row r="2" ht="42" customHeight="1">
      <x:c r="A2" s="448" t="str">
        <x:v>Responde literalmente a la pregunta del ingeniero: 'si quiero mantener o mejorar X, ¿dónde debo ir?'. Cada fila indica síntoma, capas/archivos, datos, diagnóstico, corrección, regresión y recuperación.</x:v>
      </x:c>
      <x:c r="B2" s="448"/>
      <x:c r="C2" s="448"/>
      <x:c r="D2" s="448"/>
      <x:c r="E2" s="448"/>
      <x:c r="F2" s="448"/>
      <x:c r="G2" s="448"/>
      <x:c r="H2" s="448"/>
      <x:c r="I2" s="448"/>
      <x:c r="J2" s="448"/>
      <x:c r="K2" s="448"/>
      <x:c r="L2" s="448"/>
      <x:c r="M2" s="448"/>
    </x:row>
    <x:row r="4" ht="48" customHeight="1">
      <x:c r="A4" s="453" t="str">
        <x:v>ID</x:v>
      </x:c>
      <x:c r="B4" s="453" t="str">
        <x:v>Área / cambio</x:v>
      </x:c>
      <x:c r="C4" s="453" t="str">
        <x:v>Síntoma / disparador</x:v>
      </x:c>
      <x:c r="D4" s="453" t="str">
        <x:v>Frontend / primera capa</x:v>
      </x:c>
      <x:c r="E4" s="453" t="str">
        <x:v>Backend / cadena técnica</x:v>
      </x:c>
      <x:c r="F4" s="453" t="str">
        <x:v>BD / dato</x:v>
      </x:c>
      <x:c r="G4" s="453" t="str">
        <x:v>Configuración / regla</x:v>
      </x:c>
      <x:c r="H4" s="453" t="str">
        <x:v>Diagnóstico</x:v>
      </x:c>
      <x:c r="I4" s="453" t="str">
        <x:v>Corrección segura</x:v>
      </x:c>
      <x:c r="J4" s="453" t="str">
        <x:v>Regresión obligatoria</x:v>
      </x:c>
      <x:c r="K4" s="453" t="str">
        <x:v>Rollback / recuperación</x:v>
      </x:c>
      <x:c r="L4" s="453" t="str">
        <x:v>Calidad afectada</x:v>
      </x:c>
      <x:c r="M4" s="453" t="str">
        <x:v>Documentación a actualizar</x:v>
      </x:c>
    </x:row>
    <x:row r="5" ht="66" customHeight="1">
      <x:c r="A5" s="472" t="str">
        <x:v>MC-01</x:v>
      </x:c>
      <x:c r="B5" s="473" t="str">
        <x:v>Login / acceso</x:v>
      </x:c>
      <x:c r="C5" s="473" t="str">
        <x:v>Usuario no entra, 401/429 o redirección errónea</x:v>
      </x:c>
      <x:c r="D5" s="473" t="str">
        <x:v>frontend/src/app/(auth)/login/page.tsx</x:v>
      </x:c>
      <x:c r="E5" s="473" t="str">
        <x:v>AuthProvider → api.login → auth.controller → middleware/env → User/Session</x:v>
      </x:c>
      <x:c r="F5" s="473" t="str">
        <x:v>User; Session; IntentoLogin; AuditLog</x:v>
      </x:c>
      <x:c r="G5" s="473" t="str">
        <x:v>Email/clave, JWT, CORS, estado activo</x:v>
      </x:c>
      <x:c r="H5" s="473" t="str">
        <x:v>Validar error exacto, Network y logs; confirmar env y cuenta</x:v>
      </x:c>
      <x:c r="I5" s="473" t="str">
        <x:v>Corregir en la primera capa que falla; no ocultar 401/429</x:v>
      </x:c>
      <x:c r="J5" s="473" t="str">
        <x:v>Login válido/incorrecto; refresh; logout; restore; 3 roles</x:v>
      </x:c>
      <x:c r="K5" s="473" t="str">
        <x:v>Rollback deployment; revocar sesiones si hubo riesgo</x:v>
      </x:c>
      <x:c r="L5" s="473" t="str">
        <x:v>ISO25010 seguridad/usabilidad/fiabilidad</x:v>
      </x:c>
      <x:c r="M5" s="474" t="str">
        <x:v>Actualizar matriz + evidencia auth</x:v>
      </x:c>
    </x:row>
    <x:row r="6" ht="66" customHeight="1">
      <x:c r="A6" s="475" t="str">
        <x:v>MC-02</x:v>
      </x:c>
      <x:c r="B6" s="476" t="str">
        <x:v>Sesión / refresh / logout</x:v>
      </x:c>
      <x:c r="C6" s="476" t="str">
        <x:v>Sesión expira, se queda colgada o no revoca</x:v>
      </x:c>
      <x:c r="D6" s="476" t="str">
        <x:v>frontend/src/contexts/AuthProvider.tsx</x:v>
      </x:c>
      <x:c r="E6" s="476" t="str">
        <x:v>/auth/refresh; /auth/logout; Session tokenHash</x:v>
      </x:c>
      <x:c r="F6" s="476" t="str">
        <x:v>Session; User</x:v>
      </x:c>
      <x:c r="G6" s="476" t="str">
        <x:v>JWT_SECRET; expiración; refresh</x:v>
      </x:c>
      <x:c r="H6" s="476" t="str">
        <x:v>Comparar token/refresh, session revocada y logs</x:v>
      </x:c>
      <x:c r="I6" s="476" t="str">
        <x:v>Corregir flujo de renovación/revocación</x:v>
      </x:c>
      <x:c r="J6" s="476" t="str">
        <x:v>Refresh expirado; logout; token inválido; re-login</x:v>
      </x:c>
      <x:c r="K6" s="476" t="str">
        <x:v>Revocar sesiones y volver a versión previa</x:v>
      </x:c>
      <x:c r="L6" s="476" t="str">
        <x:v>Seguridad/fiabilidad</x:v>
      </x:c>
      <x:c r="M6" s="477" t="str">
        <x:v>Actualizar pruebas y manual acceso</x:v>
      </x:c>
    </x:row>
    <x:row r="7" ht="66" customHeight="1">
      <x:c r="A7" s="475" t="str">
        <x:v>MC-03</x:v>
      </x:c>
      <x:c r="B7" s="476" t="str">
        <x:v>Usuarios / estudiantes</x:v>
      </x:c>
      <x:c r="C7" s="476" t="str">
        <x:v>CRUD o perfil/scope incorrecto</x:v>
      </x:c>
      <x:c r="D7" s="476" t="str">
        <x:v>StudentsView; ProfessorStudentsView</x:v>
      </x:c>
      <x:c r="E7" s="476" t="str">
        <x:v>students.controller; profesor/estudiante scope</x:v>
      </x:c>
      <x:c r="F7" s="476" t="str">
        <x:v>Student; User; Seccion; Matricula</x:v>
      </x:c>
      <x:c r="G7" s="476" t="str">
        <x:v>Validadores y permisos</x:v>
      </x:c>
      <x:c r="H7" s="476" t="str">
        <x:v>Reproducir por rol; revisar query/scopes/FK</x:v>
      </x:c>
      <x:c r="I7" s="476" t="str">
        <x:v>Corregir validator/query/scope, no ampliar permisos por UI</x:v>
      </x:c>
      <x:c r="J7" s="476" t="str">
        <x:v>CRUD + 403 + perfil propio + desactivación</x:v>
      </x:c>
      <x:c r="K7" s="476" t="str">
        <x:v>Reactivar registro; restore si corrupción</x:v>
      </x:c>
      <x:c r="L7" s="476" t="str">
        <x:v>Funcionalidad/seguridad</x:v>
      </x:c>
      <x:c r="M7" s="477" t="str">
        <x:v>Matriz RF-011 + evidencia</x:v>
      </x:c>
    </x:row>
    <x:row r="8" ht="66" customHeight="1">
      <x:c r="A8" s="475" t="str">
        <x:v>MC-04</x:v>
      </x:c>
      <x:c r="B8" s="476" t="str">
        <x:v>Profesores / cuentas</x:v>
      </x:c>
      <x:c r="C8" s="476" t="str">
        <x:v>Cuenta docente no coincide con perfil/asignación</x:v>
      </x:c>
      <x:c r="D8" s="476" t="str">
        <x:v>TeachersView</x:v>
      </x:c>
      <x:c r="E8" s="476" t="str">
        <x:v>teachers.controller + auth/account creation</x:v>
      </x:c>
      <x:c r="F8" s="476" t="str">
        <x:v>Teacher; User; Role; Assignment</x:v>
      </x:c>
      <x:c r="G8" s="476" t="str">
        <x:v>Email/código/rol</x:v>
      </x:c>
      <x:c r="H8" s="476" t="str">
        <x:v>Verificar unicidad y relación usuario-profesor</x:v>
      </x:c>
      <x:c r="I8" s="476" t="str">
        <x:v>Sincronizar relación y revocar sesiones si cambia rol</x:v>
      </x:c>
      <x:c r="J8" s="476" t="str">
        <x:v>CRUD docente + login + assignments</x:v>
      </x:c>
      <x:c r="K8" s="476" t="str">
        <x:v>Revertir vínculo/cuenta con auditoría</x:v>
      </x:c>
      <x:c r="L8" s="476" t="str">
        <x:v>Integridad/seguridad</x:v>
      </x:c>
      <x:c r="M8" s="477" t="str">
        <x:v>RF-012/013</x:v>
      </x:c>
    </x:row>
    <x:row r="9" ht="66" customHeight="1">
      <x:c r="A9" s="475" t="str">
        <x:v>MC-05</x:v>
      </x:c>
      <x:c r="B9" s="476" t="str">
        <x:v>Cursos / asignaciones</x:v>
      </x:c>
      <x:c r="C9" s="476" t="str">
        <x:v>Docente ve curso ajeno o falta oferta</x:v>
      </x:c>
      <x:c r="D9" s="476" t="str">
        <x:v>CoursesView; TeacherAssignmentsView</x:v>
      </x:c>
      <x:c r="E9" s="476" t="str">
        <x:v>academic/courses/teacher-assignments controllers</x:v>
      </x:c>
      <x:c r="F9" s="476" t="str">
        <x:v>Course; CursoCatalogo; TeacherCourseAssignment; TutorSeccion</x:v>
      </x:c>
      <x:c r="G9" s="476" t="str">
        <x:v>Año/grado/sección/curso</x:v>
      </x:c>
      <x:c r="H9" s="476" t="str">
        <x:v>Trazar oferta → asignación → scope</x:v>
      </x:c>
      <x:c r="I9" s="476" t="str">
        <x:v>Corregir relación/filtro, no hardcodear menú</x:v>
      </x:c>
      <x:c r="J9" s="476" t="str">
        <x:v>Asignación/reasignación + profesor mis-cursos</x:v>
      </x:c>
      <x:c r="K9" s="476" t="str">
        <x:v>Restaurar relación previa</x:v>
      </x:c>
      <x:c r="L9" s="476" t="str">
        <x:v>Compatibilidad/integridad</x:v>
      </x:c>
      <x:c r="M9" s="477" t="str">
        <x:v>P04 + Bizagi</x:v>
      </x:c>
    </x:row>
    <x:row r="10" ht="66" customHeight="1">
      <x:c r="A10" s="475" t="str">
        <x:v>MC-06</x:v>
      </x:c>
      <x:c r="B10" s="476" t="str">
        <x:v>Matrícula</x:v>
      </x:c>
      <x:c r="C10" s="476" t="str">
        <x:v>Duplicidad, retiro/traslado rompe historial</x:v>
      </x:c>
      <x:c r="D10" s="476" t="str">
        <x:v>EnrollmentsView</x:v>
      </x:c>
      <x:c r="E10" s="476" t="str">
        <x:v>matriculas.controller / transacción</x:v>
      </x:c>
      <x:c r="F10" s="476" t="str">
        <x:v>Matricula; Enrollment; AnioLectivo; Seccion</x:v>
      </x:c>
      <x:c r="G10" s="476" t="str">
        <x:v>Unique/estado/transacción</x:v>
      </x:c>
      <x:c r="H10" s="476" t="str">
        <x:v>Revisar 409, relaciones y enrollments generados</x:v>
      </x:c>
      <x:c r="I10" s="476" t="str">
        <x:v>Corregir regla/transacción conservando histórico</x:v>
      </x:c>
      <x:c r="J10" s="476" t="str">
        <x:v>Alta + duplicidad + retiro + traslado + stats</x:v>
      </x:c>
      <x:c r="K10" s="476" t="str">
        <x:v>Restaurar estado anterior; nunca borrar histórico</x:v>
      </x:c>
      <x:c r="L10" s="476" t="str">
        <x:v>Fiabilidad/integridad</x:v>
      </x:c>
      <x:c r="M10" s="477" t="str">
        <x:v>P01/RF-009</x:v>
      </x:c>
    </x:row>
    <x:row r="11" ht="66" customHeight="1">
      <x:c r="A11" s="475" t="str">
        <x:v>MC-07</x:v>
      </x:c>
      <x:c r="B11" s="476" t="str">
        <x:v>Notas</x:v>
      </x:c>
      <x:c r="C11" s="476" t="str">
        <x:v>Nota 0 desaparece, promedio/filtro incorrecto</x:v>
      </x:c>
      <x:c r="D11" s="476" t="str">
        <x:v>ProfessorGradesView; StudentGradesView</x:v>
      </x:c>
      <x:c r="E11" s="476" t="str">
        <x:v>grades/profesor/estudiante controllers</x:v>
      </x:c>
      <x:c r="F11" s="476" t="str">
        <x:v>Grade; AcademicHistory</x:v>
      </x:c>
      <x:c r="G11" s="476" t="str">
        <x:v>Rango 0–20; periodo; scope</x:v>
      </x:c>
      <x:c r="H11" s="476" t="str">
        <x:v>Comparar payload, BD y agregado dashboard</x:v>
      </x:c>
      <x:c r="I11" s="476" t="str">
        <x:v>Corregir validación/query/cálculo</x:v>
      </x:c>
      <x:c r="J11" s="476" t="str">
        <x:v>0,20,límites; scope; promedio; dashboard</x:v>
      </x:c>
      <x:c r="K11" s="476" t="str">
        <x:v>Restaurar valor previo con auditoría</x:v>
      </x:c>
      <x:c r="L11" s="476" t="str">
        <x:v>Funcionalidad/fiabilidad</x:v>
      </x:c>
      <x:c r="M11" s="477" t="str">
        <x:v>P05</x:v>
      </x:c>
    </x:row>
    <x:row r="12" ht="66" customHeight="1">
      <x:c r="A12" s="475" t="str">
        <x:v>MC-08</x:v>
      </x:c>
      <x:c r="B12" s="476" t="str">
        <x:v>Asistencia</x:v>
      </x:c>
      <x:c r="C12" s="476" t="str">
        <x:v>Carga masiva parcial o resumen no coincide</x:v>
      </x:c>
      <x:c r="D12" s="476" t="str">
        <x:v>ProfessorAttendanceView</x:v>
      </x:c>
      <x:c r="E12" s="476" t="str">
        <x:v>attendance.controller</x:v>
      </x:c>
      <x:c r="F12" s="476" t="str">
        <x:v>Attendance; ResumenAsistencia</x:v>
      </x:c>
      <x:c r="G12" s="476" t="str">
        <x:v>Estado/fecha/grupo</x:v>
      </x:c>
      <x:c r="H12" s="476" t="str">
        <x:v>Comparar batch vs filas y resumen</x:v>
      </x:c>
      <x:c r="I12" s="476" t="str">
        <x:v>Corregir transacción/agregado/validación</x:v>
      </x:c>
      <x:c r="J12" s="476" t="str">
        <x:v>Masiva; actualización; filtros; resumen</x:v>
      </x:c>
      <x:c r="K12" s="476" t="str">
        <x:v>Revertir lote con evidencia</x:v>
      </x:c>
      <x:c r="L12" s="476" t="str">
        <x:v>Fiabilidad/integridad</x:v>
      </x:c>
      <x:c r="M12" s="477" t="str">
        <x:v>P06</x:v>
      </x:c>
    </x:row>
    <x:row r="13" ht="66" customHeight="1">
      <x:c r="A13" s="475" t="str">
        <x:v>MC-09</x:v>
      </x:c>
      <x:c r="B13" s="476" t="str">
        <x:v>LMS</x:v>
      </x:c>
      <x:c r="C13" s="476" t="str">
        <x:v>Eventos/progreso faltan o indicador no coincide</x:v>
      </x:c>
      <x:c r="D13" s="476" t="str">
        <x:v>LearningView; ObservedProgressView</x:v>
      </x:c>
      <x:c r="E13" s="476" t="str">
        <x:v>lms.controller; lms.service</x:v>
      </x:c>
      <x:c r="F13" s="476" t="str">
        <x:v>LmsEvent; ActivityProgress; LmsIndicadorEstudiante</x:v>
      </x:c>
      <x:c r="G13" s="476" t="str">
        <x:v>Curso/estudiante/tiempo</x:v>
      </x:c>
      <x:c r="H13" s="476" t="str">
        <x:v>Trazar evento origen → agregado → API</x:v>
      </x:c>
      <x:c r="I13" s="476" t="str">
        <x:v>Corregir registro/agregación; no inventar eventos</x:v>
      </x:c>
      <x:c r="J13" s="476" t="str">
        <x:v>Publicación, acceso, progreso, indicador, scope</x:v>
      </x:c>
      <x:c r="K13" s="476" t="str">
        <x:v>Reprocesar agregado desde eventos válidos</x:v>
      </x:c>
      <x:c r="L13" s="476" t="str">
        <x:v>Integridad/temporalidad</x:v>
      </x:c>
      <x:c r="M13" s="477" t="str">
        <x:v>P07/P08</x:v>
      </x:c>
    </x:row>
    <x:row r="14" ht="66" customHeight="1">
      <x:c r="A14" s="475" t="str">
        <x:v>MC-10</x:v>
      </x:c>
      <x:c r="B14" s="476" t="str">
        <x:v>Predicción</x:v>
      </x:c>
      <x:c r="C14" s="476" t="str">
        <x:v>No hay inferencia, mismatch features o resultado no persiste</x:v>
      </x:c>
      <x:c r="D14" s="476" t="str">
        <x:v>PredictionView + variantes</x:v>
      </x:c>
      <x:c r="E14" s="476" t="str">
        <x:v>predict.controller → ml-client → FastAPI → predictions.controller</x:v>
      </x:c>
      <x:c r="F14" s="476" t="str">
        <x:v>Prediction; MlFeatureDef; MlModelo; snapshots/factores</x:v>
      </x:c>
      <x:c r="G14" s="476" t="str">
        <x:v>ML_SERVICE_URL; versión; features</x:v>
      </x:c>
      <x:c r="H14" s="476" t="str">
        <x:v>Confirmar modelo/health/contrato; revisar 9 features; revisar persistencia</x:v>
      </x:c>
      <x:c r="I14" s="476" t="str">
        <x:v>Mostrar 'Sin predicción' si no hay modelo; corregir contrato sin fabricar score</x:v>
      </x:c>
      <x:c r="J14" s="476" t="str">
        <x:v>Contrato ML; error controlado; persistencia; scope</x:v>
      </x:c>
      <x:c r="K14" s="476" t="str">
        <x:v>Deshabilitar inferencia; rollback artefacto compatible</x:v>
      </x:c>
      <x:c r="L14" s="476" t="str">
        <x:v>Compatibilidad/fiabilidad/ciencia</x:v>
      </x:c>
      <x:c r="M14" s="477" t="str">
        <x:v>P12/8.5</x:v>
      </x:c>
    </x:row>
    <x:row r="15" ht="66" customHeight="1">
      <x:c r="A15" s="475" t="str">
        <x:v>MC-11</x:v>
      </x:c>
      <x:c r="B15" s="476" t="str">
        <x:v>Alertas</x:v>
      </x:c>
      <x:c r="C15" s="476" t="str">
        <x:v>Alerta duplicada/ficticia o estado sin historial</x:v>
      </x:c>
      <x:c r="D15" s="476" t="str">
        <x:v>AlertsView</x:v>
      </x:c>
      <x:c r="E15" s="476" t="str">
        <x:v>alerts.controller / recommendations</x:v>
      </x:c>
      <x:c r="F15" s="476" t="str">
        <x:v>Alert; AlertaHistorial; AlertFactor</x:v>
      </x:c>
      <x:c r="G15" s="476" t="str">
        <x:v>Predicción/regla + scope</x:v>
      </x:c>
      <x:c r="H15" s="476" t="str">
        <x:v>Trazar origen de alerta y transición</x:v>
      </x:c>
      <x:c r="I15" s="476" t="str">
        <x:v>Corregir regla/idempotencia/transición</x:v>
      </x:c>
      <x:c r="J15" s="476" t="str">
        <x:v>Crear/listar/cambiar estado/historial/scope</x:v>
      </x:c>
      <x:c r="K15" s="476" t="str">
        <x:v>Revertir estado mediante nueva transición trazable</x:v>
      </x:c>
      <x:c r="L15" s="476" t="str">
        <x:v>Fiabilidad/trazabilidad</x:v>
      </x:c>
      <x:c r="M15" s="477" t="str">
        <x:v>P13</x:v>
      </x:c>
    </x:row>
    <x:row r="16" ht="66" customHeight="1">
      <x:c r="A16" s="475" t="str">
        <x:v>MC-12</x:v>
      </x:c>
      <x:c r="B16" s="476" t="str">
        <x:v>Dashboard</x:v>
      </x:c>
      <x:c r="C16" s="476" t="str">
        <x:v>KPI no coincide con BD o muestra riesgo 0 sin predicción</x:v>
      </x:c>
      <x:c r="D16" s="476" t="str">
        <x:v>RoleDashboard/StudentDashboard</x:v>
      </x:c>
      <x:c r="E16" s="476" t="str">
        <x:v>dashboard aggregates/controllers</x:v>
      </x:c>
      <x:c r="F16" s="476" t="str">
        <x:v>DashboardSnapshot + tablas fuente</x:v>
      </x:c>
      <x:c r="G16" s="476" t="str">
        <x:v>Filtros, scope, fórmulas</x:v>
      </x:c>
      <x:c r="H16" s="476" t="str">
        <x:v>Comparar KPI vs query fuente; validar nulls</x:v>
      </x:c>
      <x:c r="I16" s="476" t="str">
        <x:v>Corregir query/fórmula; ocultar KPI sin fuente válida</x:v>
      </x:c>
      <x:c r="J16" s="476" t="str">
        <x:v>3 roles + filtros + vacíos + rendimiento</x:v>
      </x:c>
      <x:c r="K16" s="476" t="str">
        <x:v>Rollback fórmula/query; no inventar valor</x:v>
      </x:c>
      <x:c r="L16" s="476" t="str">
        <x:v>Usabilidad/integridad/eficiencia</x:v>
      </x:c>
      <x:c r="M16" s="477" t="str">
        <x:v>P14 + matriz indicadores</x:v>
      </x:c>
    </x:row>
    <x:row r="17" ht="66" customHeight="1">
      <x:c r="A17" s="475" t="str">
        <x:v>MC-13</x:v>
      </x:c>
      <x:c r="B17" s="476" t="str">
        <x:v>Reportes</x:v>
      </x:c>
      <x:c r="C17" s="476" t="str">
        <x:v>Export/preview no coincide o expone dato ajeno</x:v>
      </x:c>
      <x:c r="D17" s="476" t="str">
        <x:v>ReportsView</x:v>
      </x:c>
      <x:c r="E17" s="476" t="str">
        <x:v>reports.controller/exporter</x:v>
      </x:c>
      <x:c r="F17" s="476" t="str">
        <x:v>Report; DashboardSnapshot</x:v>
      </x:c>
      <x:c r="G17" s="476" t="str">
        <x:v>Filtros/scope/formato</x:v>
      </x:c>
      <x:c r="H17" s="476" t="str">
        <x:v>Comparar vista/BD/export</x:v>
      </x:c>
      <x:c r="I17" s="476" t="str">
        <x:v>Corregir filtro/serialización/autorización</x:v>
      </x:c>
      <x:c r="J17" s="476" t="str">
        <x:v>Generar/listar/exportar/403</x:v>
      </x:c>
      <x:c r="K17" s="476" t="str">
        <x:v>Regenerar desde fuente válida; retirar archivo incorrecto</x:v>
      </x:c>
      <x:c r="L17" s="476" t="str">
        <x:v>Seguridad/funcionalidad</x:v>
      </x:c>
      <x:c r="M17" s="477" t="str">
        <x:v>P15</x:v>
      </x:c>
    </x:row>
    <x:row r="18" ht="66" customHeight="1">
      <x:c r="A18" s="475" t="str">
        <x:v>MC-14</x:v>
      </x:c>
      <x:c r="B18" s="476" t="str">
        <x:v>Mensajería</x:v>
      </x:c>
      <x:c r="C18" s="476" t="str">
        <x:v>Sala/destinatario incorrecto o lectura no persiste</x:v>
      </x:c>
      <x:c r="D18" s="476" t="str">
        <x:v>MensajeriaAcademicaView</x:v>
      </x:c>
      <x:c r="E18" s="476" t="str">
        <x:v>messages.controller/notification routes</x:v>
      </x:c>
      <x:c r="F18" s="476" t="str">
        <x:v>MensajeSala; ChatMessage; MessageRead; Notification</x:v>
      </x:c>
      <x:c r="G18" s="476" t="str">
        <x:v>Scope/destinatario</x:v>
      </x:c>
      <x:c r="H18" s="476" t="str">
        <x:v>Trazar sala→mensaje→lectura</x:v>
      </x:c>
      <x:c r="I18" s="476" t="str">
        <x:v>Corregir autorización y persistencia</x:v>
      </x:c>
      <x:c r="J18" s="476" t="str">
        <x:v>Enviar/leer/salas/403</x:v>
      </x:c>
      <x:c r="K18" s="476" t="str">
        <x:v>Corregir comunicación según política; preservar logs</x:v>
      </x:c>
      <x:c r="L18" s="476" t="str">
        <x:v>Seguridad/trazabilidad</x:v>
      </x:c>
      <x:c r="M18" s="477" t="str">
        <x:v>P16</x:v>
      </x:c>
    </x:row>
    <x:row r="19" ht="66" customHeight="1">
      <x:c r="A19" s="475" t="str">
        <x:v>MC-15</x:v>
      </x:c>
      <x:c r="B19" s="476" t="str">
        <x:v>Administración / export cuentas</x:v>
      </x:c>
      <x:c r="C19" s="476" t="str">
        <x:v>Respuesta administrativa expone campo sensible</x:v>
      </x:c>
      <x:c r="D19" s="476" t="str">
        <x:v>AuditView/Settings/admin UI</x:v>
      </x:c>
      <x:c r="E19" s="476" t="str">
        <x:v>admin/accounts-export/settings controllers</x:v>
      </x:c>
      <x:c r="F19" s="476" t="str">
        <x:v>User; AuditLog; SystemConfig</x:v>
      </x:c>
      <x:c r="G19" s="476" t="str">
        <x:v>RBAC + serialización</x:v>
      </x:c>
      <x:c r="H19" s="476" t="str">
        <x:v>Inspeccionar JSON productivo y código local</x:v>
      </x:c>
      <x:c r="I19" s="476" t="str">
        <x:v>Publicar solo metadata segura; redeploy; rotar secreto expuesto</x:v>
      </x:c>
      <x:c r="J19" s="476" t="str">
        <x:v>Admin 200; no-admin 403; schema response sin password</x:v>
      </x:c>
      <x:c r="K19" s="476" t="str">
        <x:v>Rollback deployment si rompe; rotar/revocar</x:v>
      </x:c>
      <x:c r="L19" s="476" t="str">
        <x:v>Seguridad crítica</x:v>
      </x:c>
      <x:c r="M19" s="477" t="str">
        <x:v>Hallazgo V5 SR-01</x:v>
      </x:c>
    </x:row>
    <x:row r="20" ht="66" customHeight="1">
      <x:c r="A20" s="475" t="str">
        <x:v>MC-16</x:v>
      </x:c>
      <x:c r="B20" s="476" t="str">
        <x:v>Schema / migraciones</x:v>
      </x:c>
      <x:c r="C20" s="476" t="str">
        <x:v>P3009, drift schema o migración peligrosa</x:v>
      </x:c>
      <x:c r="D20" s="476" t="str">
        <x:v>N/A</x:v>
      </x:c>
      <x:c r="E20" s="476" t="str">
        <x:v>Prisma migrations/scripts</x:v>
      </x:c>
      <x:c r="F20" s="476" t="str">
        <x:v>52 modelos MySQL</x:v>
      </x:c>
      <x:c r="G20" s="476" t="str">
        <x:v>DATABASE_URL; migrate deploy</x:v>
      </x:c>
      <x:c r="H20" s="476" t="str">
        <x:v>prisma validate/generate; revisar migration SQL; backup</x:v>
      </x:c>
      <x:c r="I20" s="476" t="str">
        <x:v>No db push/reset/drop en producción; resolver migración de forma controlada</x:v>
      </x:c>
      <x:c r="J20" s="476" t="str">
        <x:v>Validate; dry-run; query; restore test</x:v>
      </x:c>
      <x:c r="K20" s="476" t="str">
        <x:v>Restore backup / rollback compatible</x:v>
      </x:c>
      <x:c r="L20" s="476" t="str">
        <x:v>Fiabilidad/mantenibilidad/portabilidad</x:v>
      </x:c>
      <x:c r="M20" s="477" t="str">
        <x:v>4.2 / 9.2</x:v>
      </x:c>
    </x:row>
    <x:row r="21" ht="66" customHeight="1">
      <x:c r="A21" s="475" t="str">
        <x:v>MC-17</x:v>
      </x:c>
      <x:c r="B21" s="476" t="str">
        <x:v>Deploy frontend/backend</x:v>
      </x:c>
      <x:c r="C21" s="476" t="str">
        <x:v>Health falla, CORS/env/URL incorrecta</x:v>
      </x:c>
      <x:c r="D21" s="476" t="str">
        <x:v>Vercel UI</x:v>
      </x:c>
      <x:c r="E21" s="476" t="str">
        <x:v>Railway/Vercel configs; backend index</x:v>
      </x:c>
      <x:c r="F21" s="476" t="str">
        <x:v>N/A</x:v>
      </x:c>
      <x:c r="G21" s="476" t="str">
        <x:v>NEXT_PUBLIC_API_URL; CORS_ORIGIN; JWT; DB URL</x:v>
      </x:c>
      <x:c r="H21" s="476" t="str">
        <x:v>Health/logs + smoke + commit</x:v>
      </x:c>
      <x:c r="I21" s="476" t="str">
        <x:v>Corregir env/build; redeploy reproducible</x:v>
      </x:c>
      <x:c r="J21" s="476" t="str">
        <x:v>Build + health + smoke 3 roles</x:v>
      </x:c>
      <x:c r="K21" s="476" t="str">
        <x:v>Rollback deployment/config</x:v>
      </x:c>
      <x:c r="L21" s="476" t="str">
        <x:v>Portabilidad/fiabilidad</x:v>
      </x:c>
      <x:c r="M21" s="477" t="str">
        <x:v>P19</x:v>
      </x:c>
    </x:row>
    <x:row r="22" ht="66" customHeight="1">
      <x:c r="A22" s="475" t="str">
        <x:v>MC-18</x:v>
      </x:c>
      <x:c r="B22" s="476" t="str">
        <x:v>ML reentrenamiento</x:v>
      </x:c>
      <x:c r="C22" s="476" t="str">
        <x:v>Drift o nueva cohorte requiere modelo nuevo</x:v>
      </x:c>
      <x:c r="D22" s="476" t="str">
        <x:v>Reportes ML</x:v>
      </x:c>
      <x:c r="E22" s="476" t="str">
        <x:v>train/evaluate + FastAPI</x:v>
      </x:c>
      <x:c r="F22" s="476" t="str">
        <x:v>MlDataset; MlEntrenamiento; MlModelo; MlMetrica</x:v>
      </x:c>
      <x:c r="G22" s="476" t="str">
        <x:v>Dataset autorizado; seeds; params</x:v>
      </x:c>
      <x:c r="H22" s="476" t="str">
        <x:v>Comparar versión, hash, métricas, ventanas y leakage</x:v>
      </x:c>
      <x:c r="I22" s="476" t="str">
        <x:v>Entrenar/evaluar nueva versión; no reemplazar modelo hasta validar</x:v>
      </x:c>
      <x:c r="J22" s="476" t="str">
        <x:v>Unitarias + evaluación científica + smoke integración</x:v>
      </x:c>
      <x:c r="K22" s="476" t="str">
        <x:v>Volver a artefacto anterior validado</x:v>
      </x:c>
      <x:c r="L22" s="476" t="str">
        <x:v>Mantenibilidad/reproducibilidad</x:v>
      </x:c>
      <x:c r="M22" s="477" t="str">
        <x:v>8.3–8.5 / 9.4</x:v>
      </x:c>
    </x:row>
    <x:row r="23" ht="66" customHeight="1">
      <x:c r="A23" s="478" t="str">
        <x:v>MC-19</x:v>
      </x:c>
      <x:c r="B23" s="479" t="str">
        <x:v>Sonar / deuda técnica</x:v>
      </x:c>
      <x:c r="C23" s="479" t="str">
        <x:v>Bug, vulnerability, smell o duplicación relevante</x:v>
      </x:c>
      <x:c r="D23" s="479" t="str">
        <x:v>Módulo afectado</x:v>
      </x:c>
      <x:c r="E23" s="479" t="str">
        <x:v>Código señalado + sonar-project.properties</x:v>
      </x:c>
      <x:c r="F23" s="479" t="str">
        <x:v>N/A</x:v>
      </x:c>
      <x:c r="G23" s="479" t="str">
        <x:v>Quality Gate/config</x:v>
      </x:c>
      <x:c r="H23" s="479" t="str">
        <x:v>Confirmar hallazgo en código y riesgo real</x:v>
      </x:c>
      <x:c r="I23" s="479" t="str">
        <x:v>Corregir causa; documentar excepción solo si está justificada</x:v>
      </x:c>
      <x:c r="J23" s="479" t="str">
        <x:v>Lint/typecheck/tests/regresión/Sonar</x:v>
      </x:c>
      <x:c r="K23" s="479" t="str">
        <x:v>Revertir fix si introduce regresión</x:v>
      </x:c>
      <x:c r="L23" s="479" t="str">
        <x:v>Mantenibilidad/seguridad</x:v>
      </x:c>
      <x:c r="M23" s="480" t="str">
        <x:v>P20 / 9.4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48" hidden="0" customWidth="1"/>
    <x:col min="4" max="4" width="52" hidden="0" customWidth="1"/>
    <x:col min="5" max="5" width="44" hidden="0" customWidth="1"/>
    <x:col min="6" max="6" width="20" hidden="0" customWidth="1"/>
    <x:col min="7" max="7" width="46" hidden="0" customWidth="1"/>
  </x:cols>
  <x:sheetData>
    <x:row r="1" ht="34" customHeight="1">
      <x:c r="A1" s="444" t="str">
        <x:v>Matriz de cobertura del Anexo 07</x:v>
      </x:c>
      <x:c r="B1" s="444"/>
      <x:c r="C1" s="444"/>
      <x:c r="D1" s="444"/>
      <x:c r="E1" s="444"/>
      <x:c r="F1" s="444"/>
      <x:c r="G1" s="444"/>
    </x:row>
    <x:row r="2" ht="42" customHeight="1">
      <x:c r="A2" s="448" t="str">
        <x:v>Control de completitud: cada punto metodológico se vincula con una matriz/artefacto concreto del Excel. Esto evita que la matriz principal intente contener literalmente todo y permite demostrar el proyecto desde varias vistas coherentes.</x:v>
      </x:c>
      <x:c r="B2" s="448"/>
      <x:c r="C2" s="448"/>
      <x:c r="D2" s="448"/>
      <x:c r="E2" s="448"/>
      <x:c r="F2" s="448"/>
      <x:c r="G2" s="448"/>
    </x:row>
    <x:row r="4" ht="48" customHeight="1">
      <x:c r="A4" s="453" t="str">
        <x:v>Sección</x:v>
      </x:c>
      <x:c r="B4" s="453" t="str">
        <x:v>Requisito</x:v>
      </x:c>
      <x:c r="C4" s="453" t="str">
        <x:v>Qué exige</x:v>
      </x:c>
      <x:c r="D4" s="453" t="str">
        <x:v>Dónde se demuestra en este Excel</x:v>
      </x:c>
      <x:c r="E4" s="453" t="str">
        <x:v>Artefacto / evidencia</x:v>
      </x:c>
      <x:c r="F4" s="453" t="str">
        <x:v>Bloque</x:v>
      </x:c>
      <x:c r="G4" s="453" t="str">
        <x:v>Fuente</x:v>
      </x:c>
    </x:row>
    <x:row r="5" ht="66" customHeight="1">
      <x:c r="A5" s="472" t="str">
        <x:v>1.1</x:v>
      </x:c>
      <x:c r="B5" s="473" t="str">
        <x:v>Definición del problema</x:v>
      </x:c>
      <x:c r="C5" s="473" t="str">
        <x:v>Contexto de tesis y problema tecnológico</x:v>
      </x:c>
      <x:c r="D5" s="473" t="str">
        <x:v>MATRIZ_CONTEXTUAL_RACI; CORTE_TECNICO_V5</x:v>
      </x:c>
      <x:c r="E5" s="473" t="str">
        <x:v>Problema + actores + evidencia actual</x:v>
      </x:c>
      <x:c r="F5" s="473" t="str">
        <x:v>Comprensión negocio</x:v>
      </x:c>
      <x:c r="G5" s="474" t="str">
        <x:v>Anexo 07 revisado + APUNTES + repositorio</x:v>
      </x:c>
    </x:row>
    <x:row r="6" ht="66" customHeight="1">
      <x:c r="A6" s="475" t="str">
        <x:v>1.1.1</x:v>
      </x:c>
      <x:c r="B6" s="476" t="str">
        <x:v>Identificación de procesos</x:v>
      </x:c>
      <x:c r="C6" s="476" t="str">
        <x:v>Macroprocesos + inventario 20 procesos</x:v>
      </x:c>
      <x:c r="D6" s="476" t="str">
        <x:v>PROCESOS_X_ARTEFACTOS; MATRIZ_DOBLE_ENTRADA</x:v>
      </x:c>
      <x:c r="E6" s="476" t="str">
        <x:v>P01–P20</x:v>
      </x:c>
      <x:c r="F6" s="476" t="str">
        <x:v>Bizagi/procesos</x:v>
      </x:c>
      <x:c r="G6" s="477" t="str">
        <x:v>Anexo 07 revisado + APUNTES + repositorio</x:v>
      </x:c>
    </x:row>
    <x:row r="7" ht="66" customHeight="1">
      <x:c r="A7" s="475" t="str">
        <x:v>1.1.2</x:v>
      </x:c>
      <x:c r="B7" s="476" t="str">
        <x:v>Diagramas de procesos</x:v>
      </x:c>
      <x:c r="C7" s="476" t="str">
        <x:v>20 BPMN con carriles, controles, reglas y evidencia</x:v>
      </x:c>
      <x:c r="D7" s="476" t="str">
        <x:v>PROCESOS_X_ARTEFACTOS; MATRIZ_CONTEXTUAL_RACI</x:v>
      </x:c>
      <x:c r="E7" s="476" t="str">
        <x:v>Bizagi P01–P20 + RACI</x:v>
      </x:c>
      <x:c r="F7" s="476" t="str">
        <x:v>Bizagi</x:v>
      </x:c>
      <x:c r="G7" s="477" t="str">
        <x:v>Anexo 07 revisado + APUNTES + repositorio</x:v>
      </x:c>
    </x:row>
    <x:row r="8" ht="66" customHeight="1">
      <x:c r="A8" s="475" t="str">
        <x:v>1.2</x:v>
      </x:c>
      <x:c r="B8" s="476" t="str">
        <x:v>Actores / stakeholders</x:v>
      </x:c>
      <x:c r="C8" s="476" t="str">
        <x:v>Stakeholders + RACI</x:v>
      </x:c>
      <x:c r="D8" s="476" t="str">
        <x:v>MATRIZ_CONTEXTUAL_RACI</x:v>
      </x:c>
      <x:c r="E8" s="476" t="str">
        <x:v>8 actores + RACI 20 procesos</x:v>
      </x:c>
      <x:c r="F8" s="476" t="str">
        <x:v>Contexto</x:v>
      </x:c>
      <x:c r="G8" s="477" t="str">
        <x:v>Anexo 07 revisado + APUNTES + repositorio</x:v>
      </x:c>
    </x:row>
    <x:row r="9" ht="66" customHeight="1">
      <x:c r="A9" s="475" t="str">
        <x:v>1.3</x:v>
      </x:c>
      <x:c r="B9" s="476" t="str">
        <x:v>Modelo predictivo</x:v>
      </x:c>
      <x:c r="C9" s="476" t="str">
        <x:v>Clasificación supervisada; 9 features; RF/XGBoost/Stacking</x:v>
      </x:c>
      <x:c r="D9" s="476" t="str">
        <x:v>INDICADORES_X_DASHBOARD; ARQUITECTURA_X_CALIDAD</x:v>
      </x:c>
      <x:c r="E9" s="476" t="str">
        <x:v>VI/ML + arquitectura ML</x:v>
      </x:c>
      <x:c r="F9" s="476" t="str">
        <x:v>ML</x:v>
      </x:c>
      <x:c r="G9" s="477" t="str">
        <x:v>Anexo 07 revisado + APUNTES + repositorio</x:v>
      </x:c>
    </x:row>
    <x:row r="10" ht="66" customHeight="1">
      <x:c r="A10" s="475" t="str">
        <x:v>2.1</x:v>
      </x:c>
      <x:c r="B10" s="476" t="str">
        <x:v>Plan de trabajo</x:v>
      </x:c>
      <x:c r="C10" s="476" t="str">
        <x:v>Gantt, recursos, responsables, trazabilidad</x:v>
      </x:c>
      <x:c r="D10" s="476" t="str">
        <x:v>FUENTES; CORTE_TECNICO_V5</x:v>
      </x:c>
      <x:c r="E10" s="476" t="str">
        <x:v>Recursos/herramientas/evidencia</x:v>
      </x:c>
      <x:c r="F10" s="476" t="str">
        <x:v>Planificación</x:v>
      </x:c>
      <x:c r="G10" s="477" t="str">
        <x:v>Anexo 07 revisado + APUNTES + repositorio</x:v>
      </x:c>
    </x:row>
    <x:row r="11" ht="66" customHeight="1">
      <x:c r="A11" s="475" t="str">
        <x:v>2.2</x:v>
      </x:c>
      <x:c r="B11" s="476" t="str">
        <x:v>Ciclo de vida</x:v>
      </x:c>
      <x:c r="C11" s="476" t="str">
        <x:v>Scrum adaptado + CRISP-DM/DevOps</x:v>
      </x:c>
      <x:c r="D11" s="476" t="str">
        <x:v>COBERTURA_ANEXO07; DESPLIEGUE_MONITOREO</x:v>
      </x:c>
      <x:c r="E11" s="476" t="str">
        <x:v>Relación software/ML/DevOps</x:v>
      </x:c>
      <x:c r="F11" s="476" t="str">
        <x:v>Planificación</x:v>
      </x:c>
      <x:c r="G11" s="477" t="str">
        <x:v>Anexo 07 revisado + APUNTES + repositorio</x:v>
      </x:c>
    </x:row>
    <x:row r="12" ht="66" customHeight="1">
      <x:c r="A12" s="475" t="str">
        <x:v>2.3</x:v>
      </x:c>
      <x:c r="B12" s="476" t="str">
        <x:v>Roles del equipo</x:v>
      </x:c>
      <x:c r="C12" s="476" t="str">
        <x:v>Roles técnicos y responsabilidades</x:v>
      </x:c>
      <x:c r="D12" s="476" t="str">
        <x:v>MATRIZ_CONTEXTUAL_RACI</x:v>
      </x:c>
      <x:c r="E12" s="476" t="str">
        <x:v>RACI y actores</x:v>
      </x:c>
      <x:c r="F12" s="476" t="str">
        <x:v>Planificación</x:v>
      </x:c>
      <x:c r="G12" s="477" t="str">
        <x:v>Anexo 07 revisado + APUNTES + repositorio</x:v>
      </x:c>
    </x:row>
    <x:row r="13" ht="66" customHeight="1">
      <x:c r="A13" s="475" t="str">
        <x:v>2.4</x:v>
      </x:c>
      <x:c r="B13" s="476" t="str">
        <x:v>Herramientas</x:v>
      </x:c>
      <x:c r="C13" s="476" t="str">
        <x:v>Gestión, programación, BD, modelado, ML, QA, despliegue</x:v>
      </x:c>
      <x:c r="D13" s="476" t="str">
        <x:v>ARQUITECTURA_X_CALIDAD; DESPLIEGUE_MONITOREO</x:v>
      </x:c>
      <x:c r="E13" s="476" t="str">
        <x:v>Stack real y versiones</x:v>
      </x:c>
      <x:c r="F13" s="476" t="str">
        <x:v>Planificación</x:v>
      </x:c>
      <x:c r="G13" s="477" t="str">
        <x:v>Anexo 07 revisado + APUNTES + repositorio</x:v>
      </x:c>
    </x:row>
    <x:row r="14" ht="66" customHeight="1">
      <x:c r="A14" s="475" t="str">
        <x:v>2.5</x:v>
      </x:c>
      <x:c r="B14" s="476" t="str">
        <x:v>Planificación de pruebas</x:v>
      </x:c>
      <x:c r="C14" s="476" t="str">
        <x:v>Riesgos/requisitos + ISO 29119</x:v>
      </x:c>
      <x:c r="D14" s="476" t="str">
        <x:v>PRUEBAS_X_COBERTURA</x:v>
      </x:c>
      <x:c r="E14" s="476" t="str">
        <x:v>10 estrategias de prueba</x:v>
      </x:c>
      <x:c r="F14" s="476" t="str">
        <x:v>Pruebas</x:v>
      </x:c>
      <x:c r="G14" s="477" t="str">
        <x:v>Anexo 07 revisado + APUNTES + repositorio</x:v>
      </x:c>
    </x:row>
    <x:row r="15" ht="66" customHeight="1">
      <x:c r="A15" s="475" t="str">
        <x:v>3.1</x:v>
      </x:c>
      <x:c r="B15" s="476" t="str">
        <x:v>RF/RNF</x:v>
      </x:c>
      <x:c r="C15" s="476" t="str">
        <x:v>Catálogo trazable a módulos/API</x:v>
      </x:c>
      <x:c r="D15" s="476" t="str">
        <x:v>MATRIZ_DOBLE_ENTRADA</x:v>
      </x:c>
      <x:c r="E15" s="476" t="str">
        <x:v>46 RF + 20 RNF</x:v>
      </x:c>
      <x:c r="F15" s="476" t="str">
        <x:v>Requisitos</x:v>
      </x:c>
      <x:c r="G15" s="477" t="str">
        <x:v>Anexo 07 revisado + APUNTES + repositorio</x:v>
      </x:c>
    </x:row>
    <x:row r="16" ht="66" customHeight="1">
      <x:c r="A16" s="475" t="str">
        <x:v>3.2</x:v>
      </x:c>
      <x:c r="B16" s="476" t="str">
        <x:v>Criterios de aceptación</x:v>
      </x:c>
      <x:c r="C16" s="476" t="str">
        <x:v>BDD/criterios verificables</x:v>
      </x:c>
      <x:c r="D16" s="476" t="str">
        <x:v>MATRIZ_DOBLE_ENTRADA; PRUEBAS_X_COBERTURA</x:v>
      </x:c>
      <x:c r="E16" s="476" t="str">
        <x:v>Criterio y evidencia por fila</x:v>
      </x:c>
      <x:c r="F16" s="476" t="str">
        <x:v>Requisitos</x:v>
      </x:c>
      <x:c r="G16" s="477" t="str">
        <x:v>Anexo 07 revisado + APUNTES + repositorio</x:v>
      </x:c>
    </x:row>
    <x:row r="17" ht="66" customHeight="1">
      <x:c r="A17" s="475" t="str">
        <x:v>3.3</x:v>
      </x:c>
      <x:c r="B17" s="476" t="str">
        <x:v>Priorización</x:v>
      </x:c>
      <x:c r="C17" s="476" t="str">
        <x:v>MoSCoW y dependencias</x:v>
      </x:c>
      <x:c r="D17" s="476" t="str">
        <x:v>Anexo 07 (referencia); no se mezcla con la matriz descriptiva</x:v>
      </x:c>
      <x:c r="E17" s="476" t="str">
        <x:v>Separación gestión vs trazabilidad</x:v>
      </x:c>
      <x:c r="F17" s="476" t="str">
        <x:v>Requisitos</x:v>
      </x:c>
      <x:c r="G17" s="477" t="str">
        <x:v>Anexo 07 revisado + APUNTES + repositorio</x:v>
      </x:c>
    </x:row>
    <x:row r="18" ht="66" customHeight="1">
      <x:c r="A18" s="475" t="str">
        <x:v>3.4</x:v>
      </x:c>
      <x:c r="B18" s="476" t="str">
        <x:v>Product Backlog</x:v>
      </x:c>
      <x:c r="C18" s="476" t="str">
        <x:v>HU, puntos, prioridad, DoD</x:v>
      </x:c>
      <x:c r="D18" s="476" t="str">
        <x:v>Anexo 07; FUENTES</x:v>
      </x:c>
      <x:c r="E18" s="476" t="str">
        <x:v>No duplicar backlog dentro de matriz maestra</x:v>
      </x:c>
      <x:c r="F18" s="476" t="str">
        <x:v>Gestión ágil</x:v>
      </x:c>
      <x:c r="G18" s="477" t="str">
        <x:v>Anexo 07 revisado + APUNTES + repositorio</x:v>
      </x:c>
    </x:row>
    <x:row r="19" ht="66" customHeight="1">
      <x:c r="A19" s="475" t="str">
        <x:v>4.1</x:v>
      </x:c>
      <x:c r="B19" s="476" t="str">
        <x:v>Arquitectura del software</x:v>
      </x:c>
      <x:c r="C19" s="476" t="str">
        <x:v>General, frontend, backend, ML, despliegue</x:v>
      </x:c>
      <x:c r="D19" s="476" t="str">
        <x:v>ARQUITECTURA_X_CALIDAD</x:v>
      </x:c>
      <x:c r="E19" s="476" t="str">
        <x:v>8 capas/componentes</x:v>
      </x:c>
      <x:c r="F19" s="476" t="str">
        <x:v>Diseño</x:v>
      </x:c>
      <x:c r="G19" s="477" t="str">
        <x:v>Anexo 07 revisado + APUNTES + repositorio</x:v>
      </x:c>
    </x:row>
    <x:row r="20" ht="66" customHeight="1">
      <x:c r="A20" s="475" t="str">
        <x:v>4.2</x:v>
      </x:c>
      <x:c r="B20" s="476" t="str">
        <x:v>Diseño BD</x:v>
      </x:c>
      <x:c r="C20" s="476" t="str">
        <x:v>Conceptual, lógico, físico, normalización, 52 modelos</x:v>
      </x:c>
      <x:c r="D20" s="476" t="str">
        <x:v>BD_52_MODELOS</x:v>
      </x:c>
      <x:c r="E20" s="476" t="str">
        <x:v>52 modelos + gobierno de datos</x:v>
      </x:c>
      <x:c r="F20" s="476" t="str">
        <x:v>Diseño</x:v>
      </x:c>
      <x:c r="G20" s="477" t="str">
        <x:v>Anexo 07 revisado + APUNTES + repositorio</x:v>
      </x:c>
    </x:row>
    <x:row r="21" ht="66" customHeight="1">
      <x:c r="A21" s="475" t="str">
        <x:v>4.3.1</x:v>
      </x:c>
      <x:c r="B21" s="476" t="str">
        <x:v>Casos de uso</x:v>
      </x:c>
      <x:c r="C21" s="476" t="str">
        <x:v>General + Director + Profesor + Estudiante</x:v>
      </x:c>
      <x:c r="D21" s="476" t="str">
        <x:v>PROCESOS_X_ARTEFACTOS; MATRIZ_CONTEXTUAL_RACI</x:v>
      </x:c>
      <x:c r="E21" s="476" t="str">
        <x:v>Roles/procesos/funciones</x:v>
      </x:c>
      <x:c r="F21" s="476" t="str">
        <x:v>UML</x:v>
      </x:c>
      <x:c r="G21" s="477" t="str">
        <x:v>Anexo 07 revisado + APUNTES + repositorio</x:v>
      </x:c>
    </x:row>
    <x:row r="22" ht="66" customHeight="1">
      <x:c r="A22" s="475" t="str">
        <x:v>4.3.2</x:v>
      </x:c>
      <x:c r="B22" s="476" t="str">
        <x:v>Clases</x:v>
      </x:c>
      <x:c r="C22" s="476" t="str">
        <x:v>Seguridad, académico, ML/alertas</x:v>
      </x:c>
      <x:c r="D22" s="476" t="str">
        <x:v>BD_52_MODELOS; ARQUITECTURA_X_CALIDAD</x:v>
      </x:c>
      <x:c r="E22" s="476" t="str">
        <x:v>Dominios/modelos</x:v>
      </x:c>
      <x:c r="F22" s="476" t="str">
        <x:v>UML</x:v>
      </x:c>
      <x:c r="G22" s="477" t="str">
        <x:v>Anexo 07 revisado + APUNTES + repositorio</x:v>
      </x:c>
    </x:row>
    <x:row r="23" ht="66" customHeight="1">
      <x:c r="A23" s="475" t="str">
        <x:v>4.3.3</x:v>
      </x:c>
      <x:c r="B23" s="476" t="str">
        <x:v>Secuencias</x:v>
      </x:c>
      <x:c r="C23" s="476" t="str">
        <x:v>Login, nota, predicción, alerta, reporte</x:v>
      </x:c>
      <x:c r="D23" s="476" t="str">
        <x:v>PROCESOS_X_ARTEFACTOS; MANTENIMIENTO_CAMBIOS</x:v>
      </x:c>
      <x:c r="E23" s="476" t="str">
        <x:v>Flujos y cadenas técnicas</x:v>
      </x:c>
      <x:c r="F23" s="476" t="str">
        <x:v>UML</x:v>
      </x:c>
      <x:c r="G23" s="477" t="str">
        <x:v>Anexo 07 revisado + APUNTES + repositorio</x:v>
      </x:c>
    </x:row>
    <x:row r="24" ht="66" customHeight="1">
      <x:c r="A24" s="475" t="str">
        <x:v>4.3.4</x:v>
      </x:c>
      <x:c r="B24" s="476" t="str">
        <x:v>Otros UML</x:v>
      </x:c>
      <x:c r="C24" s="476" t="str">
        <x:v>Estados, componentes, despliegue</x:v>
      </x:c>
      <x:c r="D24" s="476" t="str">
        <x:v>ARQUITECTURA_X_CALIDAD; DESPLIEGUE_MONITOREO</x:v>
      </x:c>
      <x:c r="E24" s="476" t="str">
        <x:v>Componentes/deploy</x:v>
      </x:c>
      <x:c r="F24" s="476" t="str">
        <x:v>UML</x:v>
      </x:c>
      <x:c r="G24" s="477" t="str">
        <x:v>Anexo 07 revisado + APUNTES + repositorio</x:v>
      </x:c>
    </x:row>
    <x:row r="25" ht="66" customHeight="1">
      <x:c r="A25" s="475" t="str">
        <x:v>4.4</x:v>
      </x:c>
      <x:c r="B25" s="476" t="str">
        <x:v>Interfaces</x:v>
      </x:c>
      <x:c r="C25" s="476" t="str">
        <x:v>Wireframes ↔ vistas implementadas</x:v>
      </x:c>
      <x:c r="D25" s="476" t="str">
        <x:v>MATRIZ_DOBLE_ENTRADA; PROCESOS_X_ARTEFACTOS</x:v>
      </x:c>
      <x:c r="E25" s="476" t="str">
        <x:v>UI/archivo por RF/proceso</x:v>
      </x:c>
      <x:c r="F25" s="476" t="str">
        <x:v>Diseño UI</x:v>
      </x:c>
      <x:c r="G25" s="477" t="str">
        <x:v>Anexo 07 revisado + APUNTES + repositorio</x:v>
      </x:c>
    </x:row>
    <x:row r="26" ht="66" customHeight="1">
      <x:c r="A26" s="475" t="str">
        <x:v>5.1</x:v>
      </x:c>
      <x:c r="B26" s="476" t="str">
        <x:v>Implementación funcionalidades</x:v>
      </x:c>
      <x:c r="C26" s="476" t="str">
        <x:v>Desarrollo incremental por Sprint</x:v>
      </x:c>
      <x:c r="D26" s="476" t="str">
        <x:v>MATRIZ_DOBLE_ENTRADA; CORTE_TECNICO_V5</x:v>
      </x:c>
      <x:c r="E26" s="476" t="str">
        <x:v>Código real + verificación</x:v>
      </x:c>
      <x:c r="F26" s="476" t="str">
        <x:v>Desarrollo</x:v>
      </x:c>
      <x:c r="G26" s="477" t="str">
        <x:v>Anexo 07 revisado + APUNTES + repositorio</x:v>
      </x:c>
    </x:row>
    <x:row r="27" ht="66" customHeight="1">
      <x:c r="A27" s="475" t="str">
        <x:v>5.2</x:v>
      </x:c>
      <x:c r="B27" s="476" t="str">
        <x:v>Control de versiones</x:v>
      </x:c>
      <x:c r="C27" s="476" t="str">
        <x:v>Git/GitHub y evolución</x:v>
      </x:c>
      <x:c r="D27" s="476" t="str">
        <x:v>FUENTES; CORTE_TECNICO_V5</x:v>
      </x:c>
      <x:c r="E27" s="476" t="str">
        <x:v>Rama dataset-definitivo-2026</x:v>
      </x:c>
      <x:c r="F27" s="476" t="str">
        <x:v>Desarrollo</x:v>
      </x:c>
      <x:c r="G27" s="477" t="str">
        <x:v>Anexo 07 revisado + APUNTES + repositorio</x:v>
      </x:c>
    </x:row>
    <x:row r="28" ht="66" customHeight="1">
      <x:c r="A28" s="475" t="str">
        <x:v>5.3</x:v>
      </x:c>
      <x:c r="B28" s="476" t="str">
        <x:v>Buenas prácticas</x:v>
      </x:c>
      <x:c r="C28" s="476" t="str">
        <x:v>Clean Code/SOLID/modularidad/seguridad/documentación</x:v>
      </x:c>
      <x:c r="D28" s="476" t="str">
        <x:v>ARQUITECTURA_X_CALIDAD; SEGURIDAD_Y_RIESGOS</x:v>
      </x:c>
      <x:c r="E28" s="476" t="str">
        <x:v>Capas, Sonar, pruebas</x:v>
      </x:c>
      <x:c r="F28" s="476" t="str">
        <x:v>Desarrollo</x:v>
      </x:c>
      <x:c r="G28" s="477" t="str">
        <x:v>Anexo 07 revisado + APUNTES + repositorio</x:v>
      </x:c>
    </x:row>
    <x:row r="29" ht="66" customHeight="1">
      <x:c r="A29" s="475" t="str">
        <x:v>6.1</x:v>
      </x:c>
      <x:c r="B29" s="476" t="str">
        <x:v>Diseño casos de prueba</x:v>
      </x:c>
      <x:c r="C29" s="476" t="str">
        <x:v>Matriz histórica + V&amp;V</x:v>
      </x:c>
      <x:c r="D29" s="476" t="str">
        <x:v>PRUEBAS_X_COBERTURA; CATALOGO_EVIDENCIAS</x:v>
      </x:c>
      <x:c r="E29" s="476" t="str">
        <x:v>Estrategias + evidencia</x:v>
      </x:c>
      <x:c r="F29" s="476" t="str">
        <x:v>Pruebas</x:v>
      </x:c>
      <x:c r="G29" s="477" t="str">
        <x:v>Anexo 07 revisado + APUNTES + repositorio</x:v>
      </x:c>
    </x:row>
    <x:row r="30" ht="66" customHeight="1">
      <x:c r="A30" s="475" t="str">
        <x:v>6.1.1</x:v>
      </x:c>
      <x:c r="B30" s="476" t="str">
        <x:v>Verificación</x:v>
      </x:c>
      <x:c r="C30" s="476" t="str">
        <x:v>Análisis estático</x:v>
      </x:c>
      <x:c r="D30" s="476" t="str">
        <x:v>PRUEBAS_X_COBERTURA</x:v>
      </x:c>
      <x:c r="E30" s="476" t="str">
        <x:v>Type-check/lint/build/Sonar/schema</x:v>
      </x:c>
      <x:c r="F30" s="476" t="str">
        <x:v>Pruebas</x:v>
      </x:c>
      <x:c r="G30" s="477" t="str">
        <x:v>Anexo 07 revisado + APUNTES + repositorio</x:v>
      </x:c>
    </x:row>
    <x:row r="31" ht="66" customHeight="1">
      <x:c r="A31" s="475" t="str">
        <x:v>6.1.2</x:v>
      </x:c>
      <x:c r="B31" s="476" t="str">
        <x:v>Validación</x:v>
      </x:c>
      <x:c r="C31" s="476" t="str">
        <x:v>Análisis dinámico</x:v>
      </x:c>
      <x:c r="D31" s="476" t="str">
        <x:v>PRUEBAS_X_COBERTURA</x:v>
      </x:c>
      <x:c r="E31" s="476" t="str">
        <x:v>Black-box/integration/security/UAT</x:v>
      </x:c>
      <x:c r="F31" s="476" t="str">
        <x:v>Pruebas</x:v>
      </x:c>
      <x:c r="G31" s="477" t="str">
        <x:v>Anexo 07 revisado + APUNTES + repositorio</x:v>
      </x:c>
    </x:row>
    <x:row r="32" ht="66" customHeight="1">
      <x:c r="A32" s="475" t="str">
        <x:v>6.2</x:v>
      </x:c>
      <x:c r="B32" s="476" t="str">
        <x:v>Resultados de pruebas</x:v>
      </x:c>
      <x:c r="C32" s="476" t="str">
        <x:v>Histórico vs vigente diferenciado</x:v>
      </x:c>
      <x:c r="D32" s="476" t="str">
        <x:v>CORTE_TECNICO_V5; PRUEBAS_X_COBERTURA</x:v>
      </x:c>
      <x:c r="E32" s="476" t="str">
        <x:v>86 histórico + suites V5</x:v>
      </x:c>
      <x:c r="F32" s="476" t="str">
        <x:v>Pruebas</x:v>
      </x:c>
      <x:c r="G32" s="477" t="str">
        <x:v>Anexo 07 revisado + APUNTES + repositorio</x:v>
      </x:c>
    </x:row>
    <x:row r="33" ht="66" customHeight="1">
      <x:c r="A33" s="475" t="str">
        <x:v>6.3</x:v>
      </x:c>
      <x:c r="B33" s="476" t="str">
        <x:v>Automatización</x:v>
      </x:c>
      <x:c r="C33" s="476" t="str">
        <x:v>Pipeline y scripts QA</x:v>
      </x:c>
      <x:c r="D33" s="476" t="str">
        <x:v>PRUEBAS_X_COBERTURA; DESPLIEGUE_MONITOREO</x:v>
      </x:c>
      <x:c r="E33" s="476" t="str">
        <x:v>qa:pipeline/scripts</x:v>
      </x:c>
      <x:c r="F33" s="476" t="str">
        <x:v>Pruebas</x:v>
      </x:c>
      <x:c r="G33" s="477" t="str">
        <x:v>Anexo 07 revisado + APUNTES + repositorio</x:v>
      </x:c>
    </x:row>
    <x:row r="34" ht="66" customHeight="1">
      <x:c r="A34" s="475" t="str">
        <x:v>7.1</x:v>
      </x:c>
      <x:c r="B34" s="476" t="str">
        <x:v>Configuración despliegue</x:v>
      </x:c>
      <x:c r="C34" s="476" t="str">
        <x:v>Vercel, Railway, MySQL, FastAPI, Docker</x:v>
      </x:c>
      <x:c r="D34" s="476" t="str">
        <x:v>DESPLIEGUE_MONITOREO</x:v>
      </x:c>
      <x:c r="E34" s="476" t="str">
        <x:v>Local/nube + env</x:v>
      </x:c>
      <x:c r="F34" s="476" t="str">
        <x:v>Deploy</x:v>
      </x:c>
      <x:c r="G34" s="477" t="str">
        <x:v>Anexo 07 revisado + APUNTES + repositorio</x:v>
      </x:c>
    </x:row>
    <x:row r="35" ht="66" customHeight="1">
      <x:c r="A35" s="475" t="str">
        <x:v>7.2</x:v>
      </x:c>
      <x:c r="B35" s="476" t="str">
        <x:v>Validación producción</x:v>
      </x:c>
      <x:c r="C35" s="476" t="str">
        <x:v>Smoke/health y evidencia vigente</x:v>
      </x:c>
      <x:c r="D35" s="476" t="str">
        <x:v>CORTE_TECNICO_V5; DESPLIEGUE_MONITOREO</x:v>
      </x:c>
      <x:c r="E35" s="476" t="str">
        <x:v>Backend 200, frontend 200, smoke 67/67</x:v>
      </x:c>
      <x:c r="F35" s="476" t="str">
        <x:v>Deploy</x:v>
      </x:c>
      <x:c r="G35" s="477" t="str">
        <x:v>Anexo 07 revisado + APUNTES + repositorio</x:v>
      </x:c>
    </x:row>
    <x:row r="36" ht="66" customHeight="1">
      <x:c r="A36" s="475" t="str">
        <x:v>8.1.1</x:v>
      </x:c>
      <x:c r="B36" s="476" t="str">
        <x:v>Fuentes de datos</x:v>
      </x:c>
      <x:c r="C36" s="476" t="str">
        <x:v>Académicos + LMS autorizados</x:v>
      </x:c>
      <x:c r="D36" s="476" t="str">
        <x:v>INDICADORES_X_DASHBOARD; BD_52_MODELOS</x:v>
      </x:c>
      <x:c r="E36" s="476" t="str">
        <x:v>Fuentes por indicador</x:v>
      </x:c>
      <x:c r="F36" s="476" t="str">
        <x:v>ML</x:v>
      </x:c>
      <x:c r="G36" s="477" t="str">
        <x:v>Anexo 07 revisado + APUNTES + repositorio</x:v>
      </x:c>
    </x:row>
    <x:row r="37" ht="66" customHeight="1">
      <x:c r="A37" s="475" t="str">
        <x:v>8.1.2</x:v>
      </x:c>
      <x:c r="B37" s="476" t="str">
        <x:v>Características de datos</x:v>
      </x:c>
      <x:c r="C37" s="476" t="str">
        <x:v>Tipos, significado, temporalidad</x:v>
      </x:c>
      <x:c r="D37" s="476" t="str">
        <x:v>INDICADORES_X_DASHBOARD; BD_52_MODELOS</x:v>
      </x:c>
      <x:c r="E37" s="476" t="str">
        <x:v>Features/indicadores/datos</x:v>
      </x:c>
      <x:c r="F37" s="476" t="str">
        <x:v>ML</x:v>
      </x:c>
      <x:c r="G37" s="477" t="str">
        <x:v>Anexo 07 revisado + APUNTES + repositorio</x:v>
      </x:c>
    </x:row>
    <x:row r="38" ht="66" customHeight="1">
      <x:c r="A38" s="475" t="str">
        <x:v>8.1.3</x:v>
      </x:c>
      <x:c r="B38" s="476" t="str">
        <x:v>EDA</x:v>
      </x:c>
      <x:c r="C38" s="476" t="str">
        <x:v>Perfil, supuestos, pruebas param/no param</x:v>
      </x:c>
      <x:c r="D38" s="476" t="str">
        <x:v>INDICADORES_X_DASHBOARD</x:v>
      </x:c>
      <x:c r="E38" s="476" t="str">
        <x:v>Superficie reporte científico</x:v>
      </x:c>
      <x:c r="F38" s="476" t="str">
        <x:v>ML</x:v>
      </x:c>
      <x:c r="G38" s="477" t="str">
        <x:v>Anexo 07 revisado + APUNTES + repositorio</x:v>
      </x:c>
    </x:row>
    <x:row r="39" ht="66" customHeight="1">
      <x:c r="A39" s="475" t="str">
        <x:v>8.2.1</x:v>
      </x:c>
      <x:c r="B39" s="476" t="str">
        <x:v>Limpieza</x:v>
      </x:c>
      <x:c r="C39" s="476" t="str">
        <x:v>Faltantes, duplicados, inconsistencias, leakage</x:v>
      </x:c>
      <x:c r="D39" s="476" t="str">
        <x:v>INDICADORES_X_DASHBOARD; SEGURIDAD_Y_RIESGOS</x:v>
      </x:c>
      <x:c r="E39" s="476" t="str">
        <x:v>VI calidad datos</x:v>
      </x:c>
      <x:c r="F39" s="476" t="str">
        <x:v>ML</x:v>
      </x:c>
      <x:c r="G39" s="477" t="str">
        <x:v>Anexo 07 revisado + APUNTES + repositorio</x:v>
      </x:c>
    </x:row>
    <x:row r="40" ht="66" customHeight="1">
      <x:c r="A40" s="475" t="str">
        <x:v>8.2.2</x:v>
      </x:c>
      <x:c r="B40" s="476" t="str">
        <x:v>Transformación</x:v>
      </x:c>
      <x:c r="C40" s="476" t="str">
        <x:v>Codificación/escalado/features</x:v>
      </x:c>
      <x:c r="D40" s="476" t="str">
        <x:v>INDICADORES_X_DASHBOARD</x:v>
      </x:c>
      <x:c r="E40" s="476" t="str">
        <x:v>VI transformación</x:v>
      </x:c>
      <x:c r="F40" s="476" t="str">
        <x:v>ML</x:v>
      </x:c>
      <x:c r="G40" s="477" t="str">
        <x:v>Anexo 07 revisado + APUNTES + repositorio</x:v>
      </x:c>
    </x:row>
    <x:row r="41" ht="66" customHeight="1">
      <x:c r="A41" s="475" t="str">
        <x:v>8.2.3</x:v>
      </x:c>
      <x:c r="B41" s="476" t="str">
        <x:v>División dataset</x:v>
      </x:c>
      <x:c r="C41" s="476" t="str">
        <x:v>Sin porcentaje fijo hasta datos reales</x:v>
      </x:c>
      <x:c r="D41" s="476" t="str">
        <x:v>INDICADORES_X_DASHBOARD</x:v>
      </x:c>
      <x:c r="E41" s="476" t="str">
        <x:v>Balance/control temporal</x:v>
      </x:c>
      <x:c r="F41" s="476" t="str">
        <x:v>ML</x:v>
      </x:c>
      <x:c r="G41" s="477" t="str">
        <x:v>Anexo 07 revisado + APUNTES + repositorio</x:v>
      </x:c>
    </x:row>
    <x:row r="42" ht="66" customHeight="1">
      <x:c r="A42" s="475" t="str">
        <x:v>8.3.1</x:v>
      </x:c>
      <x:c r="B42" s="476" t="str">
        <x:v>Elección algoritmo</x:v>
      </x:c>
      <x:c r="C42" s="476" t="str">
        <x:v>RF, XGBoost/HGB, Stacking</x:v>
      </x:c>
      <x:c r="D42" s="476" t="str">
        <x:v>INDICADORES_X_DASHBOARD</x:v>
      </x:c>
      <x:c r="E42" s="476" t="str">
        <x:v>Modelos base/Ensemble</x:v>
      </x:c>
      <x:c r="F42" s="476" t="str">
        <x:v>ML</x:v>
      </x:c>
      <x:c r="G42" s="477" t="str">
        <x:v>Anexo 07 revisado + APUNTES + repositorio</x:v>
      </x:c>
    </x:row>
    <x:row r="43" ht="66" customHeight="1">
      <x:c r="A43" s="475" t="str">
        <x:v>8.3.2</x:v>
      </x:c>
      <x:c r="B43" s="476" t="str">
        <x:v>Entrenamiento</x:v>
      </x:c>
      <x:c r="C43" s="476" t="str">
        <x:v>Reproducibilidad y artefactos</x:v>
      </x:c>
      <x:c r="D43" s="476" t="str">
        <x:v>INDICADORES_X_DASHBOARD; MANTENIMIENTO_CAMBIOS</x:v>
      </x:c>
      <x:c r="E43" s="476" t="str">
        <x:v>Training/versionado</x:v>
      </x:c>
      <x:c r="F43" s="476" t="str">
        <x:v>ML</x:v>
      </x:c>
      <x:c r="G43" s="477" t="str">
        <x:v>Anexo 07 revisado + APUNTES + repositorio</x:v>
      </x:c>
    </x:row>
    <x:row r="44" ht="66" customHeight="1">
      <x:c r="A44" s="475" t="str">
        <x:v>8.3.3</x:v>
      </x:c>
      <x:c r="B44" s="476" t="str">
        <x:v>Optimización</x:v>
      </x:c>
      <x:c r="C44" s="476" t="str">
        <x:v>Tuning controlado</x:v>
      </x:c>
      <x:c r="D44" s="476" t="str">
        <x:v>INDICADORES_X_DASHBOARD</x:v>
      </x:c>
      <x:c r="E44" s="476" t="str">
        <x:v>Hiperparámetros/config</x:v>
      </x:c>
      <x:c r="F44" s="476" t="str">
        <x:v>ML</x:v>
      </x:c>
      <x:c r="G44" s="477" t="str">
        <x:v>Anexo 07 revisado + APUNTES + repositorio</x:v>
      </x:c>
    </x:row>
    <x:row r="45" ht="66" customHeight="1">
      <x:c r="A45" s="475" t="str">
        <x:v>8.4.1</x:v>
      </x:c>
      <x:c r="B45" s="476" t="str">
        <x:v>Validación</x:v>
      </x:c>
      <x:c r="C45" s="476" t="str">
        <x:v>Conjunto independiente/CV</x:v>
      </x:c>
      <x:c r="D45" s="476" t="str">
        <x:v>INDICADORES_X_DASHBOARD; PRUEBAS_X_COBERTURA</x:v>
      </x:c>
      <x:c r="E45" s="476" t="str">
        <x:v>Generalización</x:v>
      </x:c>
      <x:c r="F45" s="476" t="str">
        <x:v>ML</x:v>
      </x:c>
      <x:c r="G45" s="477" t="str">
        <x:v>Anexo 07 revisado + APUNTES + repositorio</x:v>
      </x:c>
    </x:row>
    <x:row r="46" ht="66" customHeight="1">
      <x:c r="A46" s="475" t="str">
        <x:v>8.4.2</x:v>
      </x:c>
      <x:c r="B46" s="476" t="str">
        <x:v>Métricas</x:v>
      </x:c>
      <x:c r="C46" s="476" t="str">
        <x:v>Accuracy, Precision, Recall, F1, AUC, matriz</x:v>
      </x:c>
      <x:c r="D46" s="476" t="str">
        <x:v>INDICADORES_X_DASHBOARD</x:v>
      </x:c>
      <x:c r="E46" s="476" t="str">
        <x:v>Desempeño clasificación</x:v>
      </x:c>
      <x:c r="F46" s="476" t="str">
        <x:v>ML</x:v>
      </x:c>
      <x:c r="G46" s="477" t="str">
        <x:v>Anexo 07 revisado + APUNTES + repositorio</x:v>
      </x:c>
    </x:row>
    <x:row r="47" ht="66" customHeight="1">
      <x:c r="A47" s="475" t="str">
        <x:v>8.4.3</x:v>
      </x:c>
      <x:c r="B47" s="476" t="str">
        <x:v>Comparación</x:v>
      </x:c>
      <x:c r="C47" s="476" t="str">
        <x:v>Comparación empírica entre modelos</x:v>
      </x:c>
      <x:c r="D47" s="476" t="str">
        <x:v>INDICADORES_X_DASHBOARD</x:v>
      </x:c>
      <x:c r="E47" s="476" t="str">
        <x:v>Reporte comparativo</x:v>
      </x:c>
      <x:c r="F47" s="476" t="str">
        <x:v>ML</x:v>
      </x:c>
      <x:c r="G47" s="477" t="str">
        <x:v>Anexo 07 revisado + APUNTES + repositorio</x:v>
      </x:c>
    </x:row>
    <x:row r="48" ht="66" customHeight="1">
      <x:c r="A48" s="475" t="str">
        <x:v>8.4.4</x:v>
      </x:c>
      <x:c r="B48" s="476" t="str">
        <x:v>Elección robusta</x:v>
      </x:c>
      <x:c r="C48" s="476" t="str">
        <x:v>Criterio conjunto, no Accuracy aislada</x:v>
      </x:c>
      <x:c r="D48" s="476" t="str">
        <x:v>INDICADORES_X_DASHBOARD</x:v>
      </x:c>
      <x:c r="E48" s="476" t="str">
        <x:v>Múltiples métricas + interpretabilidad</x:v>
      </x:c>
      <x:c r="F48" s="476" t="str">
        <x:v>ML</x:v>
      </x:c>
      <x:c r="G48" s="477" t="str">
        <x:v>Anexo 07 revisado + APUNTES + repositorio</x:v>
      </x:c>
    </x:row>
    <x:row r="49" ht="66" customHeight="1">
      <x:c r="A49" s="475" t="str">
        <x:v>8.5.1</x:v>
      </x:c>
      <x:c r="B49" s="476" t="str">
        <x:v>Integración modelo</x:v>
      </x:c>
      <x:c r="C49" s="476" t="str">
        <x:v>Backend → FastAPI → persistencia → UI</x:v>
      </x:c>
      <x:c r="D49" s="476" t="str">
        <x:v>ARQUITECTURA_X_CALIDAD; INDICADORES_X_DASHBOARD</x:v>
      </x:c>
      <x:c r="E49" s="476" t="str">
        <x:v>Integración modelo-sistema</x:v>
      </x:c>
      <x:c r="F49" s="476" t="str">
        <x:v>ML/Software</x:v>
      </x:c>
      <x:c r="G49" s="477" t="str">
        <x:v>Anexo 07 revisado + APUNTES + repositorio</x:v>
      </x:c>
    </x:row>
    <x:row r="50" ht="66" customHeight="1">
      <x:c r="A50" s="475" t="str">
        <x:v>8.5.2</x:v>
      </x:c>
      <x:c r="B50" s="476" t="str">
        <x:v>Validación productiva ML</x:v>
      </x:c>
      <x:c r="C50" s="476" t="str">
        <x:v>Consistencia artefacto/transformación/versión</x:v>
      </x:c>
      <x:c r="D50" s="476" t="str">
        <x:v>DESPLIEGUE_MONITOREO; MANTENIMIENTO_CAMBIOS</x:v>
      </x:c>
      <x:c r="E50" s="476" t="str">
        <x:v>Modelo desplegado = evaluado</x:v>
      </x:c>
      <x:c r="F50" s="476" t="str">
        <x:v>ML/Deploy</x:v>
      </x:c>
      <x:c r="G50" s="477" t="str">
        <x:v>Anexo 07 revisado + APUNTES + repositorio</x:v>
      </x:c>
    </x:row>
    <x:row r="51" ht="66" customHeight="1">
      <x:c r="A51" s="475" t="str">
        <x:v>8.5.3</x:v>
      </x:c>
      <x:c r="B51" s="476" t="str">
        <x:v>Alcance/limitaciones</x:v>
      </x:c>
      <x:c r="C51" s="476" t="str">
        <x:v>Blenkir, no causalidad, validación externa/drift</x:v>
      </x:c>
      <x:c r="D51" s="476" t="str">
        <x:v>SEGURIDAD_Y_RIESGOS; INDICADORES_X_DASHBOARD</x:v>
      </x:c>
      <x:c r="E51" s="476" t="str">
        <x:v>Gobernanza/drift</x:v>
      </x:c>
      <x:c r="F51" s="476" t="str">
        <x:v>ML</x:v>
      </x:c>
      <x:c r="G51" s="477" t="str">
        <x:v>Anexo 07 revisado + APUNTES + repositorio</x:v>
      </x:c>
    </x:row>
    <x:row r="52" ht="66" customHeight="1">
      <x:c r="A52" s="475" t="str">
        <x:v>8.5.4</x:v>
      </x:c>
      <x:c r="B52" s="476" t="str">
        <x:v>Reportes decisión</x:v>
      </x:c>
      <x:c r="C52" s="476" t="str">
        <x:v>Apoyo humano mediante dashboard/alertas/reportes</x:v>
      </x:c>
      <x:c r="D52" s="476" t="str">
        <x:v>INDICADORES_X_DASHBOARD; SEGURIDAD_Y_RIESGOS</x:v>
      </x:c>
      <x:c r="E52" s="476" t="str">
        <x:v>No automatizar decisiones</x:v>
      </x:c>
      <x:c r="F52" s="476" t="str">
        <x:v>Software</x:v>
      </x:c>
      <x:c r="G52" s="477" t="str">
        <x:v>Anexo 07 revisado + APUNTES + repositorio</x:v>
      </x:c>
    </x:row>
    <x:row r="53" ht="66" customHeight="1">
      <x:c r="A53" s="475" t="str">
        <x:v>9.1</x:v>
      </x:c>
      <x:c r="B53" s="476" t="str">
        <x:v>Manual de usuario</x:v>
      </x:c>
      <x:c r="C53" s="476" t="str">
        <x:v>Acceso/uso Director, Profesor, Estudiante</x:v>
      </x:c>
      <x:c r="D53" s="476" t="str">
        <x:v>PROCESOS_X_ARTEFACTOS; MANTENIMIENTO_CAMBIOS</x:v>
      </x:c>
      <x:c r="E53" s="476" t="str">
        <x:v>Flujos por rol</x:v>
      </x:c>
      <x:c r="F53" s="476" t="str">
        <x:v>Mantenimiento</x:v>
      </x:c>
      <x:c r="G53" s="477" t="str">
        <x:v>Anexo 07 revisado + APUNTES + repositorio</x:v>
      </x:c>
    </x:row>
    <x:row r="54" ht="66" customHeight="1">
      <x:c r="A54" s="475" t="str">
        <x:v>9.2</x:v>
      </x:c>
      <x:c r="B54" s="476" t="str">
        <x:v>Instalación/mantenimiento</x:v>
      </x:c>
      <x:c r="C54" s="476" t="str">
        <x:v>Instalación, env, migrations, QA</x:v>
      </x:c>
      <x:c r="D54" s="476" t="str">
        <x:v>MANTENIMIENTO_CAMBIOS; DESPLIEGUE_MONITOREO</x:v>
      </x:c>
      <x:c r="E54" s="476" t="str">
        <x:v>19 escenarios + deploy</x:v>
      </x:c>
      <x:c r="F54" s="476" t="str">
        <x:v>Mantenimiento</x:v>
      </x:c>
      <x:c r="G54" s="477" t="str">
        <x:v>Anexo 07 revisado + APUNTES + repositorio</x:v>
      </x:c>
    </x:row>
    <x:row r="55" ht="66" customHeight="1">
      <x:c r="A55" s="475" t="str">
        <x:v>9.3</x:v>
      </x:c>
      <x:c r="B55" s="476" t="str">
        <x:v>Escalabilidad/seguridad</x:v>
      </x:c>
      <x:c r="C55" s="476" t="str">
        <x:v>Riesgos, controles y mejora a largo plazo</x:v>
      </x:c>
      <x:c r="D55" s="476" t="str">
        <x:v>SEGURIDAD_Y_RIESGOS; DESPLIEGUE_MONITOREO</x:v>
      </x:c>
      <x:c r="E55" s="476" t="str">
        <x:v>15 riesgos + monitoreo</x:v>
      </x:c>
      <x:c r="F55" s="476" t="str">
        <x:v>Mantenimiento</x:v>
      </x:c>
      <x:c r="G55" s="477" t="str">
        <x:v>Anexo 07 revisado + APUNTES + repositorio</x:v>
      </x:c>
    </x:row>
    <x:row r="56" ht="66" customHeight="1">
      <x:c r="A56" s="478" t="str">
        <x:v>9.4</x:v>
      </x:c>
      <x:c r="B56" s="479" t="str">
        <x:v>Mejora continua</x:v>
      </x:c>
      <x:c r="C56" s="479" t="str">
        <x:v>Incidencia → backlog → fix → regresión → documentación</x:v>
      </x:c>
      <x:c r="D56" s="479" t="str">
        <x:v>MANTENIMIENTO_CAMBIOS; PRUEBAS_X_COBERTURA</x:v>
      </x:c>
      <x:c r="E56" s="479" t="str">
        <x:v>Ciclo P20</x:v>
      </x:c>
      <x:c r="F56" s="479" t="str">
        <x:v>Mantenimiento</x:v>
      </x:c>
      <x:c r="G56" s="480" t="str">
        <x:v>Anexo 07 revisado + APUNTES + repositorio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16" hidden="0" customWidth="1"/>
    <x:col min="4" max="4" width="18" hidden="0" customWidth="1"/>
    <x:col min="5" max="5" width="42" hidden="0" customWidth="1"/>
    <x:col min="6" max="6" width="48" hidden="0" customWidth="1"/>
    <x:col min="7" max="7" width="48" hidden="0" customWidth="1"/>
    <x:col min="8" max="8" width="42" hidden="0" customWidth="1"/>
    <x:col min="9" max="9" width="20" hidden="0" customWidth="1"/>
    <x:col min="10" max="10" width="38" hidden="0" customWidth="1"/>
  </x:cols>
  <x:sheetData>
    <x:row r="1" ht="34" customHeight="1">
      <x:c r="A1" s="444" t="str">
        <x:v>Catálogo de evidencias críticas</x:v>
      </x:c>
      <x:c r="B1" s="444"/>
      <x:c r="C1" s="444"/>
      <x:c r="D1" s="444"/>
      <x:c r="E1" s="444"/>
      <x:c r="F1" s="444"/>
      <x:c r="G1" s="444"/>
      <x:c r="H1" s="444"/>
      <x:c r="I1" s="444"/>
      <x:c r="J1" s="444"/>
    </x:row>
    <x:row r="2" ht="42" customHeight="1">
      <x:c r="A2" s="448" t="str">
        <x:v>Plantilla de sustentación/evidencia: define qué demostrar, bajo qué precondiciones, qué resultado esperar y qué archivo/captura/log conservar. No mezcla evidencia tecnológica con evidencia científica.</x:v>
      </x:c>
      <x:c r="B2" s="448"/>
      <x:c r="C2" s="448"/>
      <x:c r="D2" s="448"/>
      <x:c r="E2" s="448"/>
      <x:c r="F2" s="448"/>
      <x:c r="G2" s="448"/>
      <x:c r="H2" s="448"/>
      <x:c r="I2" s="448"/>
      <x:c r="J2" s="448"/>
    </x:row>
    <x:row r="4" ht="48" customHeight="1">
      <x:c r="A4" s="453" t="str">
        <x:v>Código</x:v>
      </x:c>
      <x:c r="B4" s="453" t="str">
        <x:v>Evidencia</x:v>
      </x:c>
      <x:c r="C4" s="453" t="str">
        <x:v>Proceso</x:v>
      </x:c>
      <x:c r="D4" s="453" t="str">
        <x:v>Entorno</x:v>
      </x:c>
      <x:c r="E4" s="453" t="str">
        <x:v>Precondiciones</x:v>
      </x:c>
      <x:c r="F4" s="453" t="str">
        <x:v>Procedimiento</x:v>
      </x:c>
      <x:c r="G4" s="453" t="str">
        <x:v>Resultado esperado</x:v>
      </x:c>
      <x:c r="H4" s="453" t="str">
        <x:v>Registro / captura / log</x:v>
      </x:c>
      <x:c r="I4" s="453" t="str">
        <x:v>Tipo</x:v>
      </x:c>
      <x:c r="J4" s="453" t="str">
        <x:v>Calidad / regla</x:v>
      </x:c>
    </x:row>
    <x:row r="5" ht="66" customHeight="1">
      <x:c r="A5" s="472" t="str">
        <x:v>E-01</x:v>
      </x:c>
      <x:c r="B5" s="473" t="str">
        <x:v>Login Director + dashboard</x:v>
      </x:c>
      <x:c r="C5" s="473" t="str">
        <x:v>P17/P14</x:v>
      </x:c>
      <x:c r="D5" s="473" t="str">
        <x:v>Producción</x:v>
      </x:c>
      <x:c r="E5" s="473" t="str">
        <x:v>Cuenta autorizada + frontend/backend disponibles</x:v>
      </x:c>
      <x:c r="F5" s="473" t="str">
        <x:v>Ingresar → validar navegación/rol → revisar KPIs</x:v>
      </x:c>
      <x:c r="G5" s="473" t="str">
        <x:v>Login correcto, scope Director, sin error no controlado</x:v>
      </x:c>
      <x:c r="H5" s="473" t="str">
        <x:v>Captura + network/console + commit</x:v>
      </x:c>
      <x:c r="I5" s="473" t="str">
        <x:v>Software/QA</x:v>
      </x:c>
      <x:c r="J5" s="474" t="str">
        <x:v>ISO25010 usabilidad/seguridad; ISO29119</x:v>
      </x:c>
    </x:row>
    <x:row r="6" ht="66" customHeight="1">
      <x:c r="A6" s="475" t="str">
        <x:v>E-02</x:v>
      </x:c>
      <x:c r="B6" s="476" t="str">
        <x:v>Dashboard Profesor</x:v>
      </x:c>
      <x:c r="C6" s="476" t="str">
        <x:v>P14</x:v>
      </x:c>
      <x:c r="D6" s="476" t="str">
        <x:v>Producción</x:v>
      </x:c>
      <x:c r="E6" s="476" t="str">
        <x:v>Cuenta docente con asignación</x:v>
      </x:c>
      <x:c r="F6" s="476" t="str">
        <x:v>Login → dashboard → filtros/estudiantes scope</x:v>
      </x:c>
      <x:c r="G6" s="476" t="str">
        <x:v>Solo secciones/cursos autorizados</x:v>
      </x:c>
      <x:c r="H6" s="476" t="str">
        <x:v>Capturas + API responses</x:v>
      </x:c>
      <x:c r="I6" s="476" t="str">
        <x:v>Software/QA</x:v>
      </x:c>
      <x:c r="J6" s="477" t="str">
        <x:v>RBAC + usabilidad</x:v>
      </x:c>
    </x:row>
    <x:row r="7" ht="66" customHeight="1">
      <x:c r="A7" s="475" t="str">
        <x:v>E-03</x:v>
      </x:c>
      <x:c r="B7" s="476" t="str">
        <x:v>Dashboard Estudiante</x:v>
      </x:c>
      <x:c r="C7" s="476" t="str">
        <x:v>P14</x:v>
      </x:c>
      <x:c r="D7" s="476" t="str">
        <x:v>Producción</x:v>
      </x:c>
      <x:c r="E7" s="476" t="str">
        <x:v>Cuenta estudiante</x:v>
      </x:c>
      <x:c r="F7" s="476" t="str">
        <x:v>Login → dashboard → datos propios</x:v>
      </x:c>
      <x:c r="G7" s="476" t="str">
        <x:v>No expone datos de terceros</x:v>
      </x:c>
      <x:c r="H7" s="476" t="str">
        <x:v>Capturas + 403 negativo</x:v>
      </x:c>
      <x:c r="I7" s="476" t="str">
        <x:v>Software/QA</x:v>
      </x:c>
      <x:c r="J7" s="477" t="str">
        <x:v>Privacidad + UAT</x:v>
      </x:c>
    </x:row>
    <x:row r="8" ht="66" customHeight="1">
      <x:c r="A8" s="475" t="str">
        <x:v>E-04</x:v>
      </x:c>
      <x:c r="B8" s="476" t="str">
        <x:v>Predicción y factores</x:v>
      </x:c>
      <x:c r="C8" s="476" t="str">
        <x:v>P12</x:v>
      </x:c>
      <x:c r="D8" s="476" t="str">
        <x:v>Producción/ML</x:v>
      </x:c>
      <x:c r="E8" s="476" t="str">
        <x:v>Modelo científico desplegado + datos autorizados</x:v>
      </x:c>
      <x:c r="F8" s="476" t="str">
        <x:v>Solicitar inferencia → persistir → visualizar</x:v>
      </x:c>
      <x:c r="G8" s="476" t="str">
        <x:v>Probabilidad/nivel/factores coinciden con Prediction</x:v>
      </x:c>
      <x:c r="H8" s="476" t="str">
        <x:v>JSON + BD + captura + versión modelo</x:v>
      </x:c>
      <x:c r="I8" s="476" t="str">
        <x:v>Científica + integración</x:v>
      </x:c>
      <x:c r="J8" s="477" t="str">
        <x:v>No sustituir evaluación científica</x:v>
      </x:c>
    </x:row>
    <x:row r="9" ht="66" customHeight="1">
      <x:c r="A9" s="475" t="str">
        <x:v>E-05</x:v>
      </x:c>
      <x:c r="B9" s="476" t="str">
        <x:v>Alertas</x:v>
      </x:c>
      <x:c r="C9" s="476" t="str">
        <x:v>P13</x:v>
      </x:c>
      <x:c r="D9" s="476" t="str">
        <x:v>Producción</x:v>
      </x:c>
      <x:c r="E9" s="476" t="str">
        <x:v>Regla/predicción válida</x:v>
      </x:c>
      <x:c r="F9" s="476" t="str">
        <x:v>Crear/consultar/cambiar estado</x:v>
      </x:c>
      <x:c r="G9" s="476" t="str">
        <x:v>Alerta trazable y dentro de scope</x:v>
      </x:c>
      <x:c r="H9" s="476" t="str">
        <x:v>Captura + Alert/Historial</x:v>
      </x:c>
      <x:c r="I9" s="476" t="str">
        <x:v>Software/QA</x:v>
      </x:c>
      <x:c r="J9" s="477" t="str">
        <x:v>Trazabilidad</x:v>
      </x:c>
    </x:row>
    <x:row r="10" ht="66" customHeight="1">
      <x:c r="A10" s="475" t="str">
        <x:v>E-06</x:v>
      </x:c>
      <x:c r="B10" s="476" t="str">
        <x:v>Reportes</x:v>
      </x:c>
      <x:c r="C10" s="476" t="str">
        <x:v>P15</x:v>
      </x:c>
      <x:c r="D10" s="476" t="str">
        <x:v>Producción</x:v>
      </x:c>
      <x:c r="E10" s="476" t="str">
        <x:v>Datos y permisos</x:v>
      </x:c>
      <x:c r="F10" s="476" t="str">
        <x:v>Filtrar → generar → exportar</x:v>
      </x:c>
      <x:c r="G10" s="476" t="str">
        <x:v>Contenido coincide con fuente y scope</x:v>
      </x:c>
      <x:c r="H10" s="476" t="str">
        <x:v>PDF/XLSX + BD/log</x:v>
      </x:c>
      <x:c r="I10" s="476" t="str">
        <x:v>Software/QA</x:v>
      </x:c>
      <x:c r="J10" s="477" t="str">
        <x:v>Funcionalidad/seguridad</x:v>
      </x:c>
    </x:row>
    <x:row r="11" ht="66" customHeight="1">
      <x:c r="A11" s="475" t="str">
        <x:v>E-07</x:v>
      </x:c>
      <x:c r="B11" s="476" t="str">
        <x:v>SonarCloud Quality Gate</x:v>
      </x:c>
      <x:c r="C11" s="476" t="str">
        <x:v>P20</x:v>
      </x:c>
      <x:c r="D11" s="476" t="str">
        <x:v>QA</x:v>
      </x:c>
      <x:c r="E11" s="476" t="str">
        <x:v>Código analizado</x:v>
      </x:c>
      <x:c r="F11" s="476" t="str">
        <x:v>Ejecutar análisis → revisar bugs/vulns/smells</x:v>
      </x:c>
      <x:c r="G11" s="476" t="str">
        <x:v>Hallazgos documentados y críticos tratados</x:v>
      </x:c>
      <x:c r="H11" s="476" t="str">
        <x:v>Captura Sonar + commit</x:v>
      </x:c>
      <x:c r="I11" s="476" t="str">
        <x:v>Calidad código</x:v>
      </x:c>
      <x:c r="J11" s="477" t="str">
        <x:v>ISO25010 mantenibilidad/seguridad</x:v>
      </x:c>
    </x:row>
    <x:row r="12" ht="66" customHeight="1">
      <x:c r="A12" s="475" t="str">
        <x:v>E-08</x:v>
      </x:c>
      <x:c r="B12" s="476" t="str">
        <x:v>Railway backend health/logs</x:v>
      </x:c>
      <x:c r="C12" s="476" t="str">
        <x:v>P19</x:v>
      </x:c>
      <x:c r="D12" s="476" t="str">
        <x:v>Producción</x:v>
      </x:c>
      <x:c r="E12" s="476" t="str">
        <x:v>Deployment identificado</x:v>
      </x:c>
      <x:c r="F12" s="476" t="str">
        <x:v>GET /health + revisar logs</x:v>
      </x:c>
      <x:c r="G12" s="476" t="str">
        <x:v>200 + timestamp + versión</x:v>
      </x:c>
      <x:c r="H12" s="476" t="str">
        <x:v>Respuesta/log</x:v>
      </x:c>
      <x:c r="I12" s="476" t="str">
        <x:v>Operación</x:v>
      </x:c>
      <x:c r="J12" s="477" t="str">
        <x:v>Fiabilidad</x:v>
      </x:c>
    </x:row>
    <x:row r="13" ht="66" customHeight="1">
      <x:c r="A13" s="475" t="str">
        <x:v>E-09</x:v>
      </x:c>
      <x:c r="B13" s="476" t="str">
        <x:v>Vercel deployment</x:v>
      </x:c>
      <x:c r="C13" s="476" t="str">
        <x:v>P19</x:v>
      </x:c>
      <x:c r="D13" s="476" t="str">
        <x:v>Producción</x:v>
      </x:c>
      <x:c r="E13" s="476" t="str">
        <x:v>Deployment identificado</x:v>
      </x:c>
      <x:c r="F13" s="476" t="str">
        <x:v>Cargar URL + revisar versión</x:v>
      </x:c>
      <x:c r="G13" s="476" t="str">
        <x:v>Frontend carga y apunta al API correcto</x:v>
      </x:c>
      <x:c r="H13" s="476" t="str">
        <x:v>Captura + deployment/commit</x:v>
      </x:c>
      <x:c r="I13" s="476" t="str">
        <x:v>Operación</x:v>
      </x:c>
      <x:c r="J13" s="477" t="str">
        <x:v>Portabilidad</x:v>
      </x:c>
    </x:row>
    <x:row r="14" ht="66" customHeight="1">
      <x:c r="A14" s="475" t="str">
        <x:v>E-10</x:v>
      </x:c>
      <x:c r="B14" s="476" t="str">
        <x:v>QA local / pipeline</x:v>
      </x:c>
      <x:c r="C14" s="476" t="str">
        <x:v>P20</x:v>
      </x:c>
      <x:c r="D14" s="476" t="str">
        <x:v>Local/CI</x:v>
      </x:c>
      <x:c r="E14" s="476" t="str">
        <x:v>Dependencias y entorno</x:v>
      </x:c>
      <x:c r="F14" s="476" t="str">
        <x:v>type-check + lint + build + tests + qa:pipeline</x:v>
      </x:c>
      <x:c r="G14" s="476" t="str">
        <x:v>Sin fallos no justificados</x:v>
      </x:c>
      <x:c r="H14" s="476" t="str">
        <x:v>Logs terminal</x:v>
      </x:c>
      <x:c r="I14" s="476" t="str">
        <x:v>Software/QA</x:v>
      </x:c>
      <x:c r="J14" s="477" t="str">
        <x:v>ISO29119</x:v>
      </x:c>
    </x:row>
    <x:row r="15" ht="66" customHeight="1">
      <x:c r="A15" s="475" t="str">
        <x:v>E-11</x:v>
      </x:c>
      <x:c r="B15" s="476" t="str">
        <x:v>EDA dataset real</x:v>
      </x:c>
      <x:c r="C15" s="476" t="str">
        <x:v>P08/P09</x:v>
      </x:c>
      <x:c r="D15" s="476" t="str">
        <x:v>Científico</x:v>
      </x:c>
      <x:c r="E15" s="476" t="str">
        <x:v>Dataset autorizado/anonimizado</x:v>
      </x:c>
      <x:c r="F15" s="476" t="str">
        <x:v>Perfilar, faltantes, duplicados, distribución, temporalidad</x:v>
      </x:c>
      <x:c r="G15" s="476" t="str">
        <x:v>Reporte reproducible sin leakage</x:v>
      </x:c>
      <x:c r="H15" s="476" t="str">
        <x:v>Notebook/reporte + hash dataset</x:v>
      </x:c>
      <x:c r="I15" s="476" t="str">
        <x:v>Científica</x:v>
      </x:c>
      <x:c r="J15" s="477" t="str">
        <x:v>VI integración/calidad</x:v>
      </x:c>
    </x:row>
    <x:row r="16" ht="66" customHeight="1">
      <x:c r="A16" s="475" t="str">
        <x:v>E-12</x:v>
      </x:c>
      <x:c r="B16" s="476" t="str">
        <x:v>Métricas RF/XGBoost/Stacking</x:v>
      </x:c>
      <x:c r="C16" s="476" t="str">
        <x:v>P10/P11</x:v>
      </x:c>
      <x:c r="D16" s="476" t="str">
        <x:v>Científico</x:v>
      </x:c>
      <x:c r="E16" s="476" t="str">
        <x:v>Entrenamiento real versionado</x:v>
      </x:c>
      <x:c r="F16" s="476" t="str">
        <x:v>Evaluar bajo mismo protocolo</x:v>
      </x:c>
      <x:c r="G16" s="476" t="str">
        <x:v>Métricas + matriz + generalización + interpretación</x:v>
      </x:c>
      <x:c r="H16" s="476" t="str">
        <x:v>Notebook + MlMetrica + reporte</x:v>
      </x:c>
      <x:c r="I16" s="476" t="str">
        <x:v>Científica</x:v>
      </x:c>
      <x:c r="J16" s="477" t="str">
        <x:v>No usar demo</x:v>
      </x:c>
    </x:row>
    <x:row r="17" ht="66" customHeight="1">
      <x:c r="A17" s="475" t="str">
        <x:v>E-13</x:v>
      </x:c>
      <x:c r="B17" s="476" t="str">
        <x:v>Data Seed V5 integridad</x:v>
      </x:c>
      <x:c r="C17" s="476" t="str">
        <x:v>P01–P07</x:v>
      </x:c>
      <x:c r="D17" s="476" t="str">
        <x:v>Producción</x:v>
      </x:c>
      <x:c r="E17" s="476" t="str">
        <x:v>Acceso solo lectura</x:v>
      </x:c>
      <x:c r="F17" s="476" t="str">
        <x:v>Validar conteos, huérfanos y relaciones</x:v>
      </x:c>
      <x:c r="G17" s="476" t="str">
        <x:v>DATA_SEED_V5_INTEGRITY_OK</x:v>
      </x:c>
      <x:c r="H17" s="476" t="str">
        <x:v>Cierre V5 + consultas</x:v>
      </x:c>
      <x:c r="I17" s="476" t="str">
        <x:v>Operativa</x:v>
      </x:c>
      <x:c r="J17" s="477" t="str">
        <x:v>Corte 24/09/2026</x:v>
      </x:c>
    </x:row>
    <x:row r="18" ht="66" customHeight="1">
      <x:c r="A18" s="475" t="str">
        <x:v>E-14</x:v>
      </x:c>
      <x:c r="B18" s="476" t="str">
        <x:v>Smoke API producción V5</x:v>
      </x:c>
      <x:c r="C18" s="476" t="str">
        <x:v>P17/P19</x:v>
      </x:c>
      <x:c r="D18" s="476" t="str">
        <x:v>Producción</x:v>
      </x:c>
      <x:c r="E18" s="476" t="str">
        <x:v>Backend/BD/cuentas disponibles</x:v>
      </x:c>
      <x:c r="F18" s="476" t="str">
        <x:v>Ejecutar smoke con secretos inyectados</x:v>
      </x:c>
      <x:c r="G18" s="476" t="str">
        <x:v>67 ok / 0 fallos</x:v>
      </x:c>
      <x:c r="H18" s="476" t="str">
        <x:v>Log script + exit 0</x:v>
      </x:c>
      <x:c r="I18" s="476" t="str">
        <x:v>Operativa</x:v>
      </x:c>
      <x:c r="J18" s="477" t="str">
        <x:v>42 permitidos + 15 denegados</x:v>
      </x:c>
    </x:row>
    <x:row r="19" ht="66" customHeight="1">
      <x:c r="A19" s="478" t="str">
        <x:v>E-15</x:v>
      </x:c>
      <x:c r="B19" s="479" t="str">
        <x:v>Corrección export de cuentas</x:v>
      </x:c>
      <x:c r="C19" s="479" t="str">
        <x:v>P18/P20</x:v>
      </x:c>
      <x:c r="D19" s="479" t="str">
        <x:v>Producción</x:v>
      </x:c>
      <x:c r="E19" s="479" t="str">
        <x:v>Backend corregido desplegado</x:v>
      </x:c>
      <x:c r="F19" s="479" t="str">
        <x:v>GET /admin/cuentas-acceso como admin/no-admin</x:v>
      </x:c>
      <x:c r="G19" s="479" t="str">
        <x:v>Respuesta sin password en claro; 403 no-admin</x:v>
      </x:c>
      <x:c r="H19" s="479" t="str">
        <x:v>JSON + commit + log redeploy</x:v>
      </x:c>
      <x:c r="I19" s="479" t="str">
        <x:v>Seguridad</x:v>
      </x:c>
      <x:c r="J19" s="480" t="str">
        <x:v>Hallazgo SR-01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4" max="4" width="32" hidden="0" customWidth="1"/>
    <x:col min="5" max="5" width="48" hidden="0" customWidth="1"/>
    <x:col min="6" max="6" width="40" hidden="0" customWidth="1"/>
    <x:col min="7" max="7" width="42" hidden="0" customWidth="1"/>
    <x:col min="8" max="8" width="38" hidden="0" customWidth="1"/>
    <x:col min="9" max="9" width="32" hidden="0" customWidth="1"/>
  </x:cols>
  <x:sheetData>
    <x:row r="1">
      <x:c r="A1" s="516" t="str">
        <x:v>BLENKIR — mapa maestro de matrices y cobertura</x:v>
      </x:c>
      <x:c r="B1" s="516"/>
      <x:c r="C1" s="516"/>
      <x:c r="D1" s="516"/>
      <x:c r="E1" s="516"/>
      <x:c r="F1" s="516"/>
      <x:c r="G1" s="516"/>
      <x:c r="H1" s="516"/>
    </x:row>
    <x:row r="2" ht="42" customHeight="1">
      <x:c r="A2" s="447" t="str">
        <x:v>El Excel ya no depende de una única tabla gigante: la matriz principal responde requisito→software, y las matrices complementarias responden contexto, arquitectura, datos, indicadores, riesgos, pruebas, despliegue, mantenimiento y cobertura metodológica.</x:v>
      </x:c>
      <x:c r="B2" s="447"/>
      <x:c r="C2" s="447"/>
      <x:c r="D2" s="447"/>
      <x:c r="E2" s="447"/>
      <x:c r="F2" s="447"/>
      <x:c r="G2" s="447"/>
      <x:c r="H2" s="447"/>
    </x:row>
    <x:row r="4">
      <x:c r="A4" s="483" t="str">
        <x:v>Indicador de cobertura</x:v>
      </x:c>
      <x:c r="B4" s="483" t="str">
        <x:v>Valor</x:v>
      </x:c>
      <x:c r="D4" s="485" t="str">
        <x:v>Hoja</x:v>
      </x:c>
      <x:c r="E4" s="485" t="str">
        <x:v>Pregunta que responde</x:v>
      </x:c>
      <x:c r="F4" s="485" t="str">
        <x:v>Contenido principal</x:v>
      </x:c>
      <x:c r="G4" s="485" t="str">
        <x:v>Uso con el ingeniero</x:v>
      </x:c>
      <x:c r="H4" s="485" t="str">
        <x:v>Fuente dominante</x:v>
      </x:c>
      <x:c r="I4" s="485" t="str">
        <x:v>No confundir con</x:v>
      </x:c>
    </x:row>
    <x:row r="5">
      <x:c r="A5" s="486" t="str">
        <x:v>Requisitos funcionales</x:v>
      </x:c>
      <x:c r="B5" s="517" t="n">
        <x:f>COUNTIF(MATRIZ_DOBLE_ENTRADA!B6:B71,"RF")</x:f>
        <x:v>46</x:v>
      </x:c>
      <x:c r="D5" s="504" t="str">
        <x:v>MATRIZ_DOBLE_ENTRADA</x:v>
      </x:c>
      <x:c r="E5" s="505" t="str">
        <x:v>¿Qué hace cada requisito y dónde vive?</x:v>
      </x:c>
      <x:c r="F5" s="505" t="str">
        <x:v>66 RF/RNF × 49 columnas</x:v>
      </x:c>
      <x:c r="G5" s="505" t="str">
        <x:v>Explicar función, código, calidad, prueba, seguridad, mantenimiento y tesis</x:v>
      </x:c>
      <x:c r="H5" s="505" t="str">
        <x:v>Anexo 07 + GitHub</x:v>
      </x:c>
      <x:c r="I5" s="506" t="str">
        <x:v>Backlog/estado de tareas</x:v>
      </x:c>
    </x:row>
    <x:row r="6">
      <x:c r="A6" s="489" t="str">
        <x:v>Requisitos no funcionales</x:v>
      </x:c>
      <x:c r="B6" s="518" t="n">
        <x:f>COUNTIF(MATRIZ_DOBLE_ENTRADA!B6:B71,"RNF")</x:f>
        <x:v>20</x:v>
      </x:c>
      <x:c r="D6" s="507" t="str">
        <x:v>CORTE_TECNICO_V5</x:v>
      </x:c>
      <x:c r="E6" s="508" t="str">
        <x:v>¿Cuál es la verdad técnica vigente?</x:v>
      </x:c>
      <x:c r="F6" s="508" t="str">
        <x:v>Datos/verificaciones 24/09/2026</x:v>
      </x:c>
      <x:c r="G6" s="508" t="str">
        <x:v>Evitar contradicciones históricas</x:v>
      </x:c>
      <x:c r="H6" s="508" t="str">
        <x:v>Cierre integral V5</x:v>
      </x:c>
      <x:c r="I6" s="509" t="str">
        <x:v>Resultados científicos ML</x:v>
      </x:c>
    </x:row>
    <x:row r="7">
      <x:c r="A7" s="489" t="str">
        <x:v>Procesos BPMN/RACI</x:v>
      </x:c>
      <x:c r="B7" s="518" t="n">
        <x:f>COUNTA(MATRIZ_CONTEXTUAL_RACI!A18:A37)</x:f>
        <x:v>20</x:v>
      </x:c>
      <x:c r="D7" s="507" t="str">
        <x:v>MATRIZ_CONTEXTUAL_RACI</x:v>
      </x:c>
      <x:c r="E7" s="508" t="str">
        <x:v>¿Quién participa y quién responde?</x:v>
      </x:c>
      <x:c r="F7" s="508" t="str">
        <x:v>Stakeholders + RACI P01–P20</x:v>
      </x:c>
      <x:c r="G7" s="508" t="str">
        <x:v>Contexto ISO9001 y responsabilidades</x:v>
      </x:c>
      <x:c r="H7" s="508" t="str">
        <x:v>Anexo 07 1.2</x:v>
      </x:c>
      <x:c r="I7" s="509" t="str">
        <x:v>Permisos de aplicación solamente</x:v>
      </x:c>
    </x:row>
    <x:row r="8">
      <x:c r="A8" s="489" t="str">
        <x:v>Modelos Prisma</x:v>
      </x:c>
      <x:c r="B8" s="518" t="n">
        <x:f>COUNTA(BD_52_MODELOS!B5:B56)</x:f>
        <x:v>52</x:v>
      </x:c>
      <x:c r="D8" s="507" t="str">
        <x:v>ARQUITECTURA_X_CALIDAD</x:v>
      </x:c>
      <x:c r="E8" s="508" t="str">
        <x:v>¿Cómo está construido y qué calidad exige cada capa?</x:v>
      </x:c>
      <x:c r="F8" s="508" t="str">
        <x:v>8 capas × ISO25010/seguridad/pruebas</x:v>
      </x:c>
      <x:c r="G8" s="508" t="str">
        <x:v>Defender arquitectura y mantenibilidad</x:v>
      </x:c>
      <x:c r="H8" s="508" t="str">
        <x:v>Anexo 07 4.1 + código</x:v>
      </x:c>
      <x:c r="I8" s="509" t="str">
        <x:v>Diagrama gráfico por sí solo</x:v>
      </x:c>
    </x:row>
    <x:row r="9">
      <x:c r="A9" s="489" t="str">
        <x:v>Indicadores de operacionalización</x:v>
      </x:c>
      <x:c r="B9" s="518" t="n">
        <x:f>COUNTA(INDICADORES_X_DASHBOARD!D5:D40)</x:f>
        <x:v>36</x:v>
      </x:c>
      <x:c r="D9" s="507" t="str">
        <x:v>PROCESOS_X_ARTEFACTOS</x:v>
      </x:c>
      <x:c r="E9" s="508" t="str">
        <x:v>¿Cómo se amarra Bizagi con el software?</x:v>
      </x:c>
      <x:c r="F9" s="508" t="str">
        <x:v>20 procesos × RF/RNF/UI/API/BD/UML/pruebas</x:v>
      </x:c>
      <x:c r="G9" s="508" t="str">
        <x:v>Puente Bizagi↔código</x:v>
      </x:c>
      <x:c r="H9" s="508" t="str">
        <x:v>Anexo 07 1.1/4.3</x:v>
      </x:c>
      <x:c r="I9" s="509" t="str">
        <x:v>Matriz principal detallada</x:v>
      </x:c>
    </x:row>
    <x:row r="10">
      <x:c r="A10" s="489" t="str">
        <x:v>Riesgos/controles</x:v>
      </x:c>
      <x:c r="B10" s="518" t="n">
        <x:f>COUNTA(SEGURIDAD_Y_RIESGOS!A5:A19)</x:f>
        <x:v>15</x:v>
      </x:c>
      <x:c r="D10" s="507" t="str">
        <x:v>BD_52_MODELOS</x:v>
      </x:c>
      <x:c r="E10" s="508" t="str">
        <x:v>¿Qué datos existen y cómo se gobiernan?</x:v>
      </x:c>
      <x:c r="F10" s="508" t="str">
        <x:v>52 modelos Prisma</x:v>
      </x:c>
      <x:c r="G10" s="508" t="str">
        <x:v>BD, integridad, privacidad, recuperación</x:v>
      </x:c>
      <x:c r="H10" s="508" t="str">
        <x:v>Anexo 07 4.2 + schema</x:v>
      </x:c>
      <x:c r="I10" s="509" t="str">
        <x:v>DER gráfico únicamente</x:v>
      </x:c>
    </x:row>
    <x:row r="11">
      <x:c r="A11" s="489" t="str">
        <x:v>Estrategias de prueba</x:v>
      </x:c>
      <x:c r="B11" s="518" t="n">
        <x:f>COUNTA(PRUEBAS_X_COBERTURA!A5:A14)</x:f>
        <x:v>10</x:v>
      </x:c>
      <x:c r="D11" s="507" t="str">
        <x:v>INDICADORES_X_DASHBOARD</x:v>
      </x:c>
      <x:c r="E11" s="508" t="str">
        <x:v>¿Dónde se demuestra cada indicador de tesis?</x:v>
      </x:c>
      <x:c r="F11" s="508" t="str">
        <x:v>36 indicadores definitivos</x:v>
      </x:c>
      <x:c r="G11" s="508" t="str">
        <x:v>Conectar tesis↔dataset↔ML↔dashboard</x:v>
      </x:c>
      <x:c r="H11" s="508" t="str">
        <x:v>Matriz fusionada definitiva</x:v>
      </x:c>
      <x:c r="I11" s="509" t="str">
        <x:v>Forzar todo como KPI visual</x:v>
      </x:c>
    </x:row>
    <x:row r="12">
      <x:c r="A12" s="489" t="str">
        <x:v>Escenarios mantenimiento</x:v>
      </x:c>
      <x:c r="B12" s="518" t="n">
        <x:f>COUNTA(MANTENIMIENTO_CAMBIOS!A5:A23)</x:f>
        <x:v>19</x:v>
      </x:c>
      <x:c r="D12" s="507" t="str">
        <x:v>SEGURIDAD_Y_RIESGOS</x:v>
      </x:c>
      <x:c r="E12" s="508" t="str">
        <x:v>¿Qué puede fallar/comprometerse y cómo se controla?</x:v>
      </x:c>
      <x:c r="F12" s="508" t="str">
        <x:v>15 riesgos y controles</x:v>
      </x:c>
      <x:c r="G12" s="508" t="str">
        <x:v>ISO27001, respuesta y recuperación</x:v>
      </x:c>
      <x:c r="H12" s="508" t="str">
        <x:v>Anexo 07 9.3 + V5</x:v>
      </x:c>
      <x:c r="I12" s="509" t="str">
        <x:v>Lista de tareas</x:v>
      </x:c>
    </x:row>
    <x:row r="13">
      <x:c r="A13" s="489" t="str">
        <x:v>Puntos cobertura Anexo 07</x:v>
      </x:c>
      <x:c r="B13" s="518" t="n">
        <x:f>COUNTA(COBERTURA_ANEXO07!A5:A56)</x:f>
        <x:v>52</x:v>
      </x:c>
      <x:c r="D13" s="507" t="str">
        <x:v>PRUEBAS_X_COBERTURA</x:v>
      </x:c>
      <x:c r="E13" s="508" t="str">
        <x:v>¿Cómo verificamos que funciona y no se rompe?</x:v>
      </x:c>
      <x:c r="F13" s="508" t="str">
        <x:v>10 estrategias</x:v>
      </x:c>
      <x:c r="G13" s="508" t="str">
        <x:v>ISO29119 + evidencia</x:v>
      </x:c>
      <x:c r="H13" s="508" t="str">
        <x:v>Anexo 07 2.5/6</x:v>
      </x:c>
      <x:c r="I13" s="509" t="str">
        <x:v>Métricas científicas</x:v>
      </x:c>
    </x:row>
    <x:row r="14">
      <x:c r="A14" s="492" t="str">
        <x:v>Evidencias críticas</x:v>
      </x:c>
      <x:c r="B14" s="519" t="n">
        <x:f>COUNTA(CATALOGO_EVIDENCIAS!A5:A19)</x:f>
        <x:v>15</x:v>
      </x:c>
      <x:c r="D14" s="507" t="str">
        <x:v>DESPLIEGUE_MONITOREO</x:v>
      </x:c>
      <x:c r="E14" s="508" t="str">
        <x:v>¿Dónde corre y cómo se observa/recupera?</x:v>
      </x:c>
      <x:c r="F14" s="508" t="str">
        <x:v>Local/nube + monitoreo</x:v>
      </x:c>
      <x:c r="G14" s="508" t="str">
        <x:v>DevOps/health/logs/backup</x:v>
      </x:c>
      <x:c r="H14" s="508" t="str">
        <x:v>Anexo 07 7/8/9</x:v>
      </x:c>
      <x:c r="I14" s="509" t="str">
        <x:v>Arquitectura lógica</x:v>
      </x:c>
    </x:row>
    <x:row r="15">
      <x:c r="D15" s="507" t="str">
        <x:v>MANTENIMIENTO_CAMBIOS</x:v>
      </x:c>
      <x:c r="E15" s="508" t="str">
        <x:v>Si falla X, ¿dónde recurro?</x:v>
      </x:c>
      <x:c r="F15" s="508" t="str">
        <x:v>19 escenarios cambio-impacto</x:v>
      </x:c>
      <x:c r="G15" s="508" t="str">
        <x:v>Responder ejemplo login/notas/ML/schema</x:v>
      </x:c>
      <x:c r="H15" s="508" t="str">
        <x:v>APUNTES + 9.2/9.4</x:v>
      </x:c>
      <x:c r="I15" s="509" t="str">
        <x:v>Backlog</x:v>
      </x:c>
    </x:row>
    <x:row r="16">
      <x:c r="D16" s="507" t="str">
        <x:v>COBERTURA_ANEXO07</x:v>
      </x:c>
      <x:c r="E16" s="508" t="str">
        <x:v>¿Qué punto metodológico cubre cada matriz?</x:v>
      </x:c>
      <x:c r="F16" s="508" t="str">
        <x:v>1.1–9.4</x:v>
      </x:c>
      <x:c r="G16" s="508" t="str">
        <x:v>Control de completitud</x:v>
      </x:c>
      <x:c r="H16" s="508" t="str">
        <x:v>Anexo 07</x:v>
      </x:c>
      <x:c r="I16" s="509" t="str">
        <x:v>Contenido detallado</x:v>
      </x:c>
    </x:row>
    <x:row r="17">
      <x:c r="D17" s="507" t="str">
        <x:v>CATALOGO_EVIDENCIAS</x:v>
      </x:c>
      <x:c r="E17" s="508" t="str">
        <x:v>¿Qué tengo que mostrar como prueba?</x:v>
      </x:c>
      <x:c r="F17" s="508" t="str">
        <x:v>15 evidencias críticas</x:v>
      </x:c>
      <x:c r="G17" s="508" t="str">
        <x:v>Sustentación y cierre verificable</x:v>
      </x:c>
      <x:c r="H17" s="508" t="str">
        <x:v>Anexo 07 10.3 + V5</x:v>
      </x:c>
      <x:c r="I17" s="509" t="str">
        <x:v>Resultado científico no ejecutado</x:v>
      </x:c>
    </x:row>
    <x:row r="18">
      <x:c r="D18" s="507" t="str">
        <x:v>LECTURA_ISO_Y_MANTENIMIENTO</x:v>
      </x:c>
      <x:c r="E18" s="508" t="str">
        <x:v>¿Cómo interpretar ISO y símbolos?</x:v>
      </x:c>
      <x:c r="F18" s="508" t="str">
        <x:v>Guía conceptual</x:v>
      </x:c>
      <x:c r="G18" s="508" t="str">
        <x:v>Explicar la lógica del libro</x:v>
      </x:c>
      <x:c r="H18" s="508" t="str">
        <x:v>APUNTES/Anexo</x:v>
      </x:c>
      <x:c r="I18" s="509" t="str">
        <x:v>Matriz de datos</x:v>
      </x:c>
    </x:row>
    <x:row r="19">
      <x:c r="D19" s="510" t="str">
        <x:v>FUENTES</x:v>
      </x:c>
      <x:c r="E19" s="511" t="str">
        <x:v>¿De dónde sale cada criterio?</x:v>
      </x:c>
      <x:c r="F19" s="511" t="str">
        <x:v>Documentos, código y normas</x:v>
      </x:c>
      <x:c r="G19" s="511" t="str">
        <x:v>Defender trazabilidad documental</x:v>
      </x:c>
      <x:c r="H19" s="511" t="str">
        <x:v>Todas</x:v>
      </x:c>
      <x:c r="I19" s="512" t="str">
        <x:v>Bibliografía de tesis completa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db9192f86a914089"/>
</x:worksheet>
</file>