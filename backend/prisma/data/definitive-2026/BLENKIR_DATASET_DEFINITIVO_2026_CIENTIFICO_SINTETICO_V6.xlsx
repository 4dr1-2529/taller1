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.xml" ContentType="application/vnd.openxmlformats-officedocument.spreadsheetml.table+xml"/>
  <Override PartName="/xl/worksheets/sheet20.xml" ContentType="application/vnd.openxmlformats-officedocument.spreadsheetml.worksheet+xml"/>
  <Override PartName="/xl/tables/table2.xml" ContentType="application/vnd.openxmlformats-officedocument.spreadsheetml.table+xml"/>
  <Override PartName="/xl/worksheets/sheet21.xml" ContentType="application/vnd.openxmlformats-officedocument.spreadsheetml.worksheet+xml"/>
  <Override PartName="/xl/tables/table3.xml" ContentType="application/vnd.openxmlformats-officedocument.spreadsheetml.table+xml"/>
  <Override PartName="/xl/worksheets/sheet22.xml" ContentType="application/vnd.openxmlformats-officedocument.spreadsheetml.worksheet+xml"/>
  <Override PartName="/xl/tables/table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282aed0f2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6a1a0293d54656"/>
    <x:sheet xmlns:r="http://schemas.openxmlformats.org/officeDocument/2006/relationships" name="Resumen" sheetId="2" r:id="Rf2806946976046e8"/>
    <x:sheet xmlns:r="http://schemas.openxmlformats.org/officeDocument/2006/relationships" name="Director" sheetId="3" r:id="R8d8e5e84c87d4474"/>
    <x:sheet xmlns:r="http://schemas.openxmlformats.org/officeDocument/2006/relationships" name="Profesores" sheetId="4" r:id="R413a1d63fdf04730"/>
    <x:sheet xmlns:r="http://schemas.openxmlformats.org/officeDocument/2006/relationships" name="Estudiantes250" sheetId="5" r:id="R5656bd5a27694ac3"/>
    <x:sheet xmlns:r="http://schemas.openxmlformats.org/officeDocument/2006/relationships" name="Secciones" sheetId="6" r:id="R678c424636fc436e"/>
    <x:sheet xmlns:r="http://schemas.openxmlformats.org/officeDocument/2006/relationships" name="CatalogoCursos" sheetId="7" r:id="R7036e2be257f4281"/>
    <x:sheet xmlns:r="http://schemas.openxmlformats.org/officeDocument/2006/relationships" name="OfertaPlan" sheetId="8" r:id="Rb4e1b42cda3d4958"/>
    <x:sheet xmlns:r="http://schemas.openxmlformats.org/officeDocument/2006/relationships" name="AsignacionesPlan" sheetId="9" r:id="R78b0bb1c46a24d6c"/>
    <x:sheet xmlns:r="http://schemas.openxmlformats.org/officeDocument/2006/relationships" name="TutoresPlan" sheetId="10" r:id="R58b9daa15a444862"/>
    <x:sheet xmlns:r="http://schemas.openxmlformats.org/officeDocument/2006/relationships" name="GeneracionRelacional" sheetId="11" r:id="R07f62156dfaa4f7e"/>
    <x:sheet xmlns:r="http://schemas.openxmlformats.org/officeDocument/2006/relationships" name="MLFeatures" sheetId="12" r:id="R1c6debc70ce64f39"/>
    <x:sheet xmlns:r="http://schemas.openxmlformats.org/officeDocument/2006/relationships" name="ImportConfig" sheetId="13" r:id="Rcc0c3fc348db4a30"/>
    <x:sheet xmlns:r="http://schemas.openxmlformats.org/officeDocument/2006/relationships" name="MapeoPrisma" sheetId="14" r:id="R9e08ec81da6c4288"/>
    <x:sheet xmlns:r="http://schemas.openxmlformats.org/officeDocument/2006/relationships" name="Fuentes" sheetId="15" r:id="R48287c2acf084ca3"/>
    <x:sheet xmlns:r="http://schemas.openxmlformats.org/officeDocument/2006/relationships" name="Usuarios" sheetId="16" r:id="Re6c9b6a07a384197"/>
    <x:sheet xmlns:r="http://schemas.openxmlformats.org/officeDocument/2006/relationships" name="CorrelativosFinales" sheetId="17" r:id="R7c0f0536772d4dba"/>
    <x:sheet xmlns:r="http://schemas.openxmlformats.org/officeDocument/2006/relationships" name="AuditoriaCorrecciones" sheetId="18" r:id="Rf1ec17ef1a684135"/>
    <x:sheet xmlns:r="http://schemas.openxmlformats.org/officeDocument/2006/relationships" name="ML_V6_Dataset" sheetId="19" r:id="R4ed94f45bafd41ed"/>
    <x:sheet xmlns:r="http://schemas.openxmlformats.org/officeDocument/2006/relationships" name="ML_V6_Outcome" sheetId="20" r:id="R808a1743650c435c"/>
    <x:sheet xmlns:r="http://schemas.openxmlformats.org/officeDocument/2006/relationships" name="ML_V6_Splits" sheetId="21" r:id="R7fd86fd59f3342c3"/>
    <x:sheet xmlns:r="http://schemas.openxmlformats.org/officeDocument/2006/relationships" name="ML_V6_Inferencia" sheetId="22" r:id="R728bfb9ab4f340a9"/>
    <x:sheet xmlns:r="http://schemas.openxmlformats.org/officeDocument/2006/relationships" name="ML_V6_Parametros" sheetId="23" r:id="Rfafcdef57e994e47"/>
    <x:sheet xmlns:r="http://schemas.openxmlformats.org/officeDocument/2006/relationships" name="ML_V6_Diccionario" sheetId="24" r:id="Rb9e3b22804e24bb6"/>
    <x:sheet xmlns:r="http://schemas.openxmlformats.org/officeDocument/2006/relationships" name="ML_V6_Calidad" sheetId="25" r:id="Rcf784515a282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000"/>
    <x:numFmt numFmtId="203" formatCode="0.0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sz val="9"/>
      <x:color rgb="FF102A4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02A43"/>
      </x:patternFill>
    </x:fill>
    <x:fill>
      <x:patternFill patternType="solid">
        <x:fgColor rgb="FFEAF1F7"/>
      </x:patternFill>
    </x:fill>
    <x:fill>
      <x:patternFill patternType="solid">
        <x:fgColor rgb="FF244A6B"/>
      </x:patternFill>
    </x:fill>
  </x:fills>
  <x:borders count="1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xfId="0" applyNumberFormat="1" applyFont="1" applyFill="1" applyBorder="0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7" fillId="16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horizont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8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xfId="0" applyNumberFormat="1" applyFont="1" applyFill="1" applyBorder="0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9" xfId="0" applyNumberFormat="1" applyFont="1" applyFill="1" applyBorder="1"/>
    <x:xf numFmtId="0" fontId="8" fillId="0" borderId="7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xfId="0" applyNumberFormat="1" applyFont="1" applyFill="1" applyBorder="0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xfId="0" applyNumberFormat="1" applyFont="1" applyFill="1" applyBorder="0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201" fontId="8" fillId="0" borderId="8" xfId="0" applyNumberFormat="1" applyFont="1" applyFill="1" applyBorder="1" applyAlignment="1">
      <x:alignment vertical="top" wrapText="1"/>
    </x:xf>
    <x:xf numFmtId="201" fontId="8" fillId="0" xfId="0" applyNumberFormat="1" applyFont="1" applyFill="1" applyBorder="0" applyAlignment="1">
      <x:alignment vertical="top" wrapText="1"/>
    </x:xf>
    <x:xf numFmtId="201" fontId="8" fillId="0" borderId="9" xfId="0" applyNumberFormat="1" applyFont="1" applyFill="1" applyBorder="1" applyAlignment="1">
      <x:alignment vertical="top" wrapText="1"/>
    </x:xf>
    <x:xf numFmtId="202" fontId="8" fillId="0" borderId="8" xfId="0" applyNumberFormat="1" applyFont="1" applyFill="1" applyBorder="1" applyAlignment="1">
      <x:alignment vertical="top" wrapText="1"/>
    </x:xf>
    <x:xf numFmtId="202" fontId="8" fillId="0" xfId="0" applyNumberFormat="1" applyFont="1" applyFill="1" applyBorder="0" applyAlignment="1">
      <x:alignment vertical="top" wrapText="1"/>
    </x:xf>
    <x:xf numFmtId="202" fontId="8" fillId="0" borderId="9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xfId="0" applyNumberFormat="1" applyFont="1" applyFill="1" applyBorder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6" borderId="0" xfId="0" applyNumberFormat="1" applyFont="1" applyFill="1" applyBorder="1"/>
    <x:xf numFmtId="203" fontId="0" fillId="0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C53030"/>
      </x:font>
      <x:fill>
        <x:patternFill patternType="solid">
          <x:bgColor rgb="FFFDE2E2"/>
        </x:patternFill>
      </x:fill>
    </x:dxf>
    <x:dxf>
      <x:font>
        <x:color rgb="FF2F855A"/>
      </x:font>
      <x:fill>
        <x:patternFill patternType="solid">
          <x:bgColor rgb="FFE4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385273f1c431f" /><Relationship Type="http://schemas.openxmlformats.org/officeDocument/2006/relationships/theme" Target="/xl/theme/theme1.xml" Id="R3174a35883b34893" /><Relationship Type="http://schemas.microsoft.com/office/2022/11/relationships/FeaturePropertyBag" Target="/xl/featurePropertyBag/featurePropertyBag.xml" Id="Rf0e3a3d56af14236" /><Relationship Type="http://schemas.openxmlformats.org/officeDocument/2006/relationships/sharedStrings" Target="/xl/sharedStrings.xml" Id="R548eb6562ede41d3" /><Relationship Type="http://schemas.openxmlformats.org/officeDocument/2006/relationships/worksheet" Target="/xl/worksheets/sheet1.xml" Id="Rd56a1a0293d54656" /><Relationship Type="http://schemas.openxmlformats.org/officeDocument/2006/relationships/worksheet" Target="/xl/worksheets/sheet2.xml" Id="Rf2806946976046e8" /><Relationship Type="http://schemas.openxmlformats.org/officeDocument/2006/relationships/worksheet" Target="/xl/worksheets/sheet3.xml" Id="R8d8e5e84c87d4474" /><Relationship Type="http://schemas.openxmlformats.org/officeDocument/2006/relationships/worksheet" Target="/xl/worksheets/sheet4.xml" Id="R413a1d63fdf04730" /><Relationship Type="http://schemas.openxmlformats.org/officeDocument/2006/relationships/worksheet" Target="/xl/worksheets/sheet5.xml" Id="R5656bd5a27694ac3" /><Relationship Type="http://schemas.openxmlformats.org/officeDocument/2006/relationships/worksheet" Target="/xl/worksheets/sheet6.xml" Id="R678c424636fc436e" /><Relationship Type="http://schemas.openxmlformats.org/officeDocument/2006/relationships/worksheet" Target="/xl/worksheets/sheet7.xml" Id="R7036e2be257f4281" /><Relationship Type="http://schemas.openxmlformats.org/officeDocument/2006/relationships/worksheet" Target="/xl/worksheets/sheet8.xml" Id="Rb4e1b42cda3d4958" /><Relationship Type="http://schemas.openxmlformats.org/officeDocument/2006/relationships/worksheet" Target="/xl/worksheets/sheet9.xml" Id="R78b0bb1c46a24d6c" /><Relationship Type="http://schemas.openxmlformats.org/officeDocument/2006/relationships/worksheet" Target="/xl/worksheets/sheet10.xml" Id="R58b9daa15a444862" /><Relationship Type="http://schemas.openxmlformats.org/officeDocument/2006/relationships/worksheet" Target="/xl/worksheets/sheet11.xml" Id="R07f62156dfaa4f7e" /><Relationship Type="http://schemas.openxmlformats.org/officeDocument/2006/relationships/worksheet" Target="/xl/worksheets/sheet12.xml" Id="R1c6debc70ce64f39" /><Relationship Type="http://schemas.openxmlformats.org/officeDocument/2006/relationships/worksheet" Target="/xl/worksheets/sheet13.xml" Id="Rcc0c3fc348db4a30" /><Relationship Type="http://schemas.openxmlformats.org/officeDocument/2006/relationships/worksheet" Target="/xl/worksheets/sheet14.xml" Id="R9e08ec81da6c4288" /><Relationship Type="http://schemas.openxmlformats.org/officeDocument/2006/relationships/worksheet" Target="/xl/worksheets/sheet15.xml" Id="R48287c2acf084ca3" /><Relationship Type="http://schemas.openxmlformats.org/officeDocument/2006/relationships/worksheet" Target="/xl/worksheets/sheet16.xml" Id="Re6c9b6a07a384197" /><Relationship Type="http://schemas.openxmlformats.org/officeDocument/2006/relationships/worksheet" Target="/xl/worksheets/sheet17.xml" Id="R7c0f0536772d4dba" /><Relationship Type="http://schemas.openxmlformats.org/officeDocument/2006/relationships/worksheet" Target="/xl/worksheets/sheet18.xml" Id="Rf1ec17ef1a684135" /><Relationship Type="http://schemas.openxmlformats.org/officeDocument/2006/relationships/worksheet" Target="/xl/worksheets/sheet19.xml" Id="R4ed94f45bafd41ed" /><Relationship Type="http://schemas.openxmlformats.org/officeDocument/2006/relationships/worksheet" Target="/xl/worksheets/sheet20.xml" Id="R808a1743650c435c" /><Relationship Type="http://schemas.openxmlformats.org/officeDocument/2006/relationships/worksheet" Target="/xl/worksheets/sheet21.xml" Id="R7fd86fd59f3342c3" /><Relationship Type="http://schemas.openxmlformats.org/officeDocument/2006/relationships/worksheet" Target="/xl/worksheets/sheet22.xml" Id="R728bfb9ab4f340a9" /><Relationship Type="http://schemas.openxmlformats.org/officeDocument/2006/relationships/worksheet" Target="/xl/worksheets/sheet23.xml" Id="Rfafcdef57e994e47" /><Relationship Type="http://schemas.openxmlformats.org/officeDocument/2006/relationships/worksheet" Target="/xl/worksheets/sheet24.xml" Id="Rb9e3b22804e24bb6" /><Relationship Type="http://schemas.openxmlformats.org/officeDocument/2006/relationships/worksheet" Target="/xl/worksheets/sheet25.xml" Id="Rcf784515a28249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c4d4f2655647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V6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Estudiantes</c:v>
          </c:tx>
          <c:cat>
            <c:strRef>
              <c:f>'ML_V6_Calidad'!$D$5:$D$7</c:f>
              <c:strCache>
                <c:ptCount val="0"/>
              </c:strCache>
            </c:strRef>
          </c:cat>
          <c:val>
            <c:numRef>
              <c:f>'ML_V6_Calidad'!$E$5:$E$7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c4d4f26556472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LV6Dataset" displayName="MLV6Dataset" ref="A4:R454" headerRowCount="1" totalsRowCount="0" totalsRowShown="0">
  <x:tableColumns count="18">
    <x:tableColumn id="1" name="student_code"/>
    <x:tableColumn id="2" name="snapshot_id"/>
    <x:tableColumn id="3" name="cutoff_date"/>
    <x:tableColumn id="4" name="outcome_date"/>
    <x:tableColumn id="5" name="grado"/>
    <x:tableColumn id="6" name="seccion_codigo"/>
    <x:tableColumn id="7" name="promedio_general"/>
    <x:tableColumn id="8" name="cursos_desaprobados"/>
    <x:tableColumn id="9" name="asistencia_general"/>
    <x:tableColumn id="10" name="frecuencia_acceso_lms"/>
    <x:tableColumn id="11" name="tiempo_interaccion_lms"/>
    <x:tableColumn id="12" name="actividades_realizadas"/>
    <x:tableColumn id="13" name="recursos_consultados"/>
    <x:tableColumn id="14" name="target_desercion"/>
    <x:tableColumn id="15" name="target_label"/>
    <x:tableColumn id="16" name="split"/>
    <x:tableColumn id="17" name="data_mode"/>
    <x:tableColumn id="18" name="dataset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LV6Outcome" displayName="MLV6Outcome" ref="A4:K254" headerRowCount="1" totalsRowCount="0" totalsRowShown="0">
  <x:tableColumns count="11">
    <x:tableColumn id="1" name="student_code"/>
    <x:tableColumn id="2" name="grado"/>
    <x:tableColumn id="3" name="seccion_codigo"/>
    <x:tableColumn id="4" name="estado_elegibilidad"/>
    <x:tableColumn id="5" name="outcome_date"/>
    <x:tableColumn id="6" name="target_desercion"/>
    <x:tableColumn id="7" name="target_label"/>
    <x:tableColumn id="8" name="prob_generador"/>
    <x:tableColumn id="9" name="score_generador"/>
    <x:tableColumn id="10" name="split"/>
    <x:tableColumn id="11" name="regl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LV6Splits" displayName="MLV6Splits" ref="A4:E229" headerRowCount="1" totalsRowCount="0" totalsRowShown="0">
  <x:tableColumns count="5">
    <x:tableColumn id="1" name="student_code"/>
    <x:tableColumn id="2" name="target_desercion"/>
    <x:tableColumn id="3" name="target_label"/>
    <x:tableColumn id="4" name="split"/>
    <x:tableColumn id="5" name="estrateg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LV6Inference" displayName="MLV6Inference" ref="A4:M254" headerRowCount="1" totalsRowCount="0" totalsRowShown="0">
  <x:tableColumns count="13">
    <x:tableColumn id="1" name="student_code"/>
    <x:tableColumn id="2" name="cutoff_date"/>
    <x:tableColumn id="3" name="grado"/>
    <x:tableColumn id="4" name="seccion_codigo"/>
    <x:tableColumn id="5" name="promedio_general"/>
    <x:tableColumn id="6" name="cursos_desaprobados"/>
    <x:tableColumn id="7" name="asistencia_general"/>
    <x:tableColumn id="8" name="frecuencia_acceso_lms"/>
    <x:tableColumn id="9" name="tiempo_interaccion_lms"/>
    <x:tableColumn id="10" name="actividades_realizadas"/>
    <x:tableColumn id="11" name="recursos_consultados"/>
    <x:tableColumn id="12" name="eligible_predict"/>
    <x:tableColumn id="13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.xml" Id="Rb9d657f7d7484b9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.xml" Id="R29119294261b4fc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3.xml" Id="R8d5f0bf81fe74a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4.xml" Id="R7df954e0f464407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1.xml" Id="Re43afa59875c4b8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4" t="str">
        <x:v>BLENKIR — DATA SEED V6 — OPERATIVO + CIENTÍFICO-SINTÉTICO</x:v>
      </x:c>
    </x:row>
    <x:row r="3">
      <x:c r="A3" s="56" t="str">
        <x:v>Dataset ID</x:v>
      </x:c>
      <x:c r="B3" s="13" t="str">
        <x:v>BLENKIR_DATA_SEED_V6_250</x:v>
      </x:c>
    </x:row>
    <x:row r="4">
      <x:c r="A4" s="56" t="str">
        <x:v>Versión</x:v>
      </x:c>
      <x:c r="B4" s="13" t="str">
        <x:v>6.0-synthetic-scientific-twin</x:v>
      </x:c>
    </x:row>
    <x:row r="5">
      <x:c r="A5" s="56" t="str">
        <x:v>Corte temporal</x:v>
      </x:c>
      <x:c r="B5" s="13" t="str">
        <x:v>2026-09-21</x:v>
      </x:c>
    </x:row>
    <x:row r="6">
      <x:c r="A6" s="56" t="str">
        <x:v>Semilla</x:v>
      </x:c>
      <x:c r="B6" s="13" t="n">
        <x:v>20260924</x:v>
      </x:c>
    </x:row>
    <x:row r="7">
      <x:c r="A7" s="56" t="str">
        <x:v>Naturaleza</x:v>
      </x:c>
      <x:c r="B7" s="13" t="str">
        <x:v>Base operativa sintética heredada de V5 + capa científico-sintética V6 separada. No representa personas ni registros institucionales reales y NO valida hipótesis científicas.</x:v>
      </x:c>
    </x:row>
    <x:row r="8">
      <x:c r="A8" s="56" t="str">
        <x:v>Población</x:v>
      </x:c>
      <x:c r="B8" s="13" t="str">
        <x:v>250 estudiantes + 24 profesores + 1 Director = 275 usuarios</x:v>
      </x:c>
    </x:row>
    <x:row r="9">
      <x:c r="A9" s="56" t="str">
        <x:v>Estado de cuentas</x:v>
      </x:c>
      <x:c r="B9" s="13" t="str">
        <x:v>Retiro/traslado NO desactiva User/Student; matrícula e inscripciones sí cambian.</x:v>
      </x:c>
    </x:row>
    <x:row r="10">
      <x:c r="A10" s="56" t="str">
        <x:v>Docencia</x:v>
      </x:c>
      <x:c r="B10" s="13" t="str">
        <x:v>Regla backend vigente: 1°–2° tutor de aula (8 TutorSeccion; todos sus cursos esTutor=true). 3°–6° polidocencia (esTutor=false).</x:v>
      </x:c>
    </x:row>
    <x:row r="11">
      <x:c r="A11" s="56" t="str">
        <x:v>Contraseñas</x:v>
      </x:c>
      <x:c r="B11" s="13" t="str">
        <x:v>No incluidas; variables de entorno + bcrypt cost 12.</x:v>
      </x:c>
    </x:row>
    <x:row r="12">
      <x:c r="A12" s="56" t="str">
        <x:v>Datos personales</x:v>
      </x:c>
      <x:c r="B12" s="13" t="str">
        <x:v>DNI y teléfonos sintéticos, únicos y con formato compatible. Son datos ficticios de demostración: no representan personas reales, no se verifican con RENIEC y no deben usarse para contacto.</x:v>
      </x:c>
    </x:row>
    <x:row r="13">
      <x:c r="A13" s="56" t="str">
        <x:v>ML</x:v>
      </x:c>
      <x:c r="B13" s="13" t="str">
        <x:v>V6 incorpora un gemelo científico-sintético: 7 features canónicas, target binario permanencia/deserción, 2 snapshots temporales, split por estudiante y artefactos separados. Prediction sigue en 0 al importar la base operativa.</x:v>
      </x:c>
    </x:row>
    <x:row r="14">
      <x:c r="A14" s="56" t="str">
        <x:v>Railway</x:v>
      </x:c>
      <x:c r="B14" s="13" t="str">
        <x:v>Importar solo sobre PRESEED_ZERO_OK y actualizar correlativos al final.</x:v>
      </x:c>
    </x:row>
    <x:row r="15">
      <x:c r="A15" s="56" t="str">
        <x:v>Vercel</x:v>
      </x:c>
      <x:c r="B15" s="13" t="str">
        <x:v>El frontend consulta al backend Railway por API; el Excel no se carga a Vercel.</x:v>
      </x:c>
    </x:row>
    <x:row r="16">
      <x:c r="A16" s="56" t="str">
        <x:v>Ruta VS Code</x:v>
      </x:c>
      <x:c r="B16" s="13" t="str">
        <x:v>backend/prisma/data/definitive-2026/BLENKIR_DATASET_DEFINITIVO_2026_CIENTIFICO_SINTETICO_V6.xlsx</x:v>
      </x:c>
    </x:row>
    <x:row r="17">
      <x:c r="A17" s="67" t="str">
        <x:v>AcademicHistory</x:v>
      </x:c>
      <x:c r="B17" s="13" t="str">
        <x:v>725 filas: 250 I Bimestre + 250 II Bimestre + 225 III Bimestre. Los 25 estudiantes sin notas B3 no reciben historial B3; no usar promedio 0 como sustituto de 'sin datos'.</x:v>
      </x:c>
    </x:row>
    <x:row r="18">
      <x:c r="A18" s="86" t="str">
        <x:v>ML V6 — elegibilidad</x:v>
      </x:c>
      <x:c r="B18" s="81" t="str">
        <x:v>225 estudiantes con matrícula activa al corte 2026-09-21. Los 15 retirados pre-corte y 10 trasladados quedan fuera del entrenamiento.</x:v>
      </x:c>
    </x:row>
    <x:row r="19">
      <x:c r="A19" s="87" t="str">
        <x:v>ML V6 — snapshots</x:v>
      </x:c>
      <x:c r="B19" s="83" t="str">
        <x:v>450 filas = 225 estudiantes × 2 cortes (2026-07-31 y 2026-09-21).</x:v>
      </x:c>
    </x:row>
    <x:row r="20">
      <x:c r="A20" s="87" t="str">
        <x:v>ML V6 — target</x:v>
      </x:c>
      <x:c r="B20" s="83" t="str">
        <x:v>target_desercion: 0=permanece, 1=deserta; observado sintéticamente a 2026-12-15. Bajo/medio/alto NO es el target.</x:v>
      </x:c>
    </x:row>
    <x:row r="21">
      <x:c r="A21" s="87" t="str">
        <x:v>ML V6 — split</x:v>
      </x:c>
      <x:c r="B21" s="83" t="str">
        <x:v>Asignación por student_code: train / validation / holdout. El mismo estudiante nunca cruza splits.</x:v>
      </x:c>
    </x:row>
    <x:row r="22">
      <x:c r="A22" s="87" t="str">
        <x:v>ML V6 — trazabilidad</x:v>
      </x:c>
      <x:c r="B22" s="83" t="str">
        <x:v>prob_generador y score_generador son SOLO auditoría del generador y deben excluirse del entrenamiento.</x:v>
      </x:c>
    </x:row>
    <x:row r="23">
      <x:c r="A23" s="88" t="str">
        <x:v>Uso futuro</x:v>
      </x:c>
      <x:c r="B23" s="85" t="str">
        <x:v>Cuando llegue el dataset institucional real se reemplaza la fuente, manteniendo contrato de 7 features, feature builder, pipeline, API y visualización.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76" hidden="0" customWidth="1"/>
  </x:cols>
  <x:sheetData>
    <x:row r="1">
      <x:c r="A1" s="59" t="str">
        <x:v>Resumen auditado — BLENKIR V6 operativo + científico-sintético</x:v>
      </x:c>
    </x:row>
    <x:row r="3">
      <x:c r="A3" s="60" t="str">
        <x:v>Control</x:v>
      </x:c>
      <x:c r="B3" s="60" t="str">
        <x:v>Valor</x:v>
      </x:c>
      <x:c r="C3" s="60" t="str">
        <x:v>Estado</x:v>
      </x:c>
      <x:c r="D3" s="60" t="str">
        <x:v>Detalle</x:v>
      </x:c>
    </x:row>
    <x:row r="4">
      <x:c r="A4" t="str">
        <x:v>Usuarios</x:v>
      </x:c>
      <x:c r="B4" t="n">
        <x:v>275</x:v>
      </x:c>
      <x:c r="C4" t="str">
        <x:v>OK</x:v>
      </x:c>
      <x:c r="D4" t="str">
        <x:v>1 Director + 24 profesores + 250 estudiantes</x:v>
      </x:c>
    </x:row>
    <x:row r="5">
      <x:c r="A5" t="str">
        <x:v>Estudiantes</x:v>
      </x:c>
      <x:c r="B5" t="n">
        <x:v>250</x:v>
      </x:c>
      <x:c r="C5" t="str">
        <x:v>OK</x:v>
      </x:c>
      <x:c r="D5" t="str">
        <x:v>225 matrícula activa / 15 retirada / 10 trasladada</x:v>
      </x:c>
    </x:row>
    <x:row r="6">
      <x:c r="A6" t="str">
        <x:v>Secciones</x:v>
      </x:c>
      <x:c r="B6" t="n">
        <x:v>22</x:v>
      </x:c>
      <x:c r="C6" t="str">
        <x:v>OK</x:v>
      </x:c>
      <x:c r="D6" t="str">
        <x:v>Distribución 46/46/46/46/33/33, capacidad 30</x:v>
      </x:c>
    </x:row>
    <x:row r="7">
      <x:c r="A7" t="str">
        <x:v>OfertaCursos</x:v>
      </x:c>
      <x:c r="B7" t="n">
        <x:v>328</x:v>
      </x:c>
      <x:c r="C7" t="str">
        <x:v>OK</x:v>
      </x:c>
      <x:c r="D7" t="str">
        <x:v>104 1°–2° + 224 3°–6°</x:v>
      </x:c>
    </x:row>
    <x:row r="8">
      <x:c r="A8" t="str">
        <x:v>Asignaciones</x:v>
      </x:c>
      <x:c r="B8" t="n">
        <x:v>328</x:v>
      </x:c>
      <x:c r="C8" t="str">
        <x:v>OK</x:v>
      </x:c>
      <x:c r="D8" t="str">
        <x:v>Especialistas: 2 cursos / 7 secciones</x:v>
      </x:c>
    </x:row>
    <x:row r="9">
      <x:c r="A9" t="str">
        <x:v>Tutores</x:v>
      </x:c>
      <x:c r="B9" t="n">
        <x:v>8</x:v>
      </x:c>
      <x:c r="C9" t="str">
        <x:v>OK</x:v>
      </x:c>
      <x:c r="D9" t="str">
        <x:v>TutorSeccion solo en 1°–2°; 104 asignaciones de esos grados llevan esTutor=true. En 3°–6° esTutor=false.</x:v>
      </x:c>
    </x:row>
    <x:row r="10">
      <x:c r="A10" t="str">
        <x:v>Inscripciones objetivo</x:v>
      </x:c>
      <x:c r="B10" t="n">
        <x:v>3724</x:v>
      </x:c>
      <x:c r="C10" t="str">
        <x:v>OK</x:v>
      </x:c>
      <x:c r="D10" t="str">
        <x:v>3354 activas / 370 retiradas</x:v>
      </x:c>
    </x:row>
    <x:row r="11">
      <x:c r="A11" t="str">
        <x:v>Notas objetivo</x:v>
      </x:c>
      <x:c r="B11" t="n">
        <x:v>10209</x:v>
      </x:c>
      <x:c r="C11" t="str">
        <x:v>OK</x:v>
      </x:c>
      <x:c r="D11" t="str">
        <x:v>0–20; I-II + III parcial</x:v>
      </x:c>
    </x:row>
    <x:row r="12">
      <x:c r="A12" t="str">
        <x:v>Asistencia objetivo</x:v>
      </x:c>
      <x:c r="B12" t="n">
        <x:v>34950</x:v>
      </x:c>
      <x:c r="C12" t="str">
        <x:v>OK</x:v>
      </x:c>
      <x:c r="D12" t="str">
        <x:v>Justificadas excluidas del denominador</x:v>
      </x:c>
    </x:row>
    <x:row r="13">
      <x:c r="A13" t="str">
        <x:v>Recursos objetivo</x:v>
      </x:c>
      <x:c r="B13" t="n">
        <x:v>656</x:v>
      </x:c>
      <x:c r="C13" t="str">
        <x:v>OK</x:v>
      </x:c>
      <x:c r="D13" t="str">
        <x:v>2 por oferta</x:v>
      </x:c>
    </x:row>
    <x:row r="14">
      <x:c r="A14" t="str">
        <x:v>Actividades objetivo</x:v>
      </x:c>
      <x:c r="B14" t="n">
        <x:v>328</x:v>
      </x:c>
      <x:c r="C14" t="str">
        <x:v>OK</x:v>
      </x:c>
      <x:c r="D14" t="str">
        <x:v>1 por oferta</x:v>
      </x:c>
    </x:row>
    <x:row r="15">
      <x:c r="A15" t="str">
        <x:v>Progreso objetivo</x:v>
      </x:c>
      <x:c r="B15" t="n">
        <x:v>3354</x:v>
      </x:c>
      <x:c r="C15" t="str">
        <x:v>OK</x:v>
      </x:c>
      <x:c r="D15" t="str">
        <x:v>Una por inscripción activa</x:v>
      </x:c>
    </x:row>
    <x:row r="16">
      <x:c r="A16" t="str">
        <x:v>LMS objetivo</x:v>
      </x:c>
      <x:c r="B16" t="n">
        <x:v>4610</x:v>
      </x:c>
      <x:c r="C16" t="str">
        <x:v>OK</x:v>
      </x:c>
      <x:c r="D16" t="str">
        <x:v>Ventana 28 días</x:v>
      </x:c>
    </x:row>
    <x:row r="17">
      <x:c r="A17" t="str">
        <x:v>ML científico</x:v>
      </x:c>
      <x:c r="B17" t="n">
        <x:v>0</x:v>
      </x:c>
      <x:c r="C17" t="str">
        <x:v>OK</x:v>
      </x:c>
      <x:c r="D17" t="str">
        <x:v>No predicciones/modelos/métricas falsas</x:v>
      </x:c>
    </x:row>
    <x:row r="18">
      <x:c r="A18" t="str">
        <x:v>Correlativos finales</x:v>
      </x:c>
      <x:c r="B18" t="str">
        <x:v>250 / 24 / 250</x:v>
      </x:c>
      <x:c r="C18" t="str">
        <x:v>OK</x:v>
      </x:c>
      <x:c r="D18" t="str">
        <x:v>estudiante / profesor / matrícula</x:v>
      </x:c>
    </x:row>
    <x:row r="19">
      <x:c r="A19" s="13" t="str">
        <x:v>AcademicHistory objetivo</x:v>
      </x:c>
      <x:c r="B19" s="13" t="n">
        <x:v>725</x:v>
      </x:c>
      <x:c r="C19" s="13" t="str">
        <x:v>OK</x:v>
      </x:c>
      <x:c r="D19" s="13" t="str">
        <x:v>250 I + 250 II + 225 III; 25 sin notas B3 =&gt; sin historial B3</x:v>
      </x:c>
    </x:row>
    <x:row r="20">
      <x:c r="A20" s="80" t="str">
        <x:v>ML V6 elegibles</x:v>
      </x:c>
      <x:c r="B20" s="95" t="n">
        <x:v>225</x:v>
      </x:c>
      <x:c r="C20" s="95" t="str">
        <x:v>OK</x:v>
      </x:c>
      <x:c r="D20" s="81" t="str">
        <x:v>Solo estudiantes activos al corte 2026-09-21</x:v>
      </x:c>
    </x:row>
    <x:row r="21">
      <x:c r="A21" s="82" t="str">
        <x:v>ML V6 excluidos</x:v>
      </x:c>
      <x:c r="B21" s="96" t="n">
        <x:v>25</x:v>
      </x:c>
      <x:c r="C21" s="96" t="str">
        <x:v>OK</x:v>
      </x:c>
      <x:c r="D21" s="83" t="str">
        <x:v>15 retirados pre-corte + 10 trasladados/censurados</x:v>
      </x:c>
    </x:row>
    <x:row r="22">
      <x:c r="A22" s="82" t="str">
        <x:v>ML V6 snapshots</x:v>
      </x:c>
      <x:c r="B22" s="96" t="n">
        <x:v>450</x:v>
      </x:c>
      <x:c r="C22" s="96" t="str">
        <x:v>OK</x:v>
      </x:c>
      <x:c r="D22" s="83" t="str">
        <x:v>2 observaciones longitudinales por estudiante elegible</x:v>
      </x:c>
    </x:row>
    <x:row r="23">
      <x:c r="A23" s="82" t="str">
        <x:v>ML V6 target deserción</x:v>
      </x:c>
      <x:c r="B23" s="96" t="n">
        <x:v>47</x:v>
      </x:c>
      <x:c r="C23" s="96" t="str">
        <x:v>OK</x:v>
      </x:c>
      <x:c r="D23" s="83" t="str">
        <x:v>Prevalencia sintética 20.89%; NO evidencia institucional real</x:v>
      </x:c>
    </x:row>
    <x:row r="24">
      <x:c r="A24" s="82" t="str">
        <x:v>ML V6 permanencia</x:v>
      </x:c>
      <x:c r="B24" s="96" t="n">
        <x:v>178</x:v>
      </x:c>
      <x:c r="C24" s="96" t="str">
        <x:v>OK</x:v>
      </x:c>
      <x:c r="D24" s="83" t="str">
        <x:v>Target binario experimental</x:v>
      </x:c>
    </x:row>
    <x:row r="25">
      <x:c r="A25" s="82" t="str">
        <x:v>ML V6 splits</x:v>
      </x:c>
      <x:c r="B25" s="96" t="str">
        <x:v>158 / 34 / 33</x:v>
      </x:c>
      <x:c r="C25" s="96" t="str">
        <x:v>OK</x:v>
      </x:c>
      <x:c r="D25" s="83" t="str">
        <x:v>train / validation / holdout por estudiante</x:v>
      </x:c>
    </x:row>
    <x:row r="26">
      <x:c r="A26" s="84" t="str">
        <x:v>ML V6 modo</x:v>
      </x:c>
      <x:c r="B26" s="97" t="str">
        <x:v>synthetic_scientific</x:v>
      </x:c>
      <x:c r="C26" s="97" t="str">
        <x:v>OK</x:v>
      </x:c>
      <x:c r="D26" s="85" t="str">
        <x:v>Separado de futuros artefactos real_institutional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12" hidden="0" customWidth="1"/>
    <x:col min="7" max="7" width="10" hidden="0" customWidth="1"/>
    <x:col min="8" max="8" width="30" hidden="0" customWidth="1"/>
  </x:cols>
  <x:sheetData>
    <x:row r="1" ht="28" customHeight="1">
      <x:c r="A1" s="40" t="str">
        <x:v>email</x:v>
      </x:c>
      <x:c r="B1" s="40" t="str">
        <x:v>nombres</x:v>
      </x:c>
      <x:c r="C1" s="40" t="str">
        <x:v>apellidos</x:v>
      </x:c>
      <x:c r="D1" s="40" t="str">
        <x:v>dni_sintetico</x:v>
      </x:c>
      <x:c r="E1" s="40" t="str">
        <x:v>telefono_sintetico</x:v>
      </x:c>
      <x:c r="F1" s="40" t="str">
        <x:v>rol</x:v>
      </x:c>
      <x:c r="G1" s="40" t="str">
        <x:v>activo</x:v>
      </x:c>
      <x:c r="H1" s="40" t="str">
        <x:v>password_env</x:v>
      </x:c>
    </x:row>
    <x:row r="2">
      <x:c r="A2" t="str">
        <x:v>director@blenkir.edu.pe</x:v>
      </x:c>
      <x:c r="B2" t="str">
        <x:v>María Elena</x:v>
      </x:c>
      <x:c r="C2" t="str">
        <x:v>Ramos Salazar</x:v>
      </x:c>
      <x:c r="D2" t="str">
        <x:v>78111425</x:v>
      </x:c>
      <x:c r="E2" t="str">
        <x:v>950218999</x:v>
      </x:c>
      <x:c r="F2" t="str">
        <x:v>admin</x:v>
      </x:c>
      <x:c r="G2" s="24" t="b">
        <x:v>1</x:v>
      </x:c>
      <x:c r="H2" t="str">
        <x:v>DIRECTOR_INITIAL_PASSWORD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8" hidden="0" customWidth="1"/>
    <x:col min="5" max="5" width="32" hidden="0" customWidth="1"/>
    <x:col min="6" max="6" width="20" hidden="0" customWidth="1"/>
    <x:col min="7" max="7" width="34" hidden="0" customWidth="1"/>
    <x:col min="8" max="8" width="10" hidden="0" customWidth="1"/>
    <x:col min="9" max="9" width="30" hidden="0" customWidth="1"/>
  </x:cols>
  <x:sheetData>
    <x:row r="1" ht="28" customHeight="1">
      <x:c r="A1" s="40" t="str">
        <x:v>codigo</x:v>
      </x:c>
      <x:c r="B1" s="40" t="str">
        <x:v>nombres</x:v>
      </x:c>
      <x:c r="C1" s="40" t="str">
        <x:v>apellidos</x:v>
      </x:c>
      <x:c r="D1" s="40" t="str">
        <x:v>dni_sintetico</x:v>
      </x:c>
      <x:c r="E1" s="40" t="str">
        <x:v>email</x:v>
      </x:c>
      <x:c r="F1" s="40" t="str">
        <x:v>telefono_sintetico</x:v>
      </x:c>
      <x:c r="G1" s="40" t="str">
        <x:v>especialidad</x:v>
      </x:c>
      <x:c r="H1" s="40" t="str">
        <x:v>activo</x:v>
      </x:c>
      <x:c r="I1" s="40" t="str">
        <x:v>password_env</x:v>
      </x:c>
    </x:row>
    <x:row r="2">
      <x:c r="A2" t="str">
        <x:v>PROF-001</x:v>
      </x:c>
      <x:c r="B2" t="str">
        <x:v>Sebastián</x:v>
      </x:c>
      <x:c r="C2" t="str">
        <x:v>Córdova Navarro</x:v>
      </x:c>
      <x:c r="D2" t="str">
        <x:v>71233409</x:v>
      </x:c>
      <x:c r="E2" t="str">
        <x:v>prof001@blenkir.edu.pe</x:v>
      </x:c>
      <x:c r="F2" t="str">
        <x:v>955301831</x:v>
      </x:c>
      <x:c r="G2" t="str">
        <x:v>Educación Primaria — Tutor de aula</x:v>
      </x:c>
      <x:c r="H2" s="24" t="b">
        <x:v>1</x:v>
      </x:c>
      <x:c r="I2" t="str">
        <x:v>TEACHER_INITIAL_PASSWORD</x:v>
      </x:c>
    </x:row>
    <x:row r="3">
      <x:c r="A3" t="str">
        <x:v>PROF-002</x:v>
      </x:c>
      <x:c r="B3" t="str">
        <x:v>Daniela</x:v>
      </x:c>
      <x:c r="C3" t="str">
        <x:v>López Velásquez</x:v>
      </x:c>
      <x:c r="D3" t="str">
        <x:v>76390292</x:v>
      </x:c>
      <x:c r="E3" t="str">
        <x:v>prof002@blenkir.edu.pe</x:v>
      </x:c>
      <x:c r="F3" t="str">
        <x:v>916218471</x:v>
      </x:c>
      <x:c r="G3" t="str">
        <x:v>Educación Primaria — Tutor de aula</x:v>
      </x:c>
      <x:c r="H3" s="24" t="b">
        <x:v>1</x:v>
      </x:c>
      <x:c r="I3" t="str">
        <x:v>TEACHER_INITIAL_PASSWORD</x:v>
      </x:c>
    </x:row>
    <x:row r="4">
      <x:c r="A4" t="str">
        <x:v>PROF-003</x:v>
      </x:c>
      <x:c r="B4" t="str">
        <x:v>Luciana</x:v>
      </x:c>
      <x:c r="C4" t="str">
        <x:v>Rojas Córdova</x:v>
      </x:c>
      <x:c r="D4" t="str">
        <x:v>72609852</x:v>
      </x:c>
      <x:c r="E4" t="str">
        <x:v>prof003@blenkir.edu.pe</x:v>
      </x:c>
      <x:c r="F4" t="str">
        <x:v>905334971</x:v>
      </x:c>
      <x:c r="G4" t="str">
        <x:v>Educación Primaria — Tutor de aula</x:v>
      </x:c>
      <x:c r="H4" s="24" t="b">
        <x:v>1</x:v>
      </x:c>
      <x:c r="I4" t="str">
        <x:v>TEACHER_INITIAL_PASSWORD</x:v>
      </x:c>
    </x:row>
    <x:row r="5">
      <x:c r="A5" t="str">
        <x:v>PROF-004</x:v>
      </x:c>
      <x:c r="B5" t="str">
        <x:v>Romina</x:v>
      </x:c>
      <x:c r="C5" t="str">
        <x:v>Velásquez Paredes</x:v>
      </x:c>
      <x:c r="D5" t="str">
        <x:v>71525938</x:v>
      </x:c>
      <x:c r="E5" t="str">
        <x:v>prof004@blenkir.edu.pe</x:v>
      </x:c>
      <x:c r="F5" t="str">
        <x:v>970667349</x:v>
      </x:c>
      <x:c r="G5" t="str">
        <x:v>Educación Primaria — Tutor de aula</x:v>
      </x:c>
      <x:c r="H5" s="24" t="b">
        <x:v>1</x:v>
      </x:c>
      <x:c r="I5" t="str">
        <x:v>TEACHER_INITIAL_PASSWORD</x:v>
      </x:c>
    </x:row>
    <x:row r="6">
      <x:c r="A6" t="str">
        <x:v>PROF-005</x:v>
      </x:c>
      <x:c r="B6" t="str">
        <x:v>Adrián</x:v>
      </x:c>
      <x:c r="C6" t="str">
        <x:v>Carrasco Yupanqui</x:v>
      </x:c>
      <x:c r="D6" t="str">
        <x:v>75284779</x:v>
      </x:c>
      <x:c r="E6" t="str">
        <x:v>prof005@blenkir.edu.pe</x:v>
      </x:c>
      <x:c r="F6" t="str">
        <x:v>952368666</x:v>
      </x:c>
      <x:c r="G6" t="str">
        <x:v>Educación Primaria — Tutor de aula</x:v>
      </x:c>
      <x:c r="H6" s="24" t="b">
        <x:v>1</x:v>
      </x:c>
      <x:c r="I6" t="str">
        <x:v>TEACHER_INITIAL_PASSWORD</x:v>
      </x:c>
    </x:row>
    <x:row r="7">
      <x:c r="A7" t="str">
        <x:v>PROF-006</x:v>
      </x:c>
      <x:c r="B7" t="str">
        <x:v>David</x:v>
      </x:c>
      <x:c r="C7" t="str">
        <x:v>García Dávila</x:v>
      </x:c>
      <x:c r="D7" t="str">
        <x:v>82720483</x:v>
      </x:c>
      <x:c r="E7" t="str">
        <x:v>prof006@blenkir.edu.pe</x:v>
      </x:c>
      <x:c r="F7" t="str">
        <x:v>941729724</x:v>
      </x:c>
      <x:c r="G7" t="str">
        <x:v>Educación Primaria — Tutor de aula</x:v>
      </x:c>
      <x:c r="H7" s="24" t="b">
        <x:v>1</x:v>
      </x:c>
      <x:c r="I7" t="str">
        <x:v>TEACHER_INITIAL_PASSWORD</x:v>
      </x:c>
    </x:row>
    <x:row r="8">
      <x:c r="A8" t="str">
        <x:v>PROF-007</x:v>
      </x:c>
      <x:c r="B8" t="str">
        <x:v>Gonzalo</x:v>
      </x:c>
      <x:c r="C8" t="str">
        <x:v>Navarro Pérez</x:v>
      </x:c>
      <x:c r="D8" t="str">
        <x:v>81705488</x:v>
      </x:c>
      <x:c r="E8" t="str">
        <x:v>prof007@blenkir.edu.pe</x:v>
      </x:c>
      <x:c r="F8" t="str">
        <x:v>938330810</x:v>
      </x:c>
      <x:c r="G8" t="str">
        <x:v>Educación Primaria — Tutor de aula</x:v>
      </x:c>
      <x:c r="H8" s="24" t="b">
        <x:v>1</x:v>
      </x:c>
      <x:c r="I8" t="str">
        <x:v>TEACHER_INITIAL_PASSWORD</x:v>
      </x:c>
    </x:row>
    <x:row r="9">
      <x:c r="A9" t="str">
        <x:v>PROF-008</x:v>
      </x:c>
      <x:c r="B9" t="str">
        <x:v>Juan</x:v>
      </x:c>
      <x:c r="C9" t="str">
        <x:v>Soto Zúñiga</x:v>
      </x:c>
      <x:c r="D9" t="str">
        <x:v>76310773</x:v>
      </x:c>
      <x:c r="E9" t="str">
        <x:v>prof008@blenkir.edu.pe</x:v>
      </x:c>
      <x:c r="F9" t="str">
        <x:v>914530514</x:v>
      </x:c>
      <x:c r="G9" t="str">
        <x:v>Educación Primaria — Tutor de aula</x:v>
      </x:c>
      <x:c r="H9" s="24" t="b">
        <x:v>1</x:v>
      </x:c>
      <x:c r="I9" t="str">
        <x:v>TEACHER_INITIAL_PASSWORD</x:v>
      </x:c>
    </x:row>
    <x:row r="10">
      <x:c r="A10" t="str">
        <x:v>PROF-009</x:v>
      </x:c>
      <x:c r="B10" t="str">
        <x:v>Pablo</x:v>
      </x:c>
      <x:c r="C10" t="str">
        <x:v>Alvarado De la Cruz</x:v>
      </x:c>
      <x:c r="D10" t="str">
        <x:v>81095559</x:v>
      </x:c>
      <x:c r="E10" t="str">
        <x:v>prof009@blenkir.edu.pe</x:v>
      </x:c>
      <x:c r="F10" t="str">
        <x:v>940940094</x:v>
      </x:c>
      <x:c r="G10" t="str">
        <x:v>Polidocencia (ARI / ALG)</x:v>
      </x:c>
      <x:c r="H10" s="24" t="b">
        <x:v>1</x:v>
      </x:c>
      <x:c r="I10" t="str">
        <x:v>TEACHER_INITIAL_PASSWORD</x:v>
      </x:c>
    </x:row>
    <x:row r="11">
      <x:c r="A11" t="str">
        <x:v>PROF-010</x:v>
      </x:c>
      <x:c r="B11" t="str">
        <x:v>Víctor</x:v>
      </x:c>
      <x:c r="C11" t="str">
        <x:v>Contreras Quispe</x:v>
      </x:c>
      <x:c r="D11" t="str">
        <x:v>80974369</x:v>
      </x:c>
      <x:c r="E11" t="str">
        <x:v>prof010@blenkir.edu.pe</x:v>
      </x:c>
      <x:c r="F11" t="str">
        <x:v>997543141</x:v>
      </x:c>
      <x:c r="G11" t="str">
        <x:v>Polidocencia (ALG / RZM)</x:v>
      </x:c>
      <x:c r="H11" s="24" t="b">
        <x:v>1</x:v>
      </x:c>
      <x:c r="I11" t="str">
        <x:v>TEACHER_INITIAL_PASSWORD</x:v>
      </x:c>
    </x:row>
    <x:row r="12">
      <x:c r="A12" t="str">
        <x:v>PROF-011</x:v>
      </x:c>
      <x:c r="B12" t="str">
        <x:v>Fernanda</x:v>
      </x:c>
      <x:c r="C12" t="str">
        <x:v>Huamán Aguilar</x:v>
      </x:c>
      <x:c r="D12" t="str">
        <x:v>72362901</x:v>
      </x:c>
      <x:c r="E12" t="str">
        <x:v>prof011@blenkir.edu.pe</x:v>
      </x:c>
      <x:c r="F12" t="str">
        <x:v>907210574</x:v>
      </x:c>
      <x:c r="G12" t="str">
        <x:v>Polidocencia (RZM / GEO)</x:v>
      </x:c>
      <x:c r="H12" s="24" t="b">
        <x:v>1</x:v>
      </x:c>
      <x:c r="I12" t="str">
        <x:v>TEACHER_INITIAL_PASSWORD</x:v>
      </x:c>
    </x:row>
    <x:row r="13">
      <x:c r="A13" t="str">
        <x:v>PROF-012</x:v>
      </x:c>
      <x:c r="B13" t="str">
        <x:v>Natalia</x:v>
      </x:c>
      <x:c r="C13" t="str">
        <x:v>Ramos Espinoza</x:v>
      </x:c>
      <x:c r="D13" t="str">
        <x:v>82004994</x:v>
      </x:c>
      <x:c r="E13" t="str">
        <x:v>prof012@blenkir.edu.pe</x:v>
      </x:c>
      <x:c r="F13" t="str">
        <x:v>936174806</x:v>
      </x:c>
      <x:c r="G13" t="str">
        <x:v>Polidocencia (GEO / HIS)</x:v>
      </x:c>
      <x:c r="H13" s="24" t="b">
        <x:v>1</x:v>
      </x:c>
      <x:c r="I13" t="str">
        <x:v>TEACHER_INITIAL_PASSWORD</x:v>
      </x:c>
    </x:row>
    <x:row r="14">
      <x:c r="A14" t="str">
        <x:v>PROF-013</x:v>
      </x:c>
      <x:c r="B14" t="str">
        <x:v>Victoria</x:v>
      </x:c>
      <x:c r="C14" t="str">
        <x:v>Vega Ramírez</x:v>
      </x:c>
      <x:c r="D14" t="str">
        <x:v>79623367</x:v>
      </x:c>
      <x:c r="E14" t="str">
        <x:v>prof013@blenkir.edu.pe</x:v>
      </x:c>
      <x:c r="F14" t="str">
        <x:v>958658124</x:v>
      </x:c>
      <x:c r="G14" t="str">
        <x:v>Polidocencia (HIS / CIU)</x:v>
      </x:c>
      <x:c r="H14" s="24" t="b">
        <x:v>1</x:v>
      </x:c>
      <x:c r="I14" t="str">
        <x:v>TEACHER_INITIAL_PASSWORD</x:v>
      </x:c>
    </x:row>
    <x:row r="15">
      <x:c r="A15" t="str">
        <x:v>PROF-014</x:v>
      </x:c>
      <x:c r="B15" t="str">
        <x:v>Bruno</x:v>
      </x:c>
      <x:c r="C15" t="str">
        <x:v>Campos Alarcón</x:v>
      </x:c>
      <x:c r="D15" t="str">
        <x:v>72330320</x:v>
      </x:c>
      <x:c r="E15" t="str">
        <x:v>prof014@blenkir.edu.pe</x:v>
      </x:c>
      <x:c r="F15" t="str">
        <x:v>905482397</x:v>
      </x:c>
      <x:c r="G15" t="str">
        <x:v>Polidocencia (CIU / GEG)</x:v>
      </x:c>
      <x:c r="H15" s="24" t="b">
        <x:v>1</x:v>
      </x:c>
      <x:c r="I15" t="str">
        <x:v>TEACHER_INITIAL_PASSWORD</x:v>
      </x:c>
    </x:row>
    <x:row r="16">
      <x:c r="A16" t="str">
        <x:v>PROF-015</x:v>
      </x:c>
      <x:c r="B16" t="str">
        <x:v>Emilio</x:v>
      </x:c>
      <x:c r="C16" t="str">
        <x:v>Flores García</x:v>
      </x:c>
      <x:c r="D16" t="str">
        <x:v>83609454</x:v>
      </x:c>
      <x:c r="E16" t="str">
        <x:v>prof015@blenkir.edu.pe</x:v>
      </x:c>
      <x:c r="F16" t="str">
        <x:v>929521272</x:v>
      </x:c>
      <x:c r="G16" t="str">
        <x:v>Polidocencia (GEG / CUH)</x:v>
      </x:c>
      <x:c r="H16" s="24" t="b">
        <x:v>1</x:v>
      </x:c>
      <x:c r="I16" t="str">
        <x:v>TEACHER_INITIAL_PASSWORD</x:v>
      </x:c>
    </x:row>
    <x:row r="17">
      <x:c r="A17" t="str">
        <x:v>PROF-016</x:v>
      </x:c>
      <x:c r="B17" t="str">
        <x:v>Javier</x:v>
      </x:c>
      <x:c r="C17" t="str">
        <x:v>Morales Ramos</x:v>
      </x:c>
      <x:c r="D17" t="str">
        <x:v>88966419</x:v>
      </x:c>
      <x:c r="E17" t="str">
        <x:v>prof016@blenkir.edu.pe</x:v>
      </x:c>
      <x:c r="F17" t="str">
        <x:v>968733224</x:v>
      </x:c>
      <x:c r="G17" t="str">
        <x:v>Polidocencia (CUH / MUF)</x:v>
      </x:c>
      <x:c r="H17" s="24" t="b">
        <x:v>1</x:v>
      </x:c>
      <x:c r="I17" t="str">
        <x:v>TEACHER_INITIAL_PASSWORD</x:v>
      </x:c>
    </x:row>
    <x:row r="18">
      <x:c r="A18" t="str">
        <x:v>PROF-017</x:v>
      </x:c>
      <x:c r="B18" t="str">
        <x:v>Mateo</x:v>
      </x:c>
      <x:c r="C18" t="str">
        <x:v>Silva Alvarado</x:v>
      </x:c>
      <x:c r="D18" t="str">
        <x:v>76664180</x:v>
      </x:c>
      <x:c r="E18" t="str">
        <x:v>prof017@blenkir.edu.pe</x:v>
      </x:c>
      <x:c r="F18" t="str">
        <x:v>960969653</x:v>
      </x:c>
      <x:c r="G18" t="str">
        <x:v>Polidocencia (MUF / PDT)</x:v>
      </x:c>
      <x:c r="H18" s="24" t="b">
        <x:v>1</x:v>
      </x:c>
      <x:c r="I18" t="str">
        <x:v>TEACHER_INITIAL_PASSWORD</x:v>
      </x:c>
    </x:row>
    <x:row r="19">
      <x:c r="A19" t="str">
        <x:v>PROF-018</x:v>
      </x:c>
      <x:c r="B19" t="str">
        <x:v>Rodrigo</x:v>
      </x:c>
      <x:c r="C19" t="str">
        <x:v>Alarcón García</x:v>
      </x:c>
      <x:c r="D19" t="str">
        <x:v>70934637</x:v>
      </x:c>
      <x:c r="E19" t="str">
        <x:v>prof018@blenkir.edu.pe</x:v>
      </x:c>
      <x:c r="F19" t="str">
        <x:v>926720242</x:v>
      </x:c>
      <x:c r="G19" t="str">
        <x:v>Polidocencia (PDT / GRA)</x:v>
      </x:c>
      <x:c r="H19" s="24" t="b">
        <x:v>1</x:v>
      </x:c>
      <x:c r="I19" t="str">
        <x:v>TEACHER_INITIAL_PASSWORD</x:v>
      </x:c>
    </x:row>
    <x:row r="20">
      <x:c r="A20" t="str">
        <x:v>PROF-019</x:v>
      </x:c>
      <x:c r="B20" t="str">
        <x:v>Carla</x:v>
      </x:c>
      <x:c r="C20" t="str">
        <x:v>Condori Rojas</x:v>
      </x:c>
      <x:c r="D20" t="str">
        <x:v>88406476</x:v>
      </x:c>
      <x:c r="E20" t="str">
        <x:v>prof019@blenkir.edu.pe</x:v>
      </x:c>
      <x:c r="F20" t="str">
        <x:v>977301563</x:v>
      </x:c>
      <x:c r="G20" t="str">
        <x:v>Polidocencia (GRA / RZV)</x:v>
      </x:c>
      <x:c r="H20" s="24" t="b">
        <x:v>1</x:v>
      </x:c>
      <x:c r="I20" t="str">
        <x:v>TEACHER_INITIAL_PASSWORD</x:v>
      </x:c>
    </x:row>
    <x:row r="21">
      <x:c r="A21" t="str">
        <x:v>PROF-020</x:v>
      </x:c>
      <x:c r="B21" t="str">
        <x:v>Jimena</x:v>
      </x:c>
      <x:c r="C21" t="str">
        <x:v>Gutiérrez Arias</x:v>
      </x:c>
      <x:c r="D21" t="str">
        <x:v>86856474</x:v>
      </x:c>
      <x:c r="E21" t="str">
        <x:v>prof020@blenkir.edu.pe</x:v>
      </x:c>
      <x:c r="F21" t="str">
        <x:v>962588227</x:v>
      </x:c>
      <x:c r="G21" t="str">
        <x:v>Polidocencia (RZV / ING)</x:v>
      </x:c>
      <x:c r="H21" s="24" t="b">
        <x:v>1</x:v>
      </x:c>
      <x:c r="I21" t="str">
        <x:v>TEACHER_INITIAL_PASSWORD</x:v>
      </x:c>
    </x:row>
    <x:row r="22">
      <x:c r="A22" t="str">
        <x:v>PROF-021</x:v>
      </x:c>
      <x:c r="B22" t="str">
        <x:v>Renata</x:v>
      </x:c>
      <x:c r="C22" t="str">
        <x:v>Ramírez Gómez</x:v>
      </x:c>
      <x:c r="D22" t="str">
        <x:v>76647262</x:v>
      </x:c>
      <x:c r="E22" t="str">
        <x:v>prof021@blenkir.edu.pe</x:v>
      </x:c>
      <x:c r="F22" t="str">
        <x:v>995345345</x:v>
      </x:c>
      <x:c r="G22" t="str">
        <x:v>Polidocencia (ING / REL)</x:v>
      </x:c>
      <x:c r="H22" s="24" t="b">
        <x:v>1</x:v>
      </x:c>
      <x:c r="I22" t="str">
        <x:v>TEACHER_INITIAL_PASSWORD</x:v>
      </x:c>
    </x:row>
    <x:row r="23">
      <x:c r="A23" t="str">
        <x:v>PROF-022</x:v>
      </x:c>
      <x:c r="B23" t="str">
        <x:v>Alejandra</x:v>
      </x:c>
      <x:c r="C23" t="str">
        <x:v>Vásquez Romero</x:v>
      </x:c>
      <x:c r="D23" t="str">
        <x:v>84244076</x:v>
      </x:c>
      <x:c r="E23" t="str">
        <x:v>prof022@blenkir.edu.pe</x:v>
      </x:c>
      <x:c r="F23" t="str">
        <x:v>978882542</x:v>
      </x:c>
      <x:c r="G23" t="str">
        <x:v>Polidocencia (REL / TAL)</x:v>
      </x:c>
      <x:c r="H23" s="24" t="b">
        <x:v>1</x:v>
      </x:c>
      <x:c r="I23" t="str">
        <x:v>TEACHER_INITIAL_PASSWORD</x:v>
      </x:c>
    </x:row>
    <x:row r="24">
      <x:c r="A24" t="str">
        <x:v>PROF-023</x:v>
      </x:c>
      <x:c r="B24" t="str">
        <x:v>Daniel</x:v>
      </x:c>
      <x:c r="C24" t="str">
        <x:v>Cáceres Bendezú</x:v>
      </x:c>
      <x:c r="D24" t="str">
        <x:v>79585377</x:v>
      </x:c>
      <x:c r="E24" t="str">
        <x:v>prof023@blenkir.edu.pe</x:v>
      </x:c>
      <x:c r="F24" t="str">
        <x:v>970566513</x:v>
      </x:c>
      <x:c r="G24" t="str">
        <x:v>Polidocencia (TAL / EDF)</x:v>
      </x:c>
      <x:c r="H24" s="24" t="b">
        <x:v>1</x:v>
      </x:c>
      <x:c r="I24" t="str">
        <x:v>TEACHER_INITIAL_PASSWORD</x:v>
      </x:c>
    </x:row>
    <x:row r="25">
      <x:c r="A25" t="str">
        <x:v>PROF-024</x:v>
      </x:c>
      <x:c r="B25" t="str">
        <x:v>Gael</x:v>
      </x:c>
      <x:c r="C25" t="str">
        <x:v>Espinoza Gonzales</x:v>
      </x:c>
      <x:c r="D25" t="str">
        <x:v>85592685</x:v>
      </x:c>
      <x:c r="E25" t="str">
        <x:v>prof024@blenkir.edu.pe</x:v>
      </x:c>
      <x:c r="F25" t="str">
        <x:v>949645262</x:v>
      </x:c>
      <x:c r="G25" t="str">
        <x:v>Polidocencia (EDF / ARI)</x:v>
      </x:c>
      <x:c r="H25" s="24" t="b">
        <x:v>1</x:v>
      </x:c>
      <x:c r="I25" t="str">
        <x:v>TEACHER_INITIAL_PASSWORD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8" hidden="0" customWidth="1"/>
    <x:col min="5" max="5" width="34" hidden="0" customWidth="1"/>
    <x:col min="6" max="6" width="8" hidden="0" customWidth="1"/>
    <x:col min="7" max="7" width="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2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8" hidden="0" customWidth="1"/>
    <x:col min="18" max="18" width="30" hidden="0" customWidth="1"/>
    <x:col min="19" max="19" width="10" hidden="0" customWidth="1"/>
    <x:col min="20" max="20" width="16" hidden="0" customWidth="1"/>
    <x:col min="21" max="21" width="20" hidden="0" customWidth="1"/>
  </x:cols>
  <x:sheetData>
    <x:row r="1" ht="28" customHeight="1">
      <x:c r="A1" s="40" t="str">
        <x:v>codigo</x:v>
      </x:c>
      <x:c r="B1" s="40" t="str">
        <x:v>nombres</x:v>
      </x:c>
      <x:c r="C1" s="40" t="str">
        <x:v>apellidos</x:v>
      </x:c>
      <x:c r="D1" s="40" t="str">
        <x:v>dni_sintetico</x:v>
      </x:c>
      <x:c r="E1" s="40" t="str">
        <x:v>email</x:v>
      </x:c>
      <x:c r="F1" s="40" t="str">
        <x:v>grado</x:v>
      </x:c>
      <x:c r="G1" s="40" t="str">
        <x:v>seccion</x:v>
      </x:c>
      <x:c r="H1" s="40" t="str">
        <x:v>seccion_codigo</x:v>
      </x:c>
      <x:c r="I1" s="40" t="str">
        <x:v>estado_estudiante</x:v>
      </x:c>
      <x:c r="J1" s="40" t="str">
        <x:v>matricula_estado</x:v>
      </x:c>
      <x:c r="K1" s="40" t="str">
        <x:v>objetivo_promedio</x:v>
      </x:c>
      <x:c r="L1" s="40" t="str">
        <x:v>objetivo_cursos_desaprobados</x:v>
      </x:c>
      <x:c r="M1" s="40" t="str">
        <x:v>objetivo_asistencia_pct</x:v>
      </x:c>
      <x:c r="N1" s="40" t="str">
        <x:v>objetivo_frecuencia_lms</x:v>
      </x:c>
      <x:c r="O1" s="40" t="str">
        <x:v>objetivo_horas_lms_28d</x:v>
      </x:c>
      <x:c r="P1" s="40" t="str">
        <x:v>objetivo_actividades</x:v>
      </x:c>
      <x:c r="Q1" s="40" t="str">
        <x:v>objetivo_recursos</x:v>
      </x:c>
      <x:c r="R1" s="40" t="str">
        <x:v>estado_permanencia_observado</x:v>
      </x:c>
      <x:c r="S1" s="40" t="str">
        <x:v>activo</x:v>
      </x:c>
      <x:c r="T1" s="40" t="str">
        <x:v>fecha_ingreso</x:v>
      </x:c>
      <x:c r="U1" s="65" t="str">
        <x:v>telefono_sintetico</x:v>
      </x:c>
    </x:row>
    <x:row r="2">
      <x:c r="A2" t="str">
        <x:v>EST-0001</x:v>
      </x:c>
      <x:c r="B2" t="str">
        <x:v>Gabriel</x:v>
      </x:c>
      <x:c r="C2" t="str">
        <x:v>Córdova Navarro</x:v>
      </x:c>
      <x:c r="D2" t="str">
        <x:v>87996536</x:v>
      </x:c>
      <x:c r="E2" t="str">
        <x:v>est0001@alumnos.blenkir.edu.pe</x:v>
      </x:c>
      <x:c r="F2" t="n">
        <x:v>1</x:v>
      </x:c>
      <x:c r="G2" t="str">
        <x:v>A</x:v>
      </x:c>
      <x:c r="H2" t="str">
        <x:v>1A</x:v>
      </x:c>
      <x:c r="I2" t="str">
        <x:v>retirado</x:v>
      </x:c>
      <x:c r="J2" t="str">
        <x:v>retirada</x:v>
      </x:c>
      <x:c r="K2" t="n">
        <x:v>16.11</x:v>
      </x:c>
      <x:c r="L2" t="n">
        <x:v>0</x:v>
      </x:c>
      <x:c r="M2" t="n">
        <x:v>92.13</x:v>
      </x:c>
      <x:c r="N2" t="n">
        <x:v>7.05</x:v>
      </x:c>
      <x:c r="O2" t="n">
        <x:v>16.26</x:v>
      </x:c>
      <x:c r="P2" t="n">
        <x:v>15</x:v>
      </x:c>
      <x:c r="Q2" t="n">
        <x:v>13</x:v>
      </x:c>
      <x:c r="R2" t="str">
        <x:v>retirada</x:v>
      </x:c>
      <x:c r="S2" s="24" t="b">
        <x:v>1</x:v>
      </x:c>
      <x:c r="T2" s="36" t="str">
        <x:v>2026-03-02</x:v>
      </x:c>
      <x:c r="U2" t="str">
        <x:v>929780168</x:v>
      </x:c>
    </x:row>
    <x:row r="3">
      <x:c r="A3" t="str">
        <x:v>EST-0002</x:v>
      </x:c>
      <x:c r="B3" t="str">
        <x:v>Jorge</x:v>
      </x:c>
      <x:c r="C3" t="str">
        <x:v>López Velásquez</x:v>
      </x:c>
      <x:c r="D3" t="str">
        <x:v>89392228</x:v>
      </x:c>
      <x:c r="E3" t="str">
        <x:v>est0002@alumnos.blenkir.edu.pe</x:v>
      </x:c>
      <x:c r="F3" t="n">
        <x:v>1</x:v>
      </x:c>
      <x:c r="G3" t="str">
        <x:v>A</x:v>
      </x:c>
      <x:c r="H3" t="str">
        <x:v>1A</x:v>
      </x:c>
      <x:c r="I3" t="str">
        <x:v>activo</x:v>
      </x:c>
      <x:c r="J3" t="str">
        <x:v>activa</x:v>
      </x:c>
      <x:c r="K3" t="n">
        <x:v>15.62</x:v>
      </x:c>
      <x:c r="L3" t="n">
        <x:v>0</x:v>
      </x:c>
      <x:c r="M3" t="n">
        <x:v>92.13</x:v>
      </x:c>
      <x:c r="N3" t="n">
        <x:v>5.62</x:v>
      </x:c>
      <x:c r="O3" t="n">
        <x:v>11.54</x:v>
      </x:c>
      <x:c r="P3" t="n">
        <x:v>13</x:v>
      </x:c>
      <x:c r="Q3" t="n">
        <x:v>9</x:v>
      </x:c>
      <x:c r="R3" t="str">
        <x:v>continua</x:v>
      </x:c>
      <x:c r="S3" s="24" t="b">
        <x:v>1</x:v>
      </x:c>
      <x:c r="T3" s="36" t="str">
        <x:v>2026-03-02</x:v>
      </x:c>
      <x:c r="U3" t="str">
        <x:v>924544413</x:v>
      </x:c>
    </x:row>
    <x:row r="4">
      <x:c r="A4" t="str">
        <x:v>EST-0003</x:v>
      </x:c>
      <x:c r="B4" t="str">
        <x:v>Miguel</x:v>
      </x:c>
      <x:c r="C4" t="str">
        <x:v>Rojas Córdova</x:v>
      </x:c>
      <x:c r="D4" t="str">
        <x:v>87092022</x:v>
      </x:c>
      <x:c r="E4" t="str">
        <x:v>est0003@alumnos.blenkir.edu.pe</x:v>
      </x:c>
      <x:c r="F4" t="n">
        <x:v>1</x:v>
      </x:c>
      <x:c r="G4" t="str">
        <x:v>A</x:v>
      </x:c>
      <x:c r="H4" t="str">
        <x:v>1A</x:v>
      </x:c>
      <x:c r="I4" t="str">
        <x:v>activo</x:v>
      </x:c>
      <x:c r="J4" t="str">
        <x:v>activa</x:v>
      </x:c>
      <x:c r="K4" t="n">
        <x:v>16.18</x:v>
      </x:c>
      <x:c r="L4" t="n">
        <x:v>0</x:v>
      </x:c>
      <x:c r="M4" t="n">
        <x:v>96.65</x:v>
      </x:c>
      <x:c r="N4" t="n">
        <x:v>9.14</x:v>
      </x:c>
      <x:c r="O4" t="n">
        <x:v>20.23</x:v>
      </x:c>
      <x:c r="P4" t="n">
        <x:v>18</x:v>
      </x:c>
      <x:c r="Q4" t="n">
        <x:v>13</x:v>
      </x:c>
      <x:c r="R4" t="str">
        <x:v>continua</x:v>
      </x:c>
      <x:c r="S4" s="24" t="b">
        <x:v>1</x:v>
      </x:c>
      <x:c r="T4" s="36" t="str">
        <x:v>2026-03-02</x:v>
      </x:c>
      <x:c r="U4" t="str">
        <x:v>957873689</x:v>
      </x:c>
    </x:row>
    <x:row r="5">
      <x:c r="A5" t="str">
        <x:v>EST-0004</x:v>
      </x:c>
      <x:c r="B5" t="str">
        <x:v>Sergio</x:v>
      </x:c>
      <x:c r="C5" t="str">
        <x:v>Velásquez Paredes</x:v>
      </x:c>
      <x:c r="D5" t="str">
        <x:v>74209186</x:v>
      </x:c>
      <x:c r="E5" t="str">
        <x:v>est0004@alumnos.blenkir.edu.pe</x:v>
      </x:c>
      <x:c r="F5" t="n">
        <x:v>1</x:v>
      </x:c>
      <x:c r="G5" t="str">
        <x:v>A</x:v>
      </x:c>
      <x:c r="H5" t="str">
        <x:v>1A</x:v>
      </x:c>
      <x:c r="I5" t="str">
        <x:v>activo</x:v>
      </x:c>
      <x:c r="J5" t="str">
        <x:v>activa</x:v>
      </x:c>
      <x:c r="K5" t="n">
        <x:v>16.29</x:v>
      </x:c>
      <x:c r="L5" t="n">
        <x:v>0</x:v>
      </x:c>
      <x:c r="M5" t="n">
        <x:v>91.66</x:v>
      </x:c>
      <x:c r="N5" t="n">
        <x:v>6.04</x:v>
      </x:c>
      <x:c r="O5" t="n">
        <x:v>10.21</x:v>
      </x:c>
      <x:c r="P5" t="n">
        <x:v>13</x:v>
      </x:c>
      <x:c r="Q5" t="n">
        <x:v>9</x:v>
      </x:c>
      <x:c r="R5" t="str">
        <x:v>continua</x:v>
      </x:c>
      <x:c r="S5" s="24" t="b">
        <x:v>1</x:v>
      </x:c>
      <x:c r="T5" s="36" t="str">
        <x:v>2026-03-02</x:v>
      </x:c>
      <x:c r="U5" t="str">
        <x:v>923666943</x:v>
      </x:c>
    </x:row>
    <x:row r="6">
      <x:c r="A6" t="str">
        <x:v>EST-0005</x:v>
      </x:c>
      <x:c r="B6" t="str">
        <x:v>Elena</x:v>
      </x:c>
      <x:c r="C6" t="str">
        <x:v>Carrasco Yupanqui</x:v>
      </x:c>
      <x:c r="D6" t="str">
        <x:v>71173693</x:v>
      </x:c>
      <x:c r="E6" t="str">
        <x:v>est0005@alumnos.blenkir.edu.pe</x:v>
      </x:c>
      <x:c r="F6" t="n">
        <x:v>1</x:v>
      </x:c>
      <x:c r="G6" t="str">
        <x:v>A</x:v>
      </x:c>
      <x:c r="H6" t="str">
        <x:v>1A</x:v>
      </x:c>
      <x:c r="I6" t="str">
        <x:v>activo</x:v>
      </x:c>
      <x:c r="J6" t="str">
        <x:v>activa</x:v>
      </x:c>
      <x:c r="K6" t="n">
        <x:v>12.55</x:v>
      </x:c>
      <x:c r="L6" t="n">
        <x:v>0</x:v>
      </x:c>
      <x:c r="M6" t="n">
        <x:v>89.47</x:v>
      </x:c>
      <x:c r="N6" t="n">
        <x:v>10.08</x:v>
      </x:c>
      <x:c r="O6" t="n">
        <x:v>18.94</x:v>
      </x:c>
      <x:c r="P6" t="n">
        <x:v>20</x:v>
      </x:c>
      <x:c r="Q6" t="n">
        <x:v>15</x:v>
      </x:c>
      <x:c r="R6" t="str">
        <x:v>continua</x:v>
      </x:c>
      <x:c r="S6" s="24" t="b">
        <x:v>1</x:v>
      </x:c>
      <x:c r="T6" s="36" t="str">
        <x:v>2026-03-02</x:v>
      </x:c>
      <x:c r="U6" t="str">
        <x:v>916538683</x:v>
      </x:c>
    </x:row>
    <x:row r="7">
      <x:c r="A7" t="str">
        <x:v>EST-0006</x:v>
      </x:c>
      <x:c r="B7" t="str">
        <x:v>Mariana</x:v>
      </x:c>
      <x:c r="C7" t="str">
        <x:v>García Dávila</x:v>
      </x:c>
      <x:c r="D7" t="str">
        <x:v>89958782</x:v>
      </x:c>
      <x:c r="E7" t="str">
        <x:v>est0006@alumnos.blenkir.edu.pe</x:v>
      </x:c>
      <x:c r="F7" t="n">
        <x:v>1</x:v>
      </x:c>
      <x:c r="G7" t="str">
        <x:v>A</x:v>
      </x:c>
      <x:c r="H7" t="str">
        <x:v>1A</x:v>
      </x:c>
      <x:c r="I7" t="str">
        <x:v>activo</x:v>
      </x:c>
      <x:c r="J7" t="str">
        <x:v>activa</x:v>
      </x:c>
      <x:c r="K7" t="n">
        <x:v>16.59</x:v>
      </x:c>
      <x:c r="L7" t="n">
        <x:v>0</x:v>
      </x:c>
      <x:c r="M7" t="n">
        <x:v>86.7</x:v>
      </x:c>
      <x:c r="N7" t="n">
        <x:v>8</x:v>
      </x:c>
      <x:c r="O7" t="n">
        <x:v>14.45</x:v>
      </x:c>
      <x:c r="P7" t="n">
        <x:v>16</x:v>
      </x:c>
      <x:c r="Q7" t="n">
        <x:v>12</x:v>
      </x:c>
      <x:c r="R7" t="str">
        <x:v>continua</x:v>
      </x:c>
      <x:c r="S7" s="24" t="b">
        <x:v>1</x:v>
      </x:c>
      <x:c r="T7" s="36" t="str">
        <x:v>2026-03-02</x:v>
      </x:c>
      <x:c r="U7" t="str">
        <x:v>990984951</x:v>
      </x:c>
    </x:row>
    <x:row r="8">
      <x:c r="A8" t="str">
        <x:v>EST-0007</x:v>
      </x:c>
      <x:c r="B8" t="str">
        <x:v>Sofía</x:v>
      </x:c>
      <x:c r="C8" t="str">
        <x:v>Navarro Pérez</x:v>
      </x:c>
      <x:c r="D8" t="str">
        <x:v>84557576</x:v>
      </x:c>
      <x:c r="E8" t="str">
        <x:v>est0007@alumnos.blenkir.edu.pe</x:v>
      </x:c>
      <x:c r="F8" t="n">
        <x:v>1</x:v>
      </x:c>
      <x:c r="G8" t="str">
        <x:v>A</x:v>
      </x:c>
      <x:c r="H8" t="str">
        <x:v>1A</x:v>
      </x:c>
      <x:c r="I8" t="str">
        <x:v>activo</x:v>
      </x:c>
      <x:c r="J8" t="str">
        <x:v>activa</x:v>
      </x:c>
      <x:c r="K8" t="n">
        <x:v>15.69</x:v>
      </x:c>
      <x:c r="L8" t="n">
        <x:v>0</x:v>
      </x:c>
      <x:c r="M8" t="n">
        <x:v>94.65</x:v>
      </x:c>
      <x:c r="N8" t="n">
        <x:v>9.64</x:v>
      </x:c>
      <x:c r="O8" t="n">
        <x:v>17.77</x:v>
      </x:c>
      <x:c r="P8" t="n">
        <x:v>18</x:v>
      </x:c>
      <x:c r="Q8" t="n">
        <x:v>15</x:v>
      </x:c>
      <x:c r="R8" t="str">
        <x:v>continua</x:v>
      </x:c>
      <x:c r="S8" s="24" t="b">
        <x:v>1</x:v>
      </x:c>
      <x:c r="T8" s="36" t="str">
        <x:v>2026-03-02</x:v>
      </x:c>
      <x:c r="U8" t="str">
        <x:v>931469473</x:v>
      </x:c>
    </x:row>
    <x:row r="9">
      <x:c r="A9" t="str">
        <x:v>EST-0008</x:v>
      </x:c>
      <x:c r="B9" t="str">
        <x:v>Alejandro</x:v>
      </x:c>
      <x:c r="C9" t="str">
        <x:v>Soto Zúñiga</x:v>
      </x:c>
      <x:c r="D9" t="str">
        <x:v>71889380</x:v>
      </x:c>
      <x:c r="E9" t="str">
        <x:v>est0008@alumnos.blenkir.edu.pe</x:v>
      </x:c>
      <x:c r="F9" t="n">
        <x:v>1</x:v>
      </x:c>
      <x:c r="G9" t="str">
        <x:v>A</x:v>
      </x:c>
      <x:c r="H9" t="str">
        <x:v>1A</x:v>
      </x:c>
      <x:c r="I9" t="str">
        <x:v>activo</x:v>
      </x:c>
      <x:c r="J9" t="str">
        <x:v>activa</x:v>
      </x:c>
      <x:c r="K9" t="n">
        <x:v>15.05</x:v>
      </x:c>
      <x:c r="L9" t="n">
        <x:v>0</x:v>
      </x:c>
      <x:c r="M9" t="n">
        <x:v>88.37</x:v>
      </x:c>
      <x:c r="N9" t="n">
        <x:v>6.46</x:v>
      </x:c>
      <x:c r="O9" t="n">
        <x:v>11.69</x:v>
      </x:c>
      <x:c r="P9" t="n">
        <x:v>11</x:v>
      </x:c>
      <x:c r="Q9" t="n">
        <x:v>9</x:v>
      </x:c>
      <x:c r="R9" t="str">
        <x:v>continua</x:v>
      </x:c>
      <x:c r="S9" s="24" t="b">
        <x:v>1</x:v>
      </x:c>
      <x:c r="T9" s="36" t="str">
        <x:v>2026-03-02</x:v>
      </x:c>
      <x:c r="U9" t="str">
        <x:v>932729994</x:v>
      </x:c>
    </x:row>
    <x:row r="10">
      <x:c r="A10" t="str">
        <x:v>EST-0009</x:v>
      </x:c>
      <x:c r="B10" t="str">
        <x:v>Diego</x:v>
      </x:c>
      <x:c r="C10" t="str">
        <x:v>Alvarado De la Cruz</x:v>
      </x:c>
      <x:c r="D10" t="str">
        <x:v>78921778</x:v>
      </x:c>
      <x:c r="E10" t="str">
        <x:v>est0009@alumnos.blenkir.edu.pe</x:v>
      </x:c>
      <x:c r="F10" t="n">
        <x:v>1</x:v>
      </x:c>
      <x:c r="G10" t="str">
        <x:v>A</x:v>
      </x:c>
      <x:c r="H10" t="str">
        <x:v>1A</x:v>
      </x:c>
      <x:c r="I10" t="str">
        <x:v>activo</x:v>
      </x:c>
      <x:c r="J10" t="str">
        <x:v>activa</x:v>
      </x:c>
      <x:c r="K10" t="n">
        <x:v>16.52</x:v>
      </x:c>
      <x:c r="L10" t="n">
        <x:v>0</x:v>
      </x:c>
      <x:c r="M10" t="n">
        <x:v>99.2</x:v>
      </x:c>
      <x:c r="N10" t="n">
        <x:v>7.27</x:v>
      </x:c>
      <x:c r="O10" t="n">
        <x:v>12.83</x:v>
      </x:c>
      <x:c r="P10" t="n">
        <x:v>16</x:v>
      </x:c>
      <x:c r="Q10" t="n">
        <x:v>9</x:v>
      </x:c>
      <x:c r="R10" t="str">
        <x:v>continua</x:v>
      </x:c>
      <x:c r="S10" s="24" t="b">
        <x:v>1</x:v>
      </x:c>
      <x:c r="T10" s="36" t="str">
        <x:v>2026-03-02</x:v>
      </x:c>
      <x:c r="U10" t="str">
        <x:v>975495689</x:v>
      </x:c>
    </x:row>
    <x:row r="11">
      <x:c r="A11" t="str">
        <x:v>EST-0010</x:v>
      </x:c>
      <x:c r="B11" t="str">
        <x:v>Héctor</x:v>
      </x:c>
      <x:c r="C11" t="str">
        <x:v>Contreras Quispe</x:v>
      </x:c>
      <x:c r="D11" t="str">
        <x:v>76310332</x:v>
      </x:c>
      <x:c r="E11" t="str">
        <x:v>est0010@alumnos.blenkir.edu.pe</x:v>
      </x:c>
      <x:c r="F11" t="n">
        <x:v>1</x:v>
      </x:c>
      <x:c r="G11" t="str">
        <x:v>A</x:v>
      </x:c>
      <x:c r="H11" t="str">
        <x:v>1A</x:v>
      </x:c>
      <x:c r="I11" t="str">
        <x:v>retirado</x:v>
      </x:c>
      <x:c r="J11" t="str">
        <x:v>retirada</x:v>
      </x:c>
      <x:c r="K11" t="n">
        <x:v>13.81</x:v>
      </x:c>
      <x:c r="L11" t="n">
        <x:v>0</x:v>
      </x:c>
      <x:c r="M11" t="n">
        <x:v>95.21</x:v>
      </x:c>
      <x:c r="N11" t="n">
        <x:v>10.13</x:v>
      </x:c>
      <x:c r="O11" t="n">
        <x:v>17.4</x:v>
      </x:c>
      <x:c r="P11" t="n">
        <x:v>18</x:v>
      </x:c>
      <x:c r="Q11" t="n">
        <x:v>14</x:v>
      </x:c>
      <x:c r="R11" t="str">
        <x:v>retirada</x:v>
      </x:c>
      <x:c r="S11" s="24" t="b">
        <x:v>1</x:v>
      </x:c>
      <x:c r="T11" s="36" t="str">
        <x:v>2026-03-02</x:v>
      </x:c>
      <x:c r="U11" t="str">
        <x:v>965076181</x:v>
      </x:c>
    </x:row>
    <x:row r="12">
      <x:c r="A12" t="str">
        <x:v>EST-0011</x:v>
      </x:c>
      <x:c r="B12" t="str">
        <x:v>Leonardo</x:v>
      </x:c>
      <x:c r="C12" t="str">
        <x:v>Huamán Aguilar</x:v>
      </x:c>
      <x:c r="D12" t="str">
        <x:v>89579434</x:v>
      </x:c>
      <x:c r="E12" t="str">
        <x:v>est0011@alumnos.blenkir.edu.pe</x:v>
      </x:c>
      <x:c r="F12" t="n">
        <x:v>1</x:v>
      </x:c>
      <x:c r="G12" t="str">
        <x:v>A</x:v>
      </x:c>
      <x:c r="H12" t="str">
        <x:v>1A</x:v>
      </x:c>
      <x:c r="I12" t="str">
        <x:v>activo</x:v>
      </x:c>
      <x:c r="J12" t="str">
        <x:v>activa</x:v>
      </x:c>
      <x:c r="K12" t="n">
        <x:v>14.83</x:v>
      </x:c>
      <x:c r="L12" t="n">
        <x:v>0</x:v>
      </x:c>
      <x:c r="M12" t="n">
        <x:v>87.29</x:v>
      </x:c>
      <x:c r="N12" t="n">
        <x:v>6.68</x:v>
      </x:c>
      <x:c r="O12" t="n">
        <x:v>12.16</x:v>
      </x:c>
      <x:c r="P12" t="n">
        <x:v>13</x:v>
      </x:c>
      <x:c r="Q12" t="n">
        <x:v>11</x:v>
      </x:c>
      <x:c r="R12" t="str">
        <x:v>continua</x:v>
      </x:c>
      <x:c r="S12" s="24" t="b">
        <x:v>1</x:v>
      </x:c>
      <x:c r="T12" s="36" t="str">
        <x:v>2026-03-02</x:v>
      </x:c>
      <x:c r="U12" t="str">
        <x:v>905596263</x:v>
      </x:c>
    </x:row>
    <x:row r="13">
      <x:c r="A13" t="str">
        <x:v>EST-0012</x:v>
      </x:c>
      <x:c r="B13" t="str">
        <x:v>Rafael</x:v>
      </x:c>
      <x:c r="C13" t="str">
        <x:v>Ramos Espinoza</x:v>
      </x:c>
      <x:c r="D13" t="str">
        <x:v>84233700</x:v>
      </x:c>
      <x:c r="E13" t="str">
        <x:v>est0012@alumnos.blenkir.edu.pe</x:v>
      </x:c>
      <x:c r="F13" t="n">
        <x:v>1</x:v>
      </x:c>
      <x:c r="G13" t="str">
        <x:v>A</x:v>
      </x:c>
      <x:c r="H13" t="str">
        <x:v>1A</x:v>
      </x:c>
      <x:c r="I13" t="str">
        <x:v>activo</x:v>
      </x:c>
      <x:c r="J13" t="str">
        <x:v>activa</x:v>
      </x:c>
      <x:c r="K13" t="n">
        <x:v>14.09</x:v>
      </x:c>
      <x:c r="L13" t="n">
        <x:v>0</x:v>
      </x:c>
      <x:c r="M13" t="n">
        <x:v>92.39</x:v>
      </x:c>
      <x:c r="N13" t="n">
        <x:v>5.75</x:v>
      </x:c>
      <x:c r="O13" t="n">
        <x:v>8.98</x:v>
      </x:c>
      <x:c r="P13" t="n">
        <x:v>12</x:v>
      </x:c>
      <x:c r="Q13" t="n">
        <x:v>10</x:v>
      </x:c>
      <x:c r="R13" t="str">
        <x:v>continua</x:v>
      </x:c>
      <x:c r="S13" s="24" t="b">
        <x:v>1</x:v>
      </x:c>
      <x:c r="T13" s="36" t="str">
        <x:v>2026-03-02</x:v>
      </x:c>
      <x:c r="U13" t="str">
        <x:v>961177648</x:v>
      </x:c>
    </x:row>
    <x:row r="14">
      <x:c r="A14" t="str">
        <x:v>EST-0013</x:v>
      </x:c>
      <x:c r="B14" t="str">
        <x:v>Ariana</x:v>
      </x:c>
      <x:c r="C14" t="str">
        <x:v>Vega Ramírez</x:v>
      </x:c>
      <x:c r="D14" t="str">
        <x:v>88775642</x:v>
      </x:c>
      <x:c r="E14" t="str">
        <x:v>est0013@alumnos.blenkir.edu.pe</x:v>
      </x:c>
      <x:c r="F14" t="n">
        <x:v>1</x:v>
      </x:c>
      <x:c r="G14" t="str">
        <x:v>B</x:v>
      </x:c>
      <x:c r="H14" t="str">
        <x:v>1B</x:v>
      </x:c>
      <x:c r="I14" t="str">
        <x:v>activo</x:v>
      </x:c>
      <x:c r="J14" t="str">
        <x:v>activa</x:v>
      </x:c>
      <x:c r="K14" t="n">
        <x:v>12.42</x:v>
      </x:c>
      <x:c r="L14" t="n">
        <x:v>0</x:v>
      </x:c>
      <x:c r="M14" t="n">
        <x:v>88.22</x:v>
      </x:c>
      <x:c r="N14" t="n">
        <x:v>5.87</x:v>
      </x:c>
      <x:c r="O14" t="n">
        <x:v>11.28</x:v>
      </x:c>
      <x:c r="P14" t="n">
        <x:v>13</x:v>
      </x:c>
      <x:c r="Q14" t="n">
        <x:v>9</x:v>
      </x:c>
      <x:c r="R14" t="str">
        <x:v>continua</x:v>
      </x:c>
      <x:c r="S14" s="24" t="b">
        <x:v>1</x:v>
      </x:c>
      <x:c r="T14" s="36" t="str">
        <x:v>2026-03-02</x:v>
      </x:c>
      <x:c r="U14" t="str">
        <x:v>944252569</x:v>
      </x:c>
    </x:row>
    <x:row r="15">
      <x:c r="A15" t="str">
        <x:v>EST-0014</x:v>
      </x:c>
      <x:c r="B15" t="str">
        <x:v>Gabriela</x:v>
      </x:c>
      <x:c r="C15" t="str">
        <x:v>Campos Alarcón</x:v>
      </x:c>
      <x:c r="D15" t="str">
        <x:v>89112804</x:v>
      </x:c>
      <x:c r="E15" t="str">
        <x:v>est0014@alumnos.blenkir.edu.pe</x:v>
      </x:c>
      <x:c r="F15" t="n">
        <x:v>1</x:v>
      </x:c>
      <x:c r="G15" t="str">
        <x:v>B</x:v>
      </x:c>
      <x:c r="H15" t="str">
        <x:v>1B</x:v>
      </x:c>
      <x:c r="I15" t="str">
        <x:v>activo</x:v>
      </x:c>
      <x:c r="J15" t="str">
        <x:v>activa</x:v>
      </x:c>
      <x:c r="K15" t="n">
        <x:v>16.31</x:v>
      </x:c>
      <x:c r="L15" t="n">
        <x:v>0</x:v>
      </x:c>
      <x:c r="M15" t="n">
        <x:v>96.12</x:v>
      </x:c>
      <x:c r="N15" t="n">
        <x:v>10.77</x:v>
      </x:c>
      <x:c r="O15" t="n">
        <x:v>19.32</x:v>
      </x:c>
      <x:c r="P15" t="n">
        <x:v>17</x:v>
      </x:c>
      <x:c r="Q15" t="n">
        <x:v>12</x:v>
      </x:c>
      <x:c r="R15" t="str">
        <x:v>continua</x:v>
      </x:c>
      <x:c r="S15" s="24" t="b">
        <x:v>1</x:v>
      </x:c>
      <x:c r="T15" s="36" t="str">
        <x:v>2026-03-02</x:v>
      </x:c>
      <x:c r="U15" t="str">
        <x:v>933009210</x:v>
      </x:c>
    </x:row>
    <x:row r="16">
      <x:c r="A16" t="str">
        <x:v>EST-0015</x:v>
      </x:c>
      <x:c r="B16" t="str">
        <x:v>Nicole</x:v>
      </x:c>
      <x:c r="C16" t="str">
        <x:v>Flores García</x:v>
      </x:c>
      <x:c r="D16" t="str">
        <x:v>89684751</x:v>
      </x:c>
      <x:c r="E16" t="str">
        <x:v>est0015@alumnos.blenkir.edu.pe</x:v>
      </x:c>
      <x:c r="F16" t="n">
        <x:v>1</x:v>
      </x:c>
      <x:c r="G16" t="str">
        <x:v>B</x:v>
      </x:c>
      <x:c r="H16" t="str">
        <x:v>1B</x:v>
      </x:c>
      <x:c r="I16" t="str">
        <x:v>activo</x:v>
      </x:c>
      <x:c r="J16" t="str">
        <x:v>activa</x:v>
      </x:c>
      <x:c r="K16" t="n">
        <x:v>16.35</x:v>
      </x:c>
      <x:c r="L16" t="n">
        <x:v>0</x:v>
      </x:c>
      <x:c r="M16" t="n">
        <x:v>88.35</x:v>
      </x:c>
      <x:c r="N16" t="n">
        <x:v>6.93</x:v>
      </x:c>
      <x:c r="O16" t="n">
        <x:v>13.07</x:v>
      </x:c>
      <x:c r="P16" t="n">
        <x:v>14</x:v>
      </x:c>
      <x:c r="Q16" t="n">
        <x:v>9</x:v>
      </x:c>
      <x:c r="R16" t="str">
        <x:v>continua</x:v>
      </x:c>
      <x:c r="S16" s="24" t="b">
        <x:v>1</x:v>
      </x:c>
      <x:c r="T16" s="36" t="str">
        <x:v>2026-03-02</x:v>
      </x:c>
      <x:c r="U16" t="str">
        <x:v>933459321</x:v>
      </x:c>
    </x:row>
    <x:row r="17">
      <x:c r="A17" t="str">
        <x:v>EST-0016</x:v>
      </x:c>
      <x:c r="B17" t="str">
        <x:v>Ximena</x:v>
      </x:c>
      <x:c r="C17" t="str">
        <x:v>Morales Ramos</x:v>
      </x:c>
      <x:c r="D17" t="str">
        <x:v>86568559</x:v>
      </x:c>
      <x:c r="E17" t="str">
        <x:v>est0016@alumnos.blenkir.edu.pe</x:v>
      </x:c>
      <x:c r="F17" t="n">
        <x:v>1</x:v>
      </x:c>
      <x:c r="G17" t="str">
        <x:v>B</x:v>
      </x:c>
      <x:c r="H17" t="str">
        <x:v>1B</x:v>
      </x:c>
      <x:c r="I17" t="str">
        <x:v>activo</x:v>
      </x:c>
      <x:c r="J17" t="str">
        <x:v>activa</x:v>
      </x:c>
      <x:c r="K17" t="n">
        <x:v>11.13</x:v>
      </x:c>
      <x:c r="L17" t="n">
        <x:v>1</x:v>
      </x:c>
      <x:c r="M17" t="n">
        <x:v>88.88</x:v>
      </x:c>
      <x:c r="N17" t="n">
        <x:v>6.85</x:v>
      </x:c>
      <x:c r="O17" t="n">
        <x:v>11.75</x:v>
      </x:c>
      <x:c r="P17" t="n">
        <x:v>11</x:v>
      </x:c>
      <x:c r="Q17" t="n">
        <x:v>7</x:v>
      </x:c>
      <x:c r="R17" t="str">
        <x:v>continua</x:v>
      </x:c>
      <x:c r="S17" s="24" t="b">
        <x:v>1</x:v>
      </x:c>
      <x:c r="T17" s="36" t="str">
        <x:v>2026-03-02</x:v>
      </x:c>
      <x:c r="U17" t="str">
        <x:v>937120719</x:v>
      </x:c>
    </x:row>
    <x:row r="18">
      <x:c r="A18" t="str">
        <x:v>EST-0017</x:v>
      </x:c>
      <x:c r="B18" t="str">
        <x:v>Carlos</x:v>
      </x:c>
      <x:c r="C18" t="str">
        <x:v>Silva Alvarado</x:v>
      </x:c>
      <x:c r="D18" t="str">
        <x:v>76844742</x:v>
      </x:c>
      <x:c r="E18" t="str">
        <x:v>est0017@alumnos.blenkir.edu.pe</x:v>
      </x:c>
      <x:c r="F18" t="n">
        <x:v>1</x:v>
      </x:c>
      <x:c r="G18" t="str">
        <x:v>B</x:v>
      </x:c>
      <x:c r="H18" t="str">
        <x:v>1B</x:v>
      </x:c>
      <x:c r="I18" t="str">
        <x:v>activo</x:v>
      </x:c>
      <x:c r="J18" t="str">
        <x:v>activa</x:v>
      </x:c>
      <x:c r="K18" t="n">
        <x:v>14.96</x:v>
      </x:c>
      <x:c r="L18" t="n">
        <x:v>0</x:v>
      </x:c>
      <x:c r="M18" t="n">
        <x:v>95.77</x:v>
      </x:c>
      <x:c r="N18" t="n">
        <x:v>9.08</x:v>
      </x:c>
      <x:c r="O18" t="n">
        <x:v>14.92</x:v>
      </x:c>
      <x:c r="P18" t="n">
        <x:v>14</x:v>
      </x:c>
      <x:c r="Q18" t="n">
        <x:v>12</x:v>
      </x:c>
      <x:c r="R18" t="str">
        <x:v>continua</x:v>
      </x:c>
      <x:c r="S18" s="24" t="b">
        <x:v>1</x:v>
      </x:c>
      <x:c r="T18" s="36" t="str">
        <x:v>2026-03-02</x:v>
      </x:c>
      <x:c r="U18" t="str">
        <x:v>903019242</x:v>
      </x:c>
    </x:row>
    <x:row r="19">
      <x:c r="A19" t="str">
        <x:v>EST-0018</x:v>
      </x:c>
      <x:c r="B19" t="str">
        <x:v>Fernando</x:v>
      </x:c>
      <x:c r="C19" t="str">
        <x:v>Alarcón García</x:v>
      </x:c>
      <x:c r="D19" t="str">
        <x:v>76130011</x:v>
      </x:c>
      <x:c r="E19" t="str">
        <x:v>est0018@alumnos.blenkir.edu.pe</x:v>
      </x:c>
      <x:c r="F19" t="n">
        <x:v>1</x:v>
      </x:c>
      <x:c r="G19" t="str">
        <x:v>B</x:v>
      </x:c>
      <x:c r="H19" t="str">
        <x:v>1B</x:v>
      </x:c>
      <x:c r="I19" t="str">
        <x:v>activo</x:v>
      </x:c>
      <x:c r="J19" t="str">
        <x:v>activa</x:v>
      </x:c>
      <x:c r="K19" t="n">
        <x:v>14.86</x:v>
      </x:c>
      <x:c r="L19" t="n">
        <x:v>0</x:v>
      </x:c>
      <x:c r="M19" t="n">
        <x:v>92.75</x:v>
      </x:c>
      <x:c r="N19" t="n">
        <x:v>6.92</x:v>
      </x:c>
      <x:c r="O19" t="n">
        <x:v>16.71</x:v>
      </x:c>
      <x:c r="P19" t="n">
        <x:v>14</x:v>
      </x:c>
      <x:c r="Q19" t="n">
        <x:v>13</x:v>
      </x:c>
      <x:c r="R19" t="str">
        <x:v>continua</x:v>
      </x:c>
      <x:c r="S19" s="24" t="b">
        <x:v>1</x:v>
      </x:c>
      <x:c r="T19" s="36" t="str">
        <x:v>2026-03-02</x:v>
      </x:c>
      <x:c r="U19" t="str">
        <x:v>912786652</x:v>
      </x:c>
    </x:row>
    <x:row r="20">
      <x:c r="A20" t="str">
        <x:v>EST-0019</x:v>
      </x:c>
      <x:c r="B20" t="str">
        <x:v>Joaquín</x:v>
      </x:c>
      <x:c r="C20" t="str">
        <x:v>Condori Rojas</x:v>
      </x:c>
      <x:c r="D20" t="str">
        <x:v>75717969</x:v>
      </x:c>
      <x:c r="E20" t="str">
        <x:v>est0019@alumnos.blenkir.edu.pe</x:v>
      </x:c>
      <x:c r="F20" t="n">
        <x:v>1</x:v>
      </x:c>
      <x:c r="G20" t="str">
        <x:v>B</x:v>
      </x:c>
      <x:c r="H20" t="str">
        <x:v>1B</x:v>
      </x:c>
      <x:c r="I20" t="str">
        <x:v>retirado</x:v>
      </x:c>
      <x:c r="J20" t="str">
        <x:v>retirada</x:v>
      </x:c>
      <x:c r="K20" t="n">
        <x:v>13.65</x:v>
      </x:c>
      <x:c r="L20" t="n">
        <x:v>0</x:v>
      </x:c>
      <x:c r="M20" t="n">
        <x:v>95.22</x:v>
      </x:c>
      <x:c r="N20" t="n">
        <x:v>8.14</x:v>
      </x:c>
      <x:c r="O20" t="n">
        <x:v>15.25</x:v>
      </x:c>
      <x:c r="P20" t="n">
        <x:v>15</x:v>
      </x:c>
      <x:c r="Q20" t="n">
        <x:v>12</x:v>
      </x:c>
      <x:c r="R20" t="str">
        <x:v>retirada</x:v>
      </x:c>
      <x:c r="S20" s="24" t="b">
        <x:v>1</x:v>
      </x:c>
      <x:c r="T20" s="36" t="str">
        <x:v>2026-03-02</x:v>
      </x:c>
      <x:c r="U20" t="str">
        <x:v>969595332</x:v>
      </x:c>
    </x:row>
    <x:row r="21">
      <x:c r="A21" t="str">
        <x:v>EST-0020</x:v>
      </x:c>
      <x:c r="B21" t="str">
        <x:v>Matías</x:v>
      </x:c>
      <x:c r="C21" t="str">
        <x:v>Gutiérrez Arias</x:v>
      </x:c>
      <x:c r="D21" t="str">
        <x:v>72088071</x:v>
      </x:c>
      <x:c r="E21" t="str">
        <x:v>est0020@alumnos.blenkir.edu.pe</x:v>
      </x:c>
      <x:c r="F21" t="n">
        <x:v>1</x:v>
      </x:c>
      <x:c r="G21" t="str">
        <x:v>B</x:v>
      </x:c>
      <x:c r="H21" t="str">
        <x:v>1B</x:v>
      </x:c>
      <x:c r="I21" t="str">
        <x:v>activo</x:v>
      </x:c>
      <x:c r="J21" t="str">
        <x:v>activa</x:v>
      </x:c>
      <x:c r="K21" t="n">
        <x:v>19.47</x:v>
      </x:c>
      <x:c r="L21" t="n">
        <x:v>0</x:v>
      </x:c>
      <x:c r="M21" t="n">
        <x:v>99.5</x:v>
      </x:c>
      <x:c r="N21" t="n">
        <x:v>9.5</x:v>
      </x:c>
      <x:c r="O21" t="n">
        <x:v>17.99</x:v>
      </x:c>
      <x:c r="P21" t="n">
        <x:v>19</x:v>
      </x:c>
      <x:c r="Q21" t="n">
        <x:v>13</x:v>
      </x:c>
      <x:c r="R21" t="str">
        <x:v>continua</x:v>
      </x:c>
      <x:c r="S21" s="24" t="b">
        <x:v>1</x:v>
      </x:c>
      <x:c r="T21" s="36" t="str">
        <x:v>2026-03-02</x:v>
      </x:c>
      <x:c r="U21" t="str">
        <x:v>905958224</x:v>
      </x:c>
    </x:row>
    <x:row r="22">
      <x:c r="A22" t="str">
        <x:v>EST-0021</x:v>
      </x:c>
      <x:c r="B22" t="str">
        <x:v>Sebastián</x:v>
      </x:c>
      <x:c r="C22" t="str">
        <x:v>Ramírez Gómez</x:v>
      </x:c>
      <x:c r="D22" t="str">
        <x:v>74632994</x:v>
      </x:c>
      <x:c r="E22" t="str">
        <x:v>est0021@alumnos.blenkir.edu.pe</x:v>
      </x:c>
      <x:c r="F22" t="n">
        <x:v>1</x:v>
      </x:c>
      <x:c r="G22" t="str">
        <x:v>B</x:v>
      </x:c>
      <x:c r="H22" t="str">
        <x:v>1B</x:v>
      </x:c>
      <x:c r="I22" t="str">
        <x:v>activo</x:v>
      </x:c>
      <x:c r="J22" t="str">
        <x:v>activa</x:v>
      </x:c>
      <x:c r="K22" t="n">
        <x:v>13.77</x:v>
      </x:c>
      <x:c r="L22" t="n">
        <x:v>0</x:v>
      </x:c>
      <x:c r="M22" t="n">
        <x:v>95.13</x:v>
      </x:c>
      <x:c r="N22" t="n">
        <x:v>7.5</x:v>
      </x:c>
      <x:c r="O22" t="n">
        <x:v>13.22</x:v>
      </x:c>
      <x:c r="P22" t="n">
        <x:v>13</x:v>
      </x:c>
      <x:c r="Q22" t="n">
        <x:v>9</x:v>
      </x:c>
      <x:c r="R22" t="str">
        <x:v>continua</x:v>
      </x:c>
      <x:c r="S22" s="24" t="b">
        <x:v>1</x:v>
      </x:c>
      <x:c r="T22" s="36" t="str">
        <x:v>2026-03-02</x:v>
      </x:c>
      <x:c r="U22" t="str">
        <x:v>916706109</x:v>
      </x:c>
    </x:row>
    <x:row r="23">
      <x:c r="A23" t="str">
        <x:v>EST-0022</x:v>
      </x:c>
      <x:c r="B23" t="str">
        <x:v>Daniela</x:v>
      </x:c>
      <x:c r="C23" t="str">
        <x:v>Vásquez Romero</x:v>
      </x:c>
      <x:c r="D23" t="str">
        <x:v>87797529</x:v>
      </x:c>
      <x:c r="E23" t="str">
        <x:v>est0022@alumnos.blenkir.edu.pe</x:v>
      </x:c>
      <x:c r="F23" t="n">
        <x:v>1</x:v>
      </x:c>
      <x:c r="G23" t="str">
        <x:v>B</x:v>
      </x:c>
      <x:c r="H23" t="str">
        <x:v>1B</x:v>
      </x:c>
      <x:c r="I23" t="str">
        <x:v>activo</x:v>
      </x:c>
      <x:c r="J23" t="str">
        <x:v>activa</x:v>
      </x:c>
      <x:c r="K23" t="n">
        <x:v>16.53</x:v>
      </x:c>
      <x:c r="L23" t="n">
        <x:v>0</x:v>
      </x:c>
      <x:c r="M23" t="n">
        <x:v>92.74</x:v>
      </x:c>
      <x:c r="N23" t="n">
        <x:v>8.49</x:v>
      </x:c>
      <x:c r="O23" t="n">
        <x:v>16.95</x:v>
      </x:c>
      <x:c r="P23" t="n">
        <x:v>17</x:v>
      </x:c>
      <x:c r="Q23" t="n">
        <x:v>12</x:v>
      </x:c>
      <x:c r="R23" t="str">
        <x:v>continua</x:v>
      </x:c>
      <x:c r="S23" s="24" t="b">
        <x:v>1</x:v>
      </x:c>
      <x:c r="T23" s="36" t="str">
        <x:v>2026-03-02</x:v>
      </x:c>
      <x:c r="U23" t="str">
        <x:v>935249537</x:v>
      </x:c>
    </x:row>
    <x:row r="24">
      <x:c r="A24" t="str">
        <x:v>EST-0023</x:v>
      </x:c>
      <x:c r="B24" t="str">
        <x:v>Luciana</x:v>
      </x:c>
      <x:c r="C24" t="str">
        <x:v>Cáceres Bendezú</x:v>
      </x:c>
      <x:c r="D24" t="str">
        <x:v>80963262</x:v>
      </x:c>
      <x:c r="E24" t="str">
        <x:v>est0023@alumnos.blenkir.edu.pe</x:v>
      </x:c>
      <x:c r="F24" t="n">
        <x:v>1</x:v>
      </x:c>
      <x:c r="G24" t="str">
        <x:v>B</x:v>
      </x:c>
      <x:c r="H24" t="str">
        <x:v>1B</x:v>
      </x:c>
      <x:c r="I24" t="str">
        <x:v>activo</x:v>
      </x:c>
      <x:c r="J24" t="str">
        <x:v>activa</x:v>
      </x:c>
      <x:c r="K24" t="n">
        <x:v>17.37</x:v>
      </x:c>
      <x:c r="L24" t="n">
        <x:v>0</x:v>
      </x:c>
      <x:c r="M24" t="n">
        <x:v>93.36</x:v>
      </x:c>
      <x:c r="N24" t="n">
        <x:v>7.59</x:v>
      </x:c>
      <x:c r="O24" t="n">
        <x:v>13.03</x:v>
      </x:c>
      <x:c r="P24" t="n">
        <x:v>14</x:v>
      </x:c>
      <x:c r="Q24" t="n">
        <x:v>12</x:v>
      </x:c>
      <x:c r="R24" t="str">
        <x:v>continua</x:v>
      </x:c>
      <x:c r="S24" s="24" t="b">
        <x:v>1</x:v>
      </x:c>
      <x:c r="T24" s="36" t="str">
        <x:v>2026-03-02</x:v>
      </x:c>
      <x:c r="U24" t="str">
        <x:v>954814033</x:v>
      </x:c>
    </x:row>
    <x:row r="25">
      <x:c r="A25" t="str">
        <x:v>EST-0024</x:v>
      </x:c>
      <x:c r="B25" t="str">
        <x:v>Romina</x:v>
      </x:c>
      <x:c r="C25" t="str">
        <x:v>Espinoza Gonzales</x:v>
      </x:c>
      <x:c r="D25" t="str">
        <x:v>83295267</x:v>
      </x:c>
      <x:c r="E25" t="str">
        <x:v>est0024@alumnos.blenkir.edu.pe</x:v>
      </x:c>
      <x:c r="F25" t="n">
        <x:v>1</x:v>
      </x:c>
      <x:c r="G25" t="str">
        <x:v>B</x:v>
      </x:c>
      <x:c r="H25" t="str">
        <x:v>1B</x:v>
      </x:c>
      <x:c r="I25" t="str">
        <x:v>activo</x:v>
      </x:c>
      <x:c r="J25" t="str">
        <x:v>activa</x:v>
      </x:c>
      <x:c r="K25" t="n">
        <x:v>15.34</x:v>
      </x:c>
      <x:c r="L25" t="n">
        <x:v>0</x:v>
      </x:c>
      <x:c r="M25" t="n">
        <x:v>92.45</x:v>
      </x:c>
      <x:c r="N25" t="n">
        <x:v>6.09</x:v>
      </x:c>
      <x:c r="O25" t="n">
        <x:v>10.35</x:v>
      </x:c>
      <x:c r="P25" t="n">
        <x:v>9</x:v>
      </x:c>
      <x:c r="Q25" t="n">
        <x:v>7</x:v>
      </x:c>
      <x:c r="R25" t="str">
        <x:v>continua</x:v>
      </x:c>
      <x:c r="S25" s="24" t="b">
        <x:v>1</x:v>
      </x:c>
      <x:c r="T25" s="36" t="str">
        <x:v>2026-03-02</x:v>
      </x:c>
      <x:c r="U25" t="str">
        <x:v>950768029</x:v>
      </x:c>
    </x:row>
    <x:row r="26">
      <x:c r="A26" t="str">
        <x:v>EST-0025</x:v>
      </x:c>
      <x:c r="B26" t="str">
        <x:v>Adrián</x:v>
      </x:c>
      <x:c r="C26" t="str">
        <x:v>Mendoza Salazar</x:v>
      </x:c>
      <x:c r="D26" t="str">
        <x:v>82841512</x:v>
      </x:c>
      <x:c r="E26" t="str">
        <x:v>est0025@alumnos.blenkir.edu.pe</x:v>
      </x:c>
      <x:c r="F26" t="n">
        <x:v>1</x:v>
      </x:c>
      <x:c r="G26" t="str">
        <x:v>C</x:v>
      </x:c>
      <x:c r="H26" t="str">
        <x:v>1C</x:v>
      </x:c>
      <x:c r="I26" t="str">
        <x:v>activo</x:v>
      </x:c>
      <x:c r="J26" t="str">
        <x:v>activa</x:v>
      </x:c>
      <x:c r="K26" t="n">
        <x:v>12.86</x:v>
      </x:c>
      <x:c r="L26" t="n">
        <x:v>0</x:v>
      </x:c>
      <x:c r="M26" t="n">
        <x:v>89.93</x:v>
      </x:c>
      <x:c r="N26" t="n">
        <x:v>5.91</x:v>
      </x:c>
      <x:c r="O26" t="n">
        <x:v>13.67</x:v>
      </x:c>
      <x:c r="P26" t="n">
        <x:v>13</x:v>
      </x:c>
      <x:c r="Q26" t="n">
        <x:v>10</x:v>
      </x:c>
      <x:c r="R26" t="str">
        <x:v>continua</x:v>
      </x:c>
      <x:c r="S26" s="24" t="b">
        <x:v>1</x:v>
      </x:c>
      <x:c r="T26" s="36" t="str">
        <x:v>2026-03-02</x:v>
      </x:c>
      <x:c r="U26" t="str">
        <x:v>964656896</x:v>
      </x:c>
    </x:row>
    <x:row r="27">
      <x:c r="A27" t="str">
        <x:v>EST-0026</x:v>
      </x:c>
      <x:c r="B27" t="str">
        <x:v>David</x:v>
      </x:c>
      <x:c r="C27" t="str">
        <x:v>Sánchez Cabrera</x:v>
      </x:c>
      <x:c r="D27" t="str">
        <x:v>71527282</x:v>
      </x:c>
      <x:c r="E27" t="str">
        <x:v>est0026@alumnos.blenkir.edu.pe</x:v>
      </x:c>
      <x:c r="F27" t="n">
        <x:v>1</x:v>
      </x:c>
      <x:c r="G27" t="str">
        <x:v>C</x:v>
      </x:c>
      <x:c r="H27" t="str">
        <x:v>1C</x:v>
      </x:c>
      <x:c r="I27" t="str">
        <x:v>activo</x:v>
      </x:c>
      <x:c r="J27" t="str">
        <x:v>activa</x:v>
      </x:c>
      <x:c r="K27" t="n">
        <x:v>17.2</x:v>
      </x:c>
      <x:c r="L27" t="n">
        <x:v>0</x:v>
      </x:c>
      <x:c r="M27" t="n">
        <x:v>90.89</x:v>
      </x:c>
      <x:c r="N27" t="n">
        <x:v>8.65</x:v>
      </x:c>
      <x:c r="O27" t="n">
        <x:v>19.41</x:v>
      </x:c>
      <x:c r="P27" t="n">
        <x:v>15</x:v>
      </x:c>
      <x:c r="Q27" t="n">
        <x:v>14</x:v>
      </x:c>
      <x:c r="R27" t="str">
        <x:v>continua</x:v>
      </x:c>
      <x:c r="S27" s="24" t="b">
        <x:v>1</x:v>
      </x:c>
      <x:c r="T27" s="36" t="str">
        <x:v>2026-03-02</x:v>
      </x:c>
      <x:c r="U27" t="str">
        <x:v>994830011</x:v>
      </x:c>
    </x:row>
    <x:row r="28">
      <x:c r="A28" t="str">
        <x:v>EST-0027</x:v>
      </x:c>
      <x:c r="B28" t="str">
        <x:v>Gonzalo</x:v>
      </x:c>
      <x:c r="C28" t="str">
        <x:v>Aguilar Guerrero</x:v>
      </x:c>
      <x:c r="D28" t="str">
        <x:v>76472364</x:v>
      </x:c>
      <x:c r="E28" t="str">
        <x:v>est0027@alumnos.blenkir.edu.pe</x:v>
      </x:c>
      <x:c r="F28" t="n">
        <x:v>1</x:v>
      </x:c>
      <x:c r="G28" t="str">
        <x:v>C</x:v>
      </x:c>
      <x:c r="H28" t="str">
        <x:v>1C</x:v>
      </x:c>
      <x:c r="I28" t="str">
        <x:v>activo</x:v>
      </x:c>
      <x:c r="J28" t="str">
        <x:v>activa</x:v>
      </x:c>
      <x:c r="K28" t="n">
        <x:v>16.25</x:v>
      </x:c>
      <x:c r="L28" t="n">
        <x:v>0</x:v>
      </x:c>
      <x:c r="M28" t="n">
        <x:v>88.11</x:v>
      </x:c>
      <x:c r="N28" t="n">
        <x:v>5.02</x:v>
      </x:c>
      <x:c r="O28" t="n">
        <x:v>10.02</x:v>
      </x:c>
      <x:c r="P28" t="n">
        <x:v>14</x:v>
      </x:c>
      <x:c r="Q28" t="n">
        <x:v>9</x:v>
      </x:c>
      <x:c r="R28" t="str">
        <x:v>continua</x:v>
      </x:c>
      <x:c r="S28" s="24" t="b">
        <x:v>1</x:v>
      </x:c>
      <x:c r="T28" s="36" t="str">
        <x:v>2026-03-02</x:v>
      </x:c>
      <x:c r="U28" t="str">
        <x:v>921777687</x:v>
      </x:c>
    </x:row>
    <x:row r="29">
      <x:c r="A29" t="str">
        <x:v>EST-0028</x:v>
      </x:c>
      <x:c r="B29" t="str">
        <x:v>Juan</x:v>
      </x:c>
      <x:c r="C29" t="str">
        <x:v>Chávez Sánchez</x:v>
      </x:c>
      <x:c r="D29" t="str">
        <x:v>76510610</x:v>
      </x:c>
      <x:c r="E29" t="str">
        <x:v>est0028@alumnos.blenkir.edu.pe</x:v>
      </x:c>
      <x:c r="F29" t="n">
        <x:v>1</x:v>
      </x:c>
      <x:c r="G29" t="str">
        <x:v>C</x:v>
      </x:c>
      <x:c r="H29" t="str">
        <x:v>1C</x:v>
      </x:c>
      <x:c r="I29" t="str">
        <x:v>retirado</x:v>
      </x:c>
      <x:c r="J29" t="str">
        <x:v>retirada</x:v>
      </x:c>
      <x:c r="K29" t="n">
        <x:v>14.88</x:v>
      </x:c>
      <x:c r="L29" t="n">
        <x:v>0</x:v>
      </x:c>
      <x:c r="M29" t="n">
        <x:v>95.71</x:v>
      </x:c>
      <x:c r="N29" t="n">
        <x:v>10.77</x:v>
      </x:c>
      <x:c r="O29" t="n">
        <x:v>18.76</x:v>
      </x:c>
      <x:c r="P29" t="n">
        <x:v>19</x:v>
      </x:c>
      <x:c r="Q29" t="n">
        <x:v>15</x:v>
      </x:c>
      <x:c r="R29" t="str">
        <x:v>retirada</x:v>
      </x:c>
      <x:c r="S29" s="24" t="b">
        <x:v>1</x:v>
      </x:c>
      <x:c r="T29" s="36" t="str">
        <x:v>2026-03-02</x:v>
      </x:c>
      <x:c r="U29" t="str">
        <x:v>945905482</x:v>
      </x:c>
    </x:row>
    <x:row r="30">
      <x:c r="A30" t="str">
        <x:v>EST-0029</x:v>
      </x:c>
      <x:c r="B30" t="str">
        <x:v>Pablo</x:v>
      </x:c>
      <x:c r="C30" t="str">
        <x:v>Guerrero Cáceres</x:v>
      </x:c>
      <x:c r="D30" t="str">
        <x:v>71370872</x:v>
      </x:c>
      <x:c r="E30" t="str">
        <x:v>est0029@alumnos.blenkir.edu.pe</x:v>
      </x:c>
      <x:c r="F30" t="n">
        <x:v>1</x:v>
      </x:c>
      <x:c r="G30" t="str">
        <x:v>C</x:v>
      </x:c>
      <x:c r="H30" t="str">
        <x:v>1C</x:v>
      </x:c>
      <x:c r="I30" t="str">
        <x:v>activo</x:v>
      </x:c>
      <x:c r="J30" t="str">
        <x:v>activa</x:v>
      </x:c>
      <x:c r="K30" t="n">
        <x:v>12.1</x:v>
      </x:c>
      <x:c r="L30" t="n">
        <x:v>0</x:v>
      </x:c>
      <x:c r="M30" t="n">
        <x:v>94.9</x:v>
      </x:c>
      <x:c r="N30" t="n">
        <x:v>6.48</x:v>
      </x:c>
      <x:c r="O30" t="n">
        <x:v>12.27</x:v>
      </x:c>
      <x:c r="P30" t="n">
        <x:v>10</x:v>
      </x:c>
      <x:c r="Q30" t="n">
        <x:v>7</x:v>
      </x:c>
      <x:c r="R30" t="str">
        <x:v>continua</x:v>
      </x:c>
      <x:c r="S30" s="24" t="b">
        <x:v>1</x:v>
      </x:c>
      <x:c r="T30" s="36" t="str">
        <x:v>2026-03-02</x:v>
      </x:c>
      <x:c r="U30" t="str">
        <x:v>977677253</x:v>
      </x:c>
    </x:row>
    <x:row r="31">
      <x:c r="A31" t="str">
        <x:v>EST-0030</x:v>
      </x:c>
      <x:c r="B31" t="str">
        <x:v>Víctor</x:v>
      </x:c>
      <x:c r="C31" t="str">
        <x:v>Quispe Gutiérrez</x:v>
      </x:c>
      <x:c r="D31" t="str">
        <x:v>84893642</x:v>
      </x:c>
      <x:c r="E31" t="str">
        <x:v>est0030@alumnos.blenkir.edu.pe</x:v>
      </x:c>
      <x:c r="F31" t="n">
        <x:v>1</x:v>
      </x:c>
      <x:c r="G31" t="str">
        <x:v>C</x:v>
      </x:c>
      <x:c r="H31" t="str">
        <x:v>1C</x:v>
      </x:c>
      <x:c r="I31" t="str">
        <x:v>activo</x:v>
      </x:c>
      <x:c r="J31" t="str">
        <x:v>activa</x:v>
      </x:c>
      <x:c r="K31" t="n">
        <x:v>15.27</x:v>
      </x:c>
      <x:c r="L31" t="n">
        <x:v>0</x:v>
      </x:c>
      <x:c r="M31" t="n">
        <x:v>93.04</x:v>
      </x:c>
      <x:c r="N31" t="n">
        <x:v>5.11</x:v>
      </x:c>
      <x:c r="O31" t="n">
        <x:v>8.46</x:v>
      </x:c>
      <x:c r="P31" t="n">
        <x:v>9</x:v>
      </x:c>
      <x:c r="Q31" t="n">
        <x:v>8</x:v>
      </x:c>
      <x:c r="R31" t="str">
        <x:v>continua</x:v>
      </x:c>
      <x:c r="S31" s="24" t="b">
        <x:v>1</x:v>
      </x:c>
      <x:c r="T31" s="36" t="str">
        <x:v>2026-03-02</x:v>
      </x:c>
      <x:c r="U31" t="str">
        <x:v>905967958</x:v>
      </x:c>
    </x:row>
    <x:row r="32">
      <x:c r="A32" t="str">
        <x:v>EST-0031</x:v>
      </x:c>
      <x:c r="B32" t="str">
        <x:v>Fernanda</x:v>
      </x:c>
      <x:c r="C32" t="str">
        <x:v>Vargas Silva</x:v>
      </x:c>
      <x:c r="D32" t="str">
        <x:v>74132239</x:v>
      </x:c>
      <x:c r="E32" t="str">
        <x:v>est0031@alumnos.blenkir.edu.pe</x:v>
      </x:c>
      <x:c r="F32" t="n">
        <x:v>1</x:v>
      </x:c>
      <x:c r="G32" t="str">
        <x:v>C</x:v>
      </x:c>
      <x:c r="H32" t="str">
        <x:v>1C</x:v>
      </x:c>
      <x:c r="I32" t="str">
        <x:v>activo</x:v>
      </x:c>
      <x:c r="J32" t="str">
        <x:v>activa</x:v>
      </x:c>
      <x:c r="K32" t="n">
        <x:v>15.88</x:v>
      </x:c>
      <x:c r="L32" t="n">
        <x:v>0</x:v>
      </x:c>
      <x:c r="M32" t="n">
        <x:v>95.8</x:v>
      </x:c>
      <x:c r="N32" t="n">
        <x:v>9.93</x:v>
      </x:c>
      <x:c r="O32" t="n">
        <x:v>21.56</x:v>
      </x:c>
      <x:c r="P32" t="n">
        <x:v>18</x:v>
      </x:c>
      <x:c r="Q32" t="n">
        <x:v>13</x:v>
      </x:c>
      <x:c r="R32" t="str">
        <x:v>continua</x:v>
      </x:c>
      <x:c r="S32" s="24" t="b">
        <x:v>1</x:v>
      </x:c>
      <x:c r="T32" s="36" t="str">
        <x:v>2026-03-02</x:v>
      </x:c>
      <x:c r="U32" t="str">
        <x:v>926760548</x:v>
      </x:c>
    </x:row>
    <x:row r="33">
      <x:c r="A33" t="str">
        <x:v>EST-0032</x:v>
      </x:c>
      <x:c r="B33" t="str">
        <x:v>Natalia</x:v>
      </x:c>
      <x:c r="C33" t="str">
        <x:v>Cabrera Campos</x:v>
      </x:c>
      <x:c r="D33" t="str">
        <x:v>86366569</x:v>
      </x:c>
      <x:c r="E33" t="str">
        <x:v>est0032@alumnos.blenkir.edu.pe</x:v>
      </x:c>
      <x:c r="F33" t="n">
        <x:v>1</x:v>
      </x:c>
      <x:c r="G33" t="str">
        <x:v>C</x:v>
      </x:c>
      <x:c r="H33" t="str">
        <x:v>1C</x:v>
      </x:c>
      <x:c r="I33" t="str">
        <x:v>activo</x:v>
      </x:c>
      <x:c r="J33" t="str">
        <x:v>activa</x:v>
      </x:c>
      <x:c r="K33" t="n">
        <x:v>16.7</x:v>
      </x:c>
      <x:c r="L33" t="n">
        <x:v>0</x:v>
      </x:c>
      <x:c r="M33" t="n">
        <x:v>92.12</x:v>
      </x:c>
      <x:c r="N33" t="n">
        <x:v>7.46</x:v>
      </x:c>
      <x:c r="O33" t="n">
        <x:v>15.8</x:v>
      </x:c>
      <x:c r="P33" t="n">
        <x:v>16</x:v>
      </x:c>
      <x:c r="Q33" t="n">
        <x:v>12</x:v>
      </x:c>
      <x:c r="R33" t="str">
        <x:v>continua</x:v>
      </x:c>
      <x:c r="S33" s="24" t="b">
        <x:v>1</x:v>
      </x:c>
      <x:c r="T33" s="36" t="str">
        <x:v>2026-03-02</x:v>
      </x:c>
      <x:c r="U33" t="str">
        <x:v>949585667</x:v>
      </x:c>
    </x:row>
    <x:row r="34">
      <x:c r="A34" t="str">
        <x:v>EST-0033</x:v>
      </x:c>
      <x:c r="B34" t="str">
        <x:v>Victoria</x:v>
      </x:c>
      <x:c r="C34" t="str">
        <x:v>De la Cruz Huamán</x:v>
      </x:c>
      <x:c r="D34" t="str">
        <x:v>71529017</x:v>
      </x:c>
      <x:c r="E34" t="str">
        <x:v>est0033@alumnos.blenkir.edu.pe</x:v>
      </x:c>
      <x:c r="F34" t="n">
        <x:v>1</x:v>
      </x:c>
      <x:c r="G34" t="str">
        <x:v>C</x:v>
      </x:c>
      <x:c r="H34" t="str">
        <x:v>1C</x:v>
      </x:c>
      <x:c r="I34" t="str">
        <x:v>activo</x:v>
      </x:c>
      <x:c r="J34" t="str">
        <x:v>activa</x:v>
      </x:c>
      <x:c r="K34" t="n">
        <x:v>10.22</x:v>
      </x:c>
      <x:c r="L34" t="n">
        <x:v>1</x:v>
      </x:c>
      <x:c r="M34" t="n">
        <x:v>97.44</x:v>
      </x:c>
      <x:c r="N34" t="n">
        <x:v>7.04</x:v>
      </x:c>
      <x:c r="O34" t="n">
        <x:v>12.31</x:v>
      </x:c>
      <x:c r="P34" t="n">
        <x:v>12</x:v>
      </x:c>
      <x:c r="Q34" t="n">
        <x:v>9</x:v>
      </x:c>
      <x:c r="R34" t="str">
        <x:v>continua</x:v>
      </x:c>
      <x:c r="S34" s="24" t="b">
        <x:v>1</x:v>
      </x:c>
      <x:c r="T34" s="36" t="str">
        <x:v>2026-03-02</x:v>
      </x:c>
      <x:c r="U34" t="str">
        <x:v>961812076</x:v>
      </x:c>
    </x:row>
    <x:row r="35">
      <x:c r="A35" t="str">
        <x:v>EST-0034</x:v>
      </x:c>
      <x:c r="B35" t="str">
        <x:v>Bruno</x:v>
      </x:c>
      <x:c r="C35" t="str">
        <x:v>Medina Soto</x:v>
      </x:c>
      <x:c r="D35" t="str">
        <x:v>85846699</x:v>
      </x:c>
      <x:c r="E35" t="str">
        <x:v>est0034@alumnos.blenkir.edu.pe</x:v>
      </x:c>
      <x:c r="F35" t="n">
        <x:v>1</x:v>
      </x:c>
      <x:c r="G35" t="str">
        <x:v>C</x:v>
      </x:c>
      <x:c r="H35" t="str">
        <x:v>1C</x:v>
      </x:c>
      <x:c r="I35" t="str">
        <x:v>activo</x:v>
      </x:c>
      <x:c r="J35" t="str">
        <x:v>activa</x:v>
      </x:c>
      <x:c r="K35" t="n">
        <x:v>19.5</x:v>
      </x:c>
      <x:c r="L35" t="n">
        <x:v>0</x:v>
      </x:c>
      <x:c r="M35" t="n">
        <x:v>97.78</x:v>
      </x:c>
      <x:c r="N35" t="n">
        <x:v>7.25</x:v>
      </x:c>
      <x:c r="O35" t="n">
        <x:v>14.52</x:v>
      </x:c>
      <x:c r="P35" t="n">
        <x:v>13</x:v>
      </x:c>
      <x:c r="Q35" t="n">
        <x:v>9</x:v>
      </x:c>
      <x:c r="R35" t="str">
        <x:v>continua</x:v>
      </x:c>
      <x:c r="S35" s="24" t="b">
        <x:v>1</x:v>
      </x:c>
      <x:c r="T35" s="36" t="str">
        <x:v>2026-03-02</x:v>
      </x:c>
      <x:c r="U35" t="str">
        <x:v>972984563</x:v>
      </x:c>
    </x:row>
    <x:row r="36">
      <x:c r="A36" t="str">
        <x:v>EST-0035</x:v>
      </x:c>
      <x:c r="B36" t="str">
        <x:v>Emilio</x:v>
      </x:c>
      <x:c r="C36" t="str">
        <x:v>Salazar Carrasco</x:v>
      </x:c>
      <x:c r="D36" t="str">
        <x:v>79607373</x:v>
      </x:c>
      <x:c r="E36" t="str">
        <x:v>est0035@alumnos.blenkir.edu.pe</x:v>
      </x:c>
      <x:c r="F36" t="n">
        <x:v>1</x:v>
      </x:c>
      <x:c r="G36" t="str">
        <x:v>C</x:v>
      </x:c>
      <x:c r="H36" t="str">
        <x:v>1C</x:v>
      </x:c>
      <x:c r="I36" t="str">
        <x:v>activo</x:v>
      </x:c>
      <x:c r="J36" t="str">
        <x:v>activa</x:v>
      </x:c>
      <x:c r="K36" t="n">
        <x:v>14.16</x:v>
      </x:c>
      <x:c r="L36" t="n">
        <x:v>0</x:v>
      </x:c>
      <x:c r="M36" t="n">
        <x:v>99.5</x:v>
      </x:c>
      <x:c r="N36" t="n">
        <x:v>6.54</x:v>
      </x:c>
      <x:c r="O36" t="n">
        <x:v>13.84</x:v>
      </x:c>
      <x:c r="P36" t="n">
        <x:v>13</x:v>
      </x:c>
      <x:c r="Q36" t="n">
        <x:v>10</x:v>
      </x:c>
      <x:c r="R36" t="str">
        <x:v>continua</x:v>
      </x:c>
      <x:c r="S36" s="24" t="b">
        <x:v>1</x:v>
      </x:c>
      <x:c r="T36" s="36" t="str">
        <x:v>2026-03-02</x:v>
      </x:c>
      <x:c r="U36" t="str">
        <x:v>912681647</x:v>
      </x:c>
    </x:row>
    <x:row r="37">
      <x:c r="A37" t="str">
        <x:v>EST-0036</x:v>
      </x:c>
      <x:c r="B37" t="str">
        <x:v>Javier</x:v>
      </x:c>
      <x:c r="C37" t="str">
        <x:v>Zúñiga López</x:v>
      </x:c>
      <x:c r="D37" t="str">
        <x:v>76318178</x:v>
      </x:c>
      <x:c r="E37" t="str">
        <x:v>est0036@alumnos.blenkir.edu.pe</x:v>
      </x:c>
      <x:c r="F37" t="n">
        <x:v>1</x:v>
      </x:c>
      <x:c r="G37" t="str">
        <x:v>D</x:v>
      </x:c>
      <x:c r="H37" t="str">
        <x:v>1D</x:v>
      </x:c>
      <x:c r="I37" t="str">
        <x:v>activo</x:v>
      </x:c>
      <x:c r="J37" t="str">
        <x:v>activa</x:v>
      </x:c>
      <x:c r="K37" t="n">
        <x:v>15.33</x:v>
      </x:c>
      <x:c r="L37" t="n">
        <x:v>0</x:v>
      </x:c>
      <x:c r="M37" t="n">
        <x:v>89.76</x:v>
      </x:c>
      <x:c r="N37" t="n">
        <x:v>6.77</x:v>
      </x:c>
      <x:c r="O37" t="n">
        <x:v>9.28</x:v>
      </x:c>
      <x:c r="P37" t="n">
        <x:v>11</x:v>
      </x:c>
      <x:c r="Q37" t="n">
        <x:v>11</x:v>
      </x:c>
      <x:c r="R37" t="str">
        <x:v>continua</x:v>
      </x:c>
      <x:c r="S37" s="24" t="b">
        <x:v>1</x:v>
      </x:c>
      <x:c r="T37" s="36" t="str">
        <x:v>2026-03-02</x:v>
      </x:c>
      <x:c r="U37" t="str">
        <x:v>957991437</x:v>
      </x:c>
    </x:row>
    <x:row r="38">
      <x:c r="A38" t="str">
        <x:v>EST-0037</x:v>
      </x:c>
      <x:c r="B38" t="str">
        <x:v>Mateo</x:v>
      </x:c>
      <x:c r="C38" t="str">
        <x:v>Castro Torres</x:v>
      </x:c>
      <x:c r="D38" t="str">
        <x:v>83794632</x:v>
      </x:c>
      <x:c r="E38" t="str">
        <x:v>est0037@alumnos.blenkir.edu.pe</x:v>
      </x:c>
      <x:c r="F38" t="n">
        <x:v>1</x:v>
      </x:c>
      <x:c r="G38" t="str">
        <x:v>D</x:v>
      </x:c>
      <x:c r="H38" t="str">
        <x:v>1D</x:v>
      </x:c>
      <x:c r="I38" t="str">
        <x:v>retirado</x:v>
      </x:c>
      <x:c r="J38" t="str">
        <x:v>retirada</x:v>
      </x:c>
      <x:c r="K38" t="n">
        <x:v>15.47</x:v>
      </x:c>
      <x:c r="L38" t="n">
        <x:v>0</x:v>
      </x:c>
      <x:c r="M38" t="n">
        <x:v>87.1</x:v>
      </x:c>
      <x:c r="N38" t="n">
        <x:v>6.98</x:v>
      </x:c>
      <x:c r="O38" t="n">
        <x:v>12.27</x:v>
      </x:c>
      <x:c r="P38" t="n">
        <x:v>14</x:v>
      </x:c>
      <x:c r="Q38" t="n">
        <x:v>11</x:v>
      </x:c>
      <x:c r="R38" t="str">
        <x:v>retirada</x:v>
      </x:c>
      <x:c r="S38" s="24" t="b">
        <x:v>1</x:v>
      </x:c>
      <x:c r="T38" s="36" t="str">
        <x:v>2026-03-02</x:v>
      </x:c>
      <x:c r="U38" t="str">
        <x:v>930798433</x:v>
      </x:c>
    </x:row>
    <x:row r="39">
      <x:c r="A39" t="str">
        <x:v>EST-0038</x:v>
      </x:c>
      <x:c r="B39" t="str">
        <x:v>Rodrigo</x:v>
      </x:c>
      <x:c r="C39" t="str">
        <x:v>Gonzales Castillo</x:v>
      </x:c>
      <x:c r="D39" t="str">
        <x:v>74484947</x:v>
      </x:c>
      <x:c r="E39" t="str">
        <x:v>est0038@alumnos.blenkir.edu.pe</x:v>
      </x:c>
      <x:c r="F39" t="n">
        <x:v>1</x:v>
      </x:c>
      <x:c r="G39" t="str">
        <x:v>D</x:v>
      </x:c>
      <x:c r="H39" t="str">
        <x:v>1D</x:v>
      </x:c>
      <x:c r="I39" t="str">
        <x:v>activo</x:v>
      </x:c>
      <x:c r="J39" t="str">
        <x:v>activa</x:v>
      </x:c>
      <x:c r="K39" t="n">
        <x:v>11.86</x:v>
      </x:c>
      <x:c r="L39" t="n">
        <x:v>0</x:v>
      </x:c>
      <x:c r="M39" t="n">
        <x:v>93.26</x:v>
      </x:c>
      <x:c r="N39" t="n">
        <x:v>9.35</x:v>
      </x:c>
      <x:c r="O39" t="n">
        <x:v>17.98</x:v>
      </x:c>
      <x:c r="P39" t="n">
        <x:v>16</x:v>
      </x:c>
      <x:c r="Q39" t="n">
        <x:v>14</x:v>
      </x:c>
      <x:c r="R39" t="str">
        <x:v>continua</x:v>
      </x:c>
      <x:c r="S39" s="24" t="b">
        <x:v>1</x:v>
      </x:c>
      <x:c r="T39" s="36" t="str">
        <x:v>2026-03-02</x:v>
      </x:c>
      <x:c r="U39" t="str">
        <x:v>966334562</x:v>
      </x:c>
    </x:row>
    <x:row r="40">
      <x:c r="A40" t="str">
        <x:v>EST-0039</x:v>
      </x:c>
      <x:c r="B40" t="str">
        <x:v>Carla</x:v>
      </x:c>
      <x:c r="C40" t="str">
        <x:v>Pérez Mamani</x:v>
      </x:c>
      <x:c r="D40" t="str">
        <x:v>71301928</x:v>
      </x:c>
      <x:c r="E40" t="str">
        <x:v>est0039@alumnos.blenkir.edu.pe</x:v>
      </x:c>
      <x:c r="F40" t="n">
        <x:v>1</x:v>
      </x:c>
      <x:c r="G40" t="str">
        <x:v>D</x:v>
      </x:c>
      <x:c r="H40" t="str">
        <x:v>1D</x:v>
      </x:c>
      <x:c r="I40" t="str">
        <x:v>activo</x:v>
      </x:c>
      <x:c r="J40" t="str">
        <x:v>activa</x:v>
      </x:c>
      <x:c r="K40" t="n">
        <x:v>12.92</x:v>
      </x:c>
      <x:c r="L40" t="n">
        <x:v>0</x:v>
      </x:c>
      <x:c r="M40" t="n">
        <x:v>86.2</x:v>
      </x:c>
      <x:c r="N40" t="n">
        <x:v>6.75</x:v>
      </x:c>
      <x:c r="O40" t="n">
        <x:v>11.43</x:v>
      </x:c>
      <x:c r="P40" t="n">
        <x:v>13</x:v>
      </x:c>
      <x:c r="Q40" t="n">
        <x:v>10</x:v>
      </x:c>
      <x:c r="R40" t="str">
        <x:v>continua</x:v>
      </x:c>
      <x:c r="S40" s="24" t="b">
        <x:v>1</x:v>
      </x:c>
      <x:c r="T40" s="36" t="str">
        <x:v>2026-03-02</x:v>
      </x:c>
      <x:c r="U40" t="str">
        <x:v>942119122</x:v>
      </x:c>
    </x:row>
    <x:row r="41">
      <x:c r="A41" t="str">
        <x:v>EST-0040</x:v>
      </x:c>
      <x:c r="B41" t="str">
        <x:v>Jimena</x:v>
      </x:c>
      <x:c r="C41" t="str">
        <x:v>Valdivia Vargas</x:v>
      </x:c>
      <x:c r="D41" t="str">
        <x:v>76194721</x:v>
      </x:c>
      <x:c r="E41" t="str">
        <x:v>est0040@alumnos.blenkir.edu.pe</x:v>
      </x:c>
      <x:c r="F41" t="n">
        <x:v>1</x:v>
      </x:c>
      <x:c r="G41" t="str">
        <x:v>D</x:v>
      </x:c>
      <x:c r="H41" t="str">
        <x:v>1D</x:v>
      </x:c>
      <x:c r="I41" t="str">
        <x:v>activo</x:v>
      </x:c>
      <x:c r="J41" t="str">
        <x:v>activa</x:v>
      </x:c>
      <x:c r="K41" t="n">
        <x:v>15.5</x:v>
      </x:c>
      <x:c r="L41" t="n">
        <x:v>0</x:v>
      </x:c>
      <x:c r="M41" t="n">
        <x:v>89.11</x:v>
      </x:c>
      <x:c r="N41" t="n">
        <x:v>6.79</x:v>
      </x:c>
      <x:c r="O41" t="n">
        <x:v>13.84</x:v>
      </x:c>
      <x:c r="P41" t="n">
        <x:v>12</x:v>
      </x:c>
      <x:c r="Q41" t="n">
        <x:v>9</x:v>
      </x:c>
      <x:c r="R41" t="str">
        <x:v>continua</x:v>
      </x:c>
      <x:c r="S41" s="24" t="b">
        <x:v>1</x:v>
      </x:c>
      <x:c r="T41" s="36" t="str">
        <x:v>2026-03-02</x:v>
      </x:c>
      <x:c r="U41" t="str">
        <x:v>922471349</x:v>
      </x:c>
    </x:row>
    <x:row r="42">
      <x:c r="A42" t="str">
        <x:v>EST-0041</x:v>
      </x:c>
      <x:c r="B42" t="str">
        <x:v>Renata</x:v>
      </x:c>
      <x:c r="C42" t="str">
        <x:v>Bendezú Castro</x:v>
      </x:c>
      <x:c r="D42" t="str">
        <x:v>80687714</x:v>
      </x:c>
      <x:c r="E42" t="str">
        <x:v>est0041@alumnos.blenkir.edu.pe</x:v>
      </x:c>
      <x:c r="F42" t="n">
        <x:v>1</x:v>
      </x:c>
      <x:c r="G42" t="str">
        <x:v>D</x:v>
      </x:c>
      <x:c r="H42" t="str">
        <x:v>1D</x:v>
      </x:c>
      <x:c r="I42" t="str">
        <x:v>activo</x:v>
      </x:c>
      <x:c r="J42" t="str">
        <x:v>activa</x:v>
      </x:c>
      <x:c r="K42" t="n">
        <x:v>13.92</x:v>
      </x:c>
      <x:c r="L42" t="n">
        <x:v>0</x:v>
      </x:c>
      <x:c r="M42" t="n">
        <x:v>86.3</x:v>
      </x:c>
      <x:c r="N42" t="n">
        <x:v>8.49</x:v>
      </x:c>
      <x:c r="O42" t="n">
        <x:v>17.51</x:v>
      </x:c>
      <x:c r="P42" t="n">
        <x:v>16</x:v>
      </x:c>
      <x:c r="Q42" t="n">
        <x:v>12</x:v>
      </x:c>
      <x:c r="R42" t="str">
        <x:v>continua</x:v>
      </x:c>
      <x:c r="S42" s="24" t="b">
        <x:v>1</x:v>
      </x:c>
      <x:c r="T42" s="36" t="str">
        <x:v>2026-03-02</x:v>
      </x:c>
      <x:c r="U42" t="str">
        <x:v>987356170</x:v>
      </x:c>
    </x:row>
    <x:row r="43">
      <x:c r="A43" t="str">
        <x:v>EST-0042</x:v>
      </x:c>
      <x:c r="B43" t="str">
        <x:v>Alejandra</x:v>
      </x:c>
      <x:c r="C43" t="str">
        <x:v>Dávila Medina</x:v>
      </x:c>
      <x:c r="D43" t="str">
        <x:v>82822879</x:v>
      </x:c>
      <x:c r="E43" t="str">
        <x:v>est0042@alumnos.blenkir.edu.pe</x:v>
      </x:c>
      <x:c r="F43" t="n">
        <x:v>1</x:v>
      </x:c>
      <x:c r="G43" t="str">
        <x:v>D</x:v>
      </x:c>
      <x:c r="H43" t="str">
        <x:v>1D</x:v>
      </x:c>
      <x:c r="I43" t="str">
        <x:v>activo</x:v>
      </x:c>
      <x:c r="J43" t="str">
        <x:v>activa</x:v>
      </x:c>
      <x:c r="K43" t="n">
        <x:v>15.72</x:v>
      </x:c>
      <x:c r="L43" t="n">
        <x:v>0</x:v>
      </x:c>
      <x:c r="M43" t="n">
        <x:v>99.27</x:v>
      </x:c>
      <x:c r="N43" t="n">
        <x:v>8.79</x:v>
      </x:c>
      <x:c r="O43" t="n">
        <x:v>14.97</x:v>
      </x:c>
      <x:c r="P43" t="n">
        <x:v>17</x:v>
      </x:c>
      <x:c r="Q43" t="n">
        <x:v>11</x:v>
      </x:c>
      <x:c r="R43" t="str">
        <x:v>continua</x:v>
      </x:c>
      <x:c r="S43" s="24" t="b">
        <x:v>1</x:v>
      </x:c>
      <x:c r="T43" s="36" t="str">
        <x:v>2026-03-02</x:v>
      </x:c>
      <x:c r="U43" t="str">
        <x:v>961888639</x:v>
      </x:c>
    </x:row>
    <x:row r="44">
      <x:c r="A44" t="str">
        <x:v>EST-0043</x:v>
      </x:c>
      <x:c r="B44" t="str">
        <x:v>Daniel</x:v>
      </x:c>
      <x:c r="C44" t="str">
        <x:v>Mamani Vargas</x:v>
      </x:c>
      <x:c r="D44" t="str">
        <x:v>70276300</x:v>
      </x:c>
      <x:c r="E44" t="str">
        <x:v>est0043@alumnos.blenkir.edu.pe</x:v>
      </x:c>
      <x:c r="F44" t="n">
        <x:v>1</x:v>
      </x:c>
      <x:c r="G44" t="str">
        <x:v>D</x:v>
      </x:c>
      <x:c r="H44" t="str">
        <x:v>1D</x:v>
      </x:c>
      <x:c r="I44" t="str">
        <x:v>activo</x:v>
      </x:c>
      <x:c r="J44" t="str">
        <x:v>activa</x:v>
      </x:c>
      <x:c r="K44" t="n">
        <x:v>13.42</x:v>
      </x:c>
      <x:c r="L44" t="n">
        <x:v>0</x:v>
      </x:c>
      <x:c r="M44" t="n">
        <x:v>90.11</x:v>
      </x:c>
      <x:c r="N44" t="n">
        <x:v>6.52</x:v>
      </x:c>
      <x:c r="O44" t="n">
        <x:v>13.87</x:v>
      </x:c>
      <x:c r="P44" t="n">
        <x:v>16</x:v>
      </x:c>
      <x:c r="Q44" t="n">
        <x:v>9</x:v>
      </x:c>
      <x:c r="R44" t="str">
        <x:v>continua</x:v>
      </x:c>
      <x:c r="S44" s="24" t="b">
        <x:v>1</x:v>
      </x:c>
      <x:c r="T44" s="36" t="str">
        <x:v>2026-03-02</x:v>
      </x:c>
      <x:c r="U44" t="str">
        <x:v>989541720</x:v>
      </x:c>
    </x:row>
    <x:row r="45">
      <x:c r="A45" t="str">
        <x:v>EST-0044</x:v>
      </x:c>
      <x:c r="B45" t="str">
        <x:v>Gael</x:v>
      </x:c>
      <x:c r="C45" t="str">
        <x:v>Romero Chávez</x:v>
      </x:c>
      <x:c r="D45" t="str">
        <x:v>70100617</x:v>
      </x:c>
      <x:c r="E45" t="str">
        <x:v>est0044@alumnos.blenkir.edu.pe</x:v>
      </x:c>
      <x:c r="F45" t="n">
        <x:v>1</x:v>
      </x:c>
      <x:c r="G45" t="str">
        <x:v>D</x:v>
      </x:c>
      <x:c r="H45" t="str">
        <x:v>1D</x:v>
      </x:c>
      <x:c r="I45" t="str">
        <x:v>activo</x:v>
      </x:c>
      <x:c r="J45" t="str">
        <x:v>activa</x:v>
      </x:c>
      <x:c r="K45" t="n">
        <x:v>17.01</x:v>
      </x:c>
      <x:c r="L45" t="n">
        <x:v>0</x:v>
      </x:c>
      <x:c r="M45" t="n">
        <x:v>91.03</x:v>
      </x:c>
      <x:c r="N45" t="n">
        <x:v>7.31</x:v>
      </x:c>
      <x:c r="O45" t="n">
        <x:v>11.95</x:v>
      </x:c>
      <x:c r="P45" t="n">
        <x:v>13</x:v>
      </x:c>
      <x:c r="Q45" t="n">
        <x:v>11</x:v>
      </x:c>
      <x:c r="R45" t="str">
        <x:v>continua</x:v>
      </x:c>
      <x:c r="S45" s="24" t="b">
        <x:v>1</x:v>
      </x:c>
      <x:c r="T45" s="36" t="str">
        <x:v>2026-03-02</x:v>
      </x:c>
      <x:c r="U45" t="str">
        <x:v>982960272</x:v>
      </x:c>
    </x:row>
    <x:row r="46">
      <x:c r="A46" t="str">
        <x:v>EST-0045</x:v>
      </x:c>
      <x:c r="B46" t="str">
        <x:v>José</x:v>
      </x:c>
      <x:c r="C46" t="str">
        <x:v>Yupanqui Mendoza</x:v>
      </x:c>
      <x:c r="D46" t="str">
        <x:v>74232747</x:v>
      </x:c>
      <x:c r="E46" t="str">
        <x:v>est0045@alumnos.blenkir.edu.pe</x:v>
      </x:c>
      <x:c r="F46" t="n">
        <x:v>1</x:v>
      </x:c>
      <x:c r="G46" t="str">
        <x:v>D</x:v>
      </x:c>
      <x:c r="H46" t="str">
        <x:v>1D</x:v>
      </x:c>
      <x:c r="I46" t="str">
        <x:v>activo</x:v>
      </x:c>
      <x:c r="J46" t="str">
        <x:v>activa</x:v>
      </x:c>
      <x:c r="K46" t="n">
        <x:v>14.55</x:v>
      </x:c>
      <x:c r="L46" t="n">
        <x:v>0</x:v>
      </x:c>
      <x:c r="M46" t="n">
        <x:v>87.02</x:v>
      </x:c>
      <x:c r="N46" t="n">
        <x:v>8.85</x:v>
      </x:c>
      <x:c r="O46" t="n">
        <x:v>17.06</x:v>
      </x:c>
      <x:c r="P46" t="n">
        <x:v>15</x:v>
      </x:c>
      <x:c r="Q46" t="n">
        <x:v>12</x:v>
      </x:c>
      <x:c r="R46" t="str">
        <x:v>continua</x:v>
      </x:c>
      <x:c r="S46" s="24" t="b">
        <x:v>1</x:v>
      </x:c>
      <x:c r="T46" s="36" t="str">
        <x:v>2026-03-02</x:v>
      </x:c>
      <x:c r="U46" t="str">
        <x:v>917963810</x:v>
      </x:c>
    </x:row>
    <x:row r="47">
      <x:c r="A47" t="str">
        <x:v>EST-0046</x:v>
      </x:c>
      <x:c r="B47" t="str">
        <x:v>Nicolás</x:v>
      </x:c>
      <x:c r="C47" t="str">
        <x:v>Castillo Vásquez</x:v>
      </x:c>
      <x:c r="D47" t="str">
        <x:v>85216117</x:v>
      </x:c>
      <x:c r="E47" t="str">
        <x:v>est0046@alumnos.blenkir.edu.pe</x:v>
      </x:c>
      <x:c r="F47" t="n">
        <x:v>1</x:v>
      </x:c>
      <x:c r="G47" t="str">
        <x:v>D</x:v>
      </x:c>
      <x:c r="H47" t="str">
        <x:v>1D</x:v>
      </x:c>
      <x:c r="I47" t="str">
        <x:v>retirado</x:v>
      </x:c>
      <x:c r="J47" t="str">
        <x:v>retirada</x:v>
      </x:c>
      <x:c r="K47" t="n">
        <x:v>15.23</x:v>
      </x:c>
      <x:c r="L47" t="n">
        <x:v>0</x:v>
      </x:c>
      <x:c r="M47" t="n">
        <x:v>83.64</x:v>
      </x:c>
      <x:c r="N47" t="n">
        <x:v>7.98</x:v>
      </x:c>
      <x:c r="O47" t="n">
        <x:v>16.52</x:v>
      </x:c>
      <x:c r="P47" t="n">
        <x:v>18</x:v>
      </x:c>
      <x:c r="Q47" t="n">
        <x:v>13</x:v>
      </x:c>
      <x:c r="R47" t="str">
        <x:v>retirada</x:v>
      </x:c>
      <x:c r="S47" s="24" t="b">
        <x:v>1</x:v>
      </x:c>
      <x:c r="T47" s="36" t="str">
        <x:v>2026-03-02</x:v>
      </x:c>
      <x:c r="U47" t="str">
        <x:v>965786280</x:v>
      </x:c>
    </x:row>
    <x:row r="48">
      <x:c r="A48" t="str">
        <x:v>EST-0047</x:v>
      </x:c>
      <x:c r="B48" t="str">
        <x:v>Thiago</x:v>
      </x:c>
      <x:c r="C48" t="str">
        <x:v>Gómez Condori</x:v>
      </x:c>
      <x:c r="D48" t="str">
        <x:v>88020263</x:v>
      </x:c>
      <x:c r="E48" t="str">
        <x:v>est0047@alumnos.blenkir.edu.pe</x:v>
      </x:c>
      <x:c r="F48" t="n">
        <x:v>2</x:v>
      </x:c>
      <x:c r="G48" t="str">
        <x:v>A</x:v>
      </x:c>
      <x:c r="H48" t="str">
        <x:v>2A</x:v>
      </x:c>
      <x:c r="I48" t="str">
        <x:v>activo</x:v>
      </x:c>
      <x:c r="J48" t="str">
        <x:v>activa</x:v>
      </x:c>
      <x:c r="K48" t="n">
        <x:v>13.45</x:v>
      </x:c>
      <x:c r="L48" t="n">
        <x:v>0</x:v>
      </x:c>
      <x:c r="M48" t="n">
        <x:v>90.82</x:v>
      </x:c>
      <x:c r="N48" t="n">
        <x:v>6.28</x:v>
      </x:c>
      <x:c r="O48" t="n">
        <x:v>10.24</x:v>
      </x:c>
      <x:c r="P48" t="n">
        <x:v>11</x:v>
      </x:c>
      <x:c r="Q48" t="n">
        <x:v>11</x:v>
      </x:c>
      <x:c r="R48" t="str">
        <x:v>continua</x:v>
      </x:c>
      <x:c r="S48" s="24" t="b">
        <x:v>1</x:v>
      </x:c>
      <x:c r="T48" s="36" t="str">
        <x:v>2026-03-02</x:v>
      </x:c>
      <x:c r="U48" t="str">
        <x:v>929056021</x:v>
      </x:c>
    </x:row>
    <x:row r="49">
      <x:c r="A49" t="str">
        <x:v>EST-0048</x:v>
      </x:c>
      <x:c r="B49" t="str">
        <x:v>Fabiana</x:v>
      </x:c>
      <x:c r="C49" t="str">
        <x:v>Paredes Morales</x:v>
      </x:c>
      <x:c r="D49" t="str">
        <x:v>77795580</x:v>
      </x:c>
      <x:c r="E49" t="str">
        <x:v>est0048@alumnos.blenkir.edu.pe</x:v>
      </x:c>
      <x:c r="F49" t="n">
        <x:v>2</x:v>
      </x:c>
      <x:c r="G49" t="str">
        <x:v>A</x:v>
      </x:c>
      <x:c r="H49" t="str">
        <x:v>2A</x:v>
      </x:c>
      <x:c r="I49" t="str">
        <x:v>activo</x:v>
      </x:c>
      <x:c r="J49" t="str">
        <x:v>activa</x:v>
      </x:c>
      <x:c r="K49" t="n">
        <x:v>13.53</x:v>
      </x:c>
      <x:c r="L49" t="n">
        <x:v>0</x:v>
      </x:c>
      <x:c r="M49" t="n">
        <x:v>96.2</x:v>
      </x:c>
      <x:c r="N49" t="n">
        <x:v>5.91</x:v>
      </x:c>
      <x:c r="O49" t="n">
        <x:v>12.24</x:v>
      </x:c>
      <x:c r="P49" t="n">
        <x:v>14</x:v>
      </x:c>
      <x:c r="Q49" t="n">
        <x:v>11</x:v>
      </x:c>
      <x:c r="R49" t="str">
        <x:v>continua</x:v>
      </x:c>
      <x:c r="S49" s="24" t="b">
        <x:v>1</x:v>
      </x:c>
      <x:c r="T49" s="36" t="str">
        <x:v>2026-03-02</x:v>
      </x:c>
      <x:c r="U49" t="str">
        <x:v>903024991</x:v>
      </x:c>
    </x:row>
    <x:row r="50">
      <x:c r="A50" t="str">
        <x:v>EST-0049</x:v>
      </x:c>
      <x:c r="B50" t="str">
        <x:v>Mía</x:v>
      </x:c>
      <x:c r="C50" t="str">
        <x:v>Torres Vega</x:v>
      </x:c>
      <x:c r="D50" t="str">
        <x:v>75295672</x:v>
      </x:c>
      <x:c r="E50" t="str">
        <x:v>est0049@alumnos.blenkir.edu.pe</x:v>
      </x:c>
      <x:c r="F50" t="n">
        <x:v>2</x:v>
      </x:c>
      <x:c r="G50" t="str">
        <x:v>A</x:v>
      </x:c>
      <x:c r="H50" t="str">
        <x:v>2A</x:v>
      </x:c>
      <x:c r="I50" t="str">
        <x:v>activo</x:v>
      </x:c>
      <x:c r="J50" t="str">
        <x:v>activa</x:v>
      </x:c>
      <x:c r="K50" t="n">
        <x:v>15.78</x:v>
      </x:c>
      <x:c r="L50" t="n">
        <x:v>0</x:v>
      </x:c>
      <x:c r="M50" t="n">
        <x:v>90.14</x:v>
      </x:c>
      <x:c r="N50" t="n">
        <x:v>6.5</x:v>
      </x:c>
      <x:c r="O50" t="n">
        <x:v>11.72</x:v>
      </x:c>
      <x:c r="P50" t="n">
        <x:v>12</x:v>
      </x:c>
      <x:c r="Q50" t="n">
        <x:v>10</x:v>
      </x:c>
      <x:c r="R50" t="str">
        <x:v>continua</x:v>
      </x:c>
      <x:c r="S50" s="24" t="b">
        <x:v>1</x:v>
      </x:c>
      <x:c r="T50" s="36" t="str">
        <x:v>2026-03-02</x:v>
      </x:c>
      <x:c r="U50" t="str">
        <x:v>961023824</x:v>
      </x:c>
    </x:row>
    <x:row r="51">
      <x:c r="A51" t="str">
        <x:v>EST-0050</x:v>
      </x:c>
      <x:c r="B51" t="str">
        <x:v>Valentina</x:v>
      </x:c>
      <x:c r="C51" t="str">
        <x:v>Arias Contreras</x:v>
      </x:c>
      <x:c r="D51" t="str">
        <x:v>82979940</x:v>
      </x:c>
      <x:c r="E51" t="str">
        <x:v>est0050@alumnos.blenkir.edu.pe</x:v>
      </x:c>
      <x:c r="F51" t="n">
        <x:v>2</x:v>
      </x:c>
      <x:c r="G51" t="str">
        <x:v>A</x:v>
      </x:c>
      <x:c r="H51" t="str">
        <x:v>2A</x:v>
      </x:c>
      <x:c r="I51" t="str">
        <x:v>activo</x:v>
      </x:c>
      <x:c r="J51" t="str">
        <x:v>activa</x:v>
      </x:c>
      <x:c r="K51" t="n">
        <x:v>13.48</x:v>
      </x:c>
      <x:c r="L51" t="n">
        <x:v>0</x:v>
      </x:c>
      <x:c r="M51" t="n">
        <x:v>95.21</x:v>
      </x:c>
      <x:c r="N51" t="n">
        <x:v>7.77</x:v>
      </x:c>
      <x:c r="O51" t="n">
        <x:v>13.96</x:v>
      </x:c>
      <x:c r="P51" t="n">
        <x:v>15</x:v>
      </x:c>
      <x:c r="Q51" t="n">
        <x:v>9</x:v>
      </x:c>
      <x:c r="R51" t="str">
        <x:v>continua</x:v>
      </x:c>
      <x:c r="S51" s="24" t="b">
        <x:v>1</x:v>
      </x:c>
      <x:c r="T51" s="36" t="str">
        <x:v>2026-03-02</x:v>
      </x:c>
      <x:c r="U51" t="str">
        <x:v>964839115</x:v>
      </x:c>
    </x:row>
    <x:row r="52">
      <x:c r="A52" t="str">
        <x:v>EST-0051</x:v>
      </x:c>
      <x:c r="B52" t="str">
        <x:v>Andrés</x:v>
      </x:c>
      <x:c r="C52" t="str">
        <x:v>Córdova Navarro</x:v>
      </x:c>
      <x:c r="D52" t="str">
        <x:v>74549987</x:v>
      </x:c>
      <x:c r="E52" t="str">
        <x:v>est0051@alumnos.blenkir.edu.pe</x:v>
      </x:c>
      <x:c r="F52" t="n">
        <x:v>2</x:v>
      </x:c>
      <x:c r="G52" t="str">
        <x:v>A</x:v>
      </x:c>
      <x:c r="H52" t="str">
        <x:v>2A</x:v>
      </x:c>
      <x:c r="I52" t="str">
        <x:v>activo</x:v>
      </x:c>
      <x:c r="J52" t="str">
        <x:v>activa</x:v>
      </x:c>
      <x:c r="K52" t="n">
        <x:v>13.67</x:v>
      </x:c>
      <x:c r="L52" t="n">
        <x:v>0</x:v>
      </x:c>
      <x:c r="M52" t="n">
        <x:v>96.08</x:v>
      </x:c>
      <x:c r="N52" t="n">
        <x:v>6.01</x:v>
      </x:c>
      <x:c r="O52" t="n">
        <x:v>8.18</x:v>
      </x:c>
      <x:c r="P52" t="n">
        <x:v>11</x:v>
      </x:c>
      <x:c r="Q52" t="n">
        <x:v>9</x:v>
      </x:c>
      <x:c r="R52" t="str">
        <x:v>continua</x:v>
      </x:c>
      <x:c r="S52" s="24" t="b">
        <x:v>1</x:v>
      </x:c>
      <x:c r="T52" s="36" t="str">
        <x:v>2026-03-02</x:v>
      </x:c>
      <x:c r="U52" t="str">
        <x:v>960828211</x:v>
      </x:c>
    </x:row>
    <x:row r="53">
      <x:c r="A53" t="str">
        <x:v>EST-0052</x:v>
      </x:c>
      <x:c r="B53" t="str">
        <x:v>Eduardo</x:v>
      </x:c>
      <x:c r="C53" t="str">
        <x:v>López Velásquez</x:v>
      </x:c>
      <x:c r="D53" t="str">
        <x:v>76088713</x:v>
      </x:c>
      <x:c r="E53" t="str">
        <x:v>est0052@alumnos.blenkir.edu.pe</x:v>
      </x:c>
      <x:c r="F53" t="n">
        <x:v>2</x:v>
      </x:c>
      <x:c r="G53" t="str">
        <x:v>A</x:v>
      </x:c>
      <x:c r="H53" t="str">
        <x:v>2A</x:v>
      </x:c>
      <x:c r="I53" t="str">
        <x:v>activo</x:v>
      </x:c>
      <x:c r="J53" t="str">
        <x:v>activa</x:v>
      </x:c>
      <x:c r="K53" t="n">
        <x:v>14.36</x:v>
      </x:c>
      <x:c r="L53" t="n">
        <x:v>0</x:v>
      </x:c>
      <x:c r="M53" t="n">
        <x:v>95.74</x:v>
      </x:c>
      <x:c r="N53" t="n">
        <x:v>4.59</x:v>
      </x:c>
      <x:c r="O53" t="n">
        <x:v>7.14</x:v>
      </x:c>
      <x:c r="P53" t="n">
        <x:v>10</x:v>
      </x:c>
      <x:c r="Q53" t="n">
        <x:v>8</x:v>
      </x:c>
      <x:c r="R53" t="str">
        <x:v>continua</x:v>
      </x:c>
      <x:c r="S53" s="24" t="b">
        <x:v>1</x:v>
      </x:c>
      <x:c r="T53" s="36" t="str">
        <x:v>2026-03-02</x:v>
      </x:c>
      <x:c r="U53" t="str">
        <x:v>938095021</x:v>
      </x:c>
    </x:row>
    <x:row r="54">
      <x:c r="A54" t="str">
        <x:v>EST-0053</x:v>
      </x:c>
      <x:c r="B54" t="str">
        <x:v>Iván</x:v>
      </x:c>
      <x:c r="C54" t="str">
        <x:v>Rojas Córdova</x:v>
      </x:c>
      <x:c r="D54" t="str">
        <x:v>74045981</x:v>
      </x:c>
      <x:c r="E54" t="str">
        <x:v>est0053@alumnos.blenkir.edu.pe</x:v>
      </x:c>
      <x:c r="F54" t="n">
        <x:v>2</x:v>
      </x:c>
      <x:c r="G54" t="str">
        <x:v>A</x:v>
      </x:c>
      <x:c r="H54" t="str">
        <x:v>2A</x:v>
      </x:c>
      <x:c r="I54" t="str">
        <x:v>activo</x:v>
      </x:c>
      <x:c r="J54" t="str">
        <x:v>activa</x:v>
      </x:c>
      <x:c r="K54" t="n">
        <x:v>13.23</x:v>
      </x:c>
      <x:c r="L54" t="n">
        <x:v>0</x:v>
      </x:c>
      <x:c r="M54" t="n">
        <x:v>92.02</x:v>
      </x:c>
      <x:c r="N54" t="n">
        <x:v>4.93</x:v>
      </x:c>
      <x:c r="O54" t="n">
        <x:v>9.45</x:v>
      </x:c>
      <x:c r="P54" t="n">
        <x:v>11</x:v>
      </x:c>
      <x:c r="Q54" t="n">
        <x:v>9</x:v>
      </x:c>
      <x:c r="R54" t="str">
        <x:v>continua</x:v>
      </x:c>
      <x:c r="S54" s="24" t="b">
        <x:v>1</x:v>
      </x:c>
      <x:c r="T54" s="36" t="str">
        <x:v>2026-03-02</x:v>
      </x:c>
      <x:c r="U54" t="str">
        <x:v>956645303</x:v>
      </x:c>
    </x:row>
    <x:row r="55">
      <x:c r="A55" t="str">
        <x:v>EST-0054</x:v>
      </x:c>
      <x:c r="B55" t="str">
        <x:v>Luis</x:v>
      </x:c>
      <x:c r="C55" t="str">
        <x:v>Velásquez Paredes</x:v>
      </x:c>
      <x:c r="D55" t="str">
        <x:v>81585389</x:v>
      </x:c>
      <x:c r="E55" t="str">
        <x:v>est0054@alumnos.blenkir.edu.pe</x:v>
      </x:c>
      <x:c r="F55" t="n">
        <x:v>2</x:v>
      </x:c>
      <x:c r="G55" t="str">
        <x:v>A</x:v>
      </x:c>
      <x:c r="H55" t="str">
        <x:v>2A</x:v>
      </x:c>
      <x:c r="I55" t="str">
        <x:v>activo</x:v>
      </x:c>
      <x:c r="J55" t="str">
        <x:v>activa</x:v>
      </x:c>
      <x:c r="K55" t="n">
        <x:v>16.84</x:v>
      </x:c>
      <x:c r="L55" t="n">
        <x:v>0</x:v>
      </x:c>
      <x:c r="M55" t="n">
        <x:v>99.5</x:v>
      </x:c>
      <x:c r="N55" t="n">
        <x:v>10.66</x:v>
      </x:c>
      <x:c r="O55" t="n">
        <x:v>18.25</x:v>
      </x:c>
      <x:c r="P55" t="n">
        <x:v>16</x:v>
      </x:c>
      <x:c r="Q55" t="n">
        <x:v>14</x:v>
      </x:c>
      <x:c r="R55" t="str">
        <x:v>continua</x:v>
      </x:c>
      <x:c r="S55" s="24" t="b">
        <x:v>1</x:v>
      </x:c>
      <x:c r="T55" s="36" t="str">
        <x:v>2026-03-02</x:v>
      </x:c>
      <x:c r="U55" t="str">
        <x:v>911197899</x:v>
      </x:c>
    </x:row>
    <x:row r="56">
      <x:c r="A56" t="str">
        <x:v>EST-0055</x:v>
      </x:c>
      <x:c r="B56" t="str">
        <x:v>Renato</x:v>
      </x:c>
      <x:c r="C56" t="str">
        <x:v>Carrasco Yupanqui</x:v>
      </x:c>
      <x:c r="D56" t="str">
        <x:v>75298003</x:v>
      </x:c>
      <x:c r="E56" t="str">
        <x:v>est0055@alumnos.blenkir.edu.pe</x:v>
      </x:c>
      <x:c r="F56" t="n">
        <x:v>2</x:v>
      </x:c>
      <x:c r="G56" t="str">
        <x:v>A</x:v>
      </x:c>
      <x:c r="H56" t="str">
        <x:v>2A</x:v>
      </x:c>
      <x:c r="I56" t="str">
        <x:v>retirado</x:v>
      </x:c>
      <x:c r="J56" t="str">
        <x:v>retirada</x:v>
      </x:c>
      <x:c r="K56" t="n">
        <x:v>17.79</x:v>
      </x:c>
      <x:c r="L56" t="n">
        <x:v>0</x:v>
      </x:c>
      <x:c r="M56" t="n">
        <x:v>96.84</x:v>
      </x:c>
      <x:c r="N56" t="n">
        <x:v>7.02</x:v>
      </x:c>
      <x:c r="O56" t="n">
        <x:v>13.03</x:v>
      </x:c>
      <x:c r="P56" t="n">
        <x:v>13</x:v>
      </x:c>
      <x:c r="Q56" t="n">
        <x:v>12</x:v>
      </x:c>
      <x:c r="R56" t="str">
        <x:v>retirada</x:v>
      </x:c>
      <x:c r="S56" s="24" t="b">
        <x:v>1</x:v>
      </x:c>
      <x:c r="T56" s="36" t="str">
        <x:v>2026-03-02</x:v>
      </x:c>
      <x:c r="U56" t="str">
        <x:v>964509191</x:v>
      </x:c>
    </x:row>
    <x:row r="57">
      <x:c r="A57" t="str">
        <x:v>EST-0056</x:v>
      </x:c>
      <x:c r="B57" t="str">
        <x:v>Camila</x:v>
      </x:c>
      <x:c r="C57" t="str">
        <x:v>García Dávila</x:v>
      </x:c>
      <x:c r="D57" t="str">
        <x:v>87527838</x:v>
      </x:c>
      <x:c r="E57" t="str">
        <x:v>est0056@alumnos.blenkir.edu.pe</x:v>
      </x:c>
      <x:c r="F57" t="n">
        <x:v>2</x:v>
      </x:c>
      <x:c r="G57" t="str">
        <x:v>A</x:v>
      </x:c>
      <x:c r="H57" t="str">
        <x:v>2A</x:v>
      </x:c>
      <x:c r="I57" t="str">
        <x:v>activo</x:v>
      </x:c>
      <x:c r="J57" t="str">
        <x:v>activa</x:v>
      </x:c>
      <x:c r="K57" t="n">
        <x:v>14.99</x:v>
      </x:c>
      <x:c r="L57" t="n">
        <x:v>0</x:v>
      </x:c>
      <x:c r="M57" t="n">
        <x:v>99.5</x:v>
      </x:c>
      <x:c r="N57" t="n">
        <x:v>6.9</x:v>
      </x:c>
      <x:c r="O57" t="n">
        <x:v>14.89</x:v>
      </x:c>
      <x:c r="P57" t="n">
        <x:v>15</x:v>
      </x:c>
      <x:c r="Q57" t="n">
        <x:v>9</x:v>
      </x:c>
      <x:c r="R57" t="str">
        <x:v>continua</x:v>
      </x:c>
      <x:c r="S57" s="24" t="b">
        <x:v>1</x:v>
      </x:c>
      <x:c r="T57" s="36" t="str">
        <x:v>2026-03-02</x:v>
      </x:c>
      <x:c r="U57" t="str">
        <x:v>920108290</x:v>
      </x:c>
    </x:row>
    <x:row r="58">
      <x:c r="A58" t="str">
        <x:v>EST-0057</x:v>
      </x:c>
      <x:c r="B58" t="str">
        <x:v>Isabella</x:v>
      </x:c>
      <x:c r="C58" t="str">
        <x:v>Navarro Pérez</x:v>
      </x:c>
      <x:c r="D58" t="str">
        <x:v>82889949</x:v>
      </x:c>
      <x:c r="E58" t="str">
        <x:v>est0057@alumnos.blenkir.edu.pe</x:v>
      </x:c>
      <x:c r="F58" t="n">
        <x:v>2</x:v>
      </x:c>
      <x:c r="G58" t="str">
        <x:v>A</x:v>
      </x:c>
      <x:c r="H58" t="str">
        <x:v>2A</x:v>
      </x:c>
      <x:c r="I58" t="str">
        <x:v>activo</x:v>
      </x:c>
      <x:c r="J58" t="str">
        <x:v>activa</x:v>
      </x:c>
      <x:c r="K58" t="n">
        <x:v>14.86</x:v>
      </x:c>
      <x:c r="L58" t="n">
        <x:v>0</x:v>
      </x:c>
      <x:c r="M58" t="n">
        <x:v>85.86</x:v>
      </x:c>
      <x:c r="N58" t="n">
        <x:v>5.56</x:v>
      </x:c>
      <x:c r="O58" t="n">
        <x:v>10.28</x:v>
      </x:c>
      <x:c r="P58" t="n">
        <x:v>11</x:v>
      </x:c>
      <x:c r="Q58" t="n">
        <x:v>9</x:v>
      </x:c>
      <x:c r="R58" t="str">
        <x:v>continua</x:v>
      </x:c>
      <x:c r="S58" s="24" t="b">
        <x:v>1</x:v>
      </x:c>
      <x:c r="T58" s="36" t="str">
        <x:v>2026-03-02</x:v>
      </x:c>
      <x:c r="U58" t="str">
        <x:v>979624367</x:v>
      </x:c>
    </x:row>
    <x:row r="59">
      <x:c r="A59" t="str">
        <x:v>EST-0058</x:v>
      </x:c>
      <x:c r="B59" t="str">
        <x:v>Paula</x:v>
      </x:c>
      <x:c r="C59" t="str">
        <x:v>Soto Zúñiga</x:v>
      </x:c>
      <x:c r="D59" t="str">
        <x:v>89891533</x:v>
      </x:c>
      <x:c r="E59" t="str">
        <x:v>est0058@alumnos.blenkir.edu.pe</x:v>
      </x:c>
      <x:c r="F59" t="n">
        <x:v>2</x:v>
      </x:c>
      <x:c r="G59" t="str">
        <x:v>A</x:v>
      </x:c>
      <x:c r="H59" t="str">
        <x:v>2A</x:v>
      </x:c>
      <x:c r="I59" t="str">
        <x:v>activo</x:v>
      </x:c>
      <x:c r="J59" t="str">
        <x:v>activa</x:v>
      </x:c>
      <x:c r="K59" t="n">
        <x:v>13.18</x:v>
      </x:c>
      <x:c r="L59" t="n">
        <x:v>0</x:v>
      </x:c>
      <x:c r="M59" t="n">
        <x:v>91.75</x:v>
      </x:c>
      <x:c r="N59" t="n">
        <x:v>7.92</x:v>
      </x:c>
      <x:c r="O59" t="n">
        <x:v>13.71</x:v>
      </x:c>
      <x:c r="P59" t="n">
        <x:v>13</x:v>
      </x:c>
      <x:c r="Q59" t="n">
        <x:v>12</x:v>
      </x:c>
      <x:c r="R59" t="str">
        <x:v>continua</x:v>
      </x:c>
      <x:c r="S59" s="24" t="b">
        <x:v>1</x:v>
      </x:c>
      <x:c r="T59" s="36" t="str">
        <x:v>2026-03-02</x:v>
      </x:c>
      <x:c r="U59" t="str">
        <x:v>929751989</x:v>
      </x:c>
    </x:row>
    <x:row r="60">
      <x:c r="A60" t="str">
        <x:v>EST-0059</x:v>
      </x:c>
      <x:c r="B60" t="str">
        <x:v>Andrea</x:v>
      </x:c>
      <x:c r="C60" t="str">
        <x:v>Alvarado De la Cruz</x:v>
      </x:c>
      <x:c r="D60" t="str">
        <x:v>78880067</x:v>
      </x:c>
      <x:c r="E60" t="str">
        <x:v>est0059@alumnos.blenkir.edu.pe</x:v>
      </x:c>
      <x:c r="F60" t="n">
        <x:v>2</x:v>
      </x:c>
      <x:c r="G60" t="str">
        <x:v>B</x:v>
      </x:c>
      <x:c r="H60" t="str">
        <x:v>2B</x:v>
      </x:c>
      <x:c r="I60" t="str">
        <x:v>activo</x:v>
      </x:c>
      <x:c r="J60" t="str">
        <x:v>activa</x:v>
      </x:c>
      <x:c r="K60" t="n">
        <x:v>15.42</x:v>
      </x:c>
      <x:c r="L60" t="n">
        <x:v>0</x:v>
      </x:c>
      <x:c r="M60" t="n">
        <x:v>92.05</x:v>
      </x:c>
      <x:c r="N60" t="n">
        <x:v>7.95</x:v>
      </x:c>
      <x:c r="O60" t="n">
        <x:v>13.18</x:v>
      </x:c>
      <x:c r="P60" t="n">
        <x:v>16</x:v>
      </x:c>
      <x:c r="Q60" t="n">
        <x:v>12</x:v>
      </x:c>
      <x:c r="R60" t="str">
        <x:v>continua</x:v>
      </x:c>
      <x:c r="S60" s="24" t="b">
        <x:v>1</x:v>
      </x:c>
      <x:c r="T60" s="36" t="str">
        <x:v>2026-03-02</x:v>
      </x:c>
      <x:c r="U60" t="str">
        <x:v>902960879</x:v>
      </x:c>
    </x:row>
    <x:row r="61">
      <x:c r="A61" t="str">
        <x:v>EST-0060</x:v>
      </x:c>
      <x:c r="B61" t="str">
        <x:v>Cristian</x:v>
      </x:c>
      <x:c r="C61" t="str">
        <x:v>Contreras Quispe</x:v>
      </x:c>
      <x:c r="D61" t="str">
        <x:v>82877487</x:v>
      </x:c>
      <x:c r="E61" t="str">
        <x:v>est0060@alumnos.blenkir.edu.pe</x:v>
      </x:c>
      <x:c r="F61" t="n">
        <x:v>2</x:v>
      </x:c>
      <x:c r="G61" t="str">
        <x:v>B</x:v>
      </x:c>
      <x:c r="H61" t="str">
        <x:v>2B</x:v>
      </x:c>
      <x:c r="I61" t="str">
        <x:v>activo</x:v>
      </x:c>
      <x:c r="J61" t="str">
        <x:v>activa</x:v>
      </x:c>
      <x:c r="K61" t="n">
        <x:v>16.77</x:v>
      </x:c>
      <x:c r="L61" t="n">
        <x:v>0</x:v>
      </x:c>
      <x:c r="M61" t="n">
        <x:v>95.85</x:v>
      </x:c>
      <x:c r="N61" t="n">
        <x:v>9.98</x:v>
      </x:c>
      <x:c r="O61" t="n">
        <x:v>19.66</x:v>
      </x:c>
      <x:c r="P61" t="n">
        <x:v>15</x:v>
      </x:c>
      <x:c r="Q61" t="n">
        <x:v>15</x:v>
      </x:c>
      <x:c r="R61" t="str">
        <x:v>continua</x:v>
      </x:c>
      <x:c r="S61" s="24" t="b">
        <x:v>1</x:v>
      </x:c>
      <x:c r="T61" s="36" t="str">
        <x:v>2026-03-02</x:v>
      </x:c>
      <x:c r="U61" t="str">
        <x:v>954665071</x:v>
      </x:c>
    </x:row>
    <x:row r="62">
      <x:c r="A62" t="str">
        <x:v>EST-0061</x:v>
      </x:c>
      <x:c r="B62" t="str">
        <x:v>Gabriel</x:v>
      </x:c>
      <x:c r="C62" t="str">
        <x:v>Huamán Aguilar</x:v>
      </x:c>
      <x:c r="D62" t="str">
        <x:v>78941872</x:v>
      </x:c>
      <x:c r="E62" t="str">
        <x:v>est0061@alumnos.blenkir.edu.pe</x:v>
      </x:c>
      <x:c r="F62" t="n">
        <x:v>2</x:v>
      </x:c>
      <x:c r="G62" t="str">
        <x:v>B</x:v>
      </x:c>
      <x:c r="H62" t="str">
        <x:v>2B</x:v>
      </x:c>
      <x:c r="I62" t="str">
        <x:v>activo</x:v>
      </x:c>
      <x:c r="J62" t="str">
        <x:v>activa</x:v>
      </x:c>
      <x:c r="K62" t="n">
        <x:v>15.04</x:v>
      </x:c>
      <x:c r="L62" t="n">
        <x:v>0</x:v>
      </x:c>
      <x:c r="M62" t="n">
        <x:v>96.98</x:v>
      </x:c>
      <x:c r="N62" t="n">
        <x:v>9.08</x:v>
      </x:c>
      <x:c r="O62" t="n">
        <x:v>18.44</x:v>
      </x:c>
      <x:c r="P62" t="n">
        <x:v>16</x:v>
      </x:c>
      <x:c r="Q62" t="n">
        <x:v>13</x:v>
      </x:c>
      <x:c r="R62" t="str">
        <x:v>continua</x:v>
      </x:c>
      <x:c r="S62" s="24" t="b">
        <x:v>1</x:v>
      </x:c>
      <x:c r="T62" s="36" t="str">
        <x:v>2026-03-02</x:v>
      </x:c>
      <x:c r="U62" t="str">
        <x:v>953780403</x:v>
      </x:c>
    </x:row>
    <x:row r="63">
      <x:c r="A63" t="str">
        <x:v>EST-0062</x:v>
      </x:c>
      <x:c r="B63" t="str">
        <x:v>Jorge</x:v>
      </x:c>
      <x:c r="C63" t="str">
        <x:v>Ramos Espinoza</x:v>
      </x:c>
      <x:c r="D63" t="str">
        <x:v>75092805</x:v>
      </x:c>
      <x:c r="E63" t="str">
        <x:v>est0062@alumnos.blenkir.edu.pe</x:v>
      </x:c>
      <x:c r="F63" t="n">
        <x:v>2</x:v>
      </x:c>
      <x:c r="G63" t="str">
        <x:v>B</x:v>
      </x:c>
      <x:c r="H63" t="str">
        <x:v>2B</x:v>
      </x:c>
      <x:c r="I63" t="str">
        <x:v>activo</x:v>
      </x:c>
      <x:c r="J63" t="str">
        <x:v>activa</x:v>
      </x:c>
      <x:c r="K63" t="n">
        <x:v>14.46</x:v>
      </x:c>
      <x:c r="L63" t="n">
        <x:v>0</x:v>
      </x:c>
      <x:c r="M63" t="n">
        <x:v>89.15</x:v>
      </x:c>
      <x:c r="N63" t="n">
        <x:v>5.9</x:v>
      </x:c>
      <x:c r="O63" t="n">
        <x:v>13.29</x:v>
      </x:c>
      <x:c r="P63" t="n">
        <x:v>12</x:v>
      </x:c>
      <x:c r="Q63" t="n">
        <x:v>11</x:v>
      </x:c>
      <x:c r="R63" t="str">
        <x:v>continua</x:v>
      </x:c>
      <x:c r="S63" s="24" t="b">
        <x:v>1</x:v>
      </x:c>
      <x:c r="T63" s="36" t="str">
        <x:v>2026-03-02</x:v>
      </x:c>
      <x:c r="U63" t="str">
        <x:v>963491000</x:v>
      </x:c>
    </x:row>
    <x:row r="64">
      <x:c r="A64" t="str">
        <x:v>EST-0063</x:v>
      </x:c>
      <x:c r="B64" t="str">
        <x:v>Miguel</x:v>
      </x:c>
      <x:c r="C64" t="str">
        <x:v>Vega Ramírez</x:v>
      </x:c>
      <x:c r="D64" t="str">
        <x:v>70680366</x:v>
      </x:c>
      <x:c r="E64" t="str">
        <x:v>est0063@alumnos.blenkir.edu.pe</x:v>
      </x:c>
      <x:c r="F64" t="n">
        <x:v>2</x:v>
      </x:c>
      <x:c r="G64" t="str">
        <x:v>B</x:v>
      </x:c>
      <x:c r="H64" t="str">
        <x:v>2B</x:v>
      </x:c>
      <x:c r="I64" t="str">
        <x:v>activo</x:v>
      </x:c>
      <x:c r="J64" t="str">
        <x:v>activa</x:v>
      </x:c>
      <x:c r="K64" t="n">
        <x:v>14.85</x:v>
      </x:c>
      <x:c r="L64" t="n">
        <x:v>0</x:v>
      </x:c>
      <x:c r="M64" t="n">
        <x:v>95.4</x:v>
      </x:c>
      <x:c r="N64" t="n">
        <x:v>6.42</x:v>
      </x:c>
      <x:c r="O64" t="n">
        <x:v>13.12</x:v>
      </x:c>
      <x:c r="P64" t="n">
        <x:v>15</x:v>
      </x:c>
      <x:c r="Q64" t="n">
        <x:v>9</x:v>
      </x:c>
      <x:c r="R64" t="str">
        <x:v>continua</x:v>
      </x:c>
      <x:c r="S64" s="24" t="b">
        <x:v>1</x:v>
      </x:c>
      <x:c r="T64" s="36" t="str">
        <x:v>2026-03-02</x:v>
      </x:c>
      <x:c r="U64" t="str">
        <x:v>933617436</x:v>
      </x:c>
    </x:row>
    <x:row r="65">
      <x:c r="A65" t="str">
        <x:v>EST-0064</x:v>
      </x:c>
      <x:c r="B65" t="str">
        <x:v>Sergio</x:v>
      </x:c>
      <x:c r="C65" t="str">
        <x:v>Campos Alarcón</x:v>
      </x:c>
      <x:c r="D65" t="str">
        <x:v>76159143</x:v>
      </x:c>
      <x:c r="E65" t="str">
        <x:v>est0064@alumnos.blenkir.edu.pe</x:v>
      </x:c>
      <x:c r="F65" t="n">
        <x:v>2</x:v>
      </x:c>
      <x:c r="G65" t="str">
        <x:v>B</x:v>
      </x:c>
      <x:c r="H65" t="str">
        <x:v>2B</x:v>
      </x:c>
      <x:c r="I65" t="str">
        <x:v>retirado</x:v>
      </x:c>
      <x:c r="J65" t="str">
        <x:v>retirada</x:v>
      </x:c>
      <x:c r="K65" t="n">
        <x:v>14.23</x:v>
      </x:c>
      <x:c r="L65" t="n">
        <x:v>0</x:v>
      </x:c>
      <x:c r="M65" t="n">
        <x:v>90.12</x:v>
      </x:c>
      <x:c r="N65" t="n">
        <x:v>7.76</x:v>
      </x:c>
      <x:c r="O65" t="n">
        <x:v>13.24</x:v>
      </x:c>
      <x:c r="P65" t="n">
        <x:v>13</x:v>
      </x:c>
      <x:c r="Q65" t="n">
        <x:v>9</x:v>
      </x:c>
      <x:c r="R65" t="str">
        <x:v>retirada</x:v>
      </x:c>
      <x:c r="S65" s="24" t="b">
        <x:v>1</x:v>
      </x:c>
      <x:c r="T65" s="36" t="str">
        <x:v>2026-03-02</x:v>
      </x:c>
      <x:c r="U65" t="str">
        <x:v>999371271</x:v>
      </x:c>
    </x:row>
    <x:row r="66">
      <x:c r="A66" t="str">
        <x:v>EST-0065</x:v>
      </x:c>
      <x:c r="B66" t="str">
        <x:v>Elena</x:v>
      </x:c>
      <x:c r="C66" t="str">
        <x:v>Flores García</x:v>
      </x:c>
      <x:c r="D66" t="str">
        <x:v>77527511</x:v>
      </x:c>
      <x:c r="E66" t="str">
        <x:v>est0065@alumnos.blenkir.edu.pe</x:v>
      </x:c>
      <x:c r="F66" t="n">
        <x:v>2</x:v>
      </x:c>
      <x:c r="G66" t="str">
        <x:v>B</x:v>
      </x:c>
      <x:c r="H66" t="str">
        <x:v>2B</x:v>
      </x:c>
      <x:c r="I66" t="str">
        <x:v>activo</x:v>
      </x:c>
      <x:c r="J66" t="str">
        <x:v>activa</x:v>
      </x:c>
      <x:c r="K66" t="n">
        <x:v>11.11</x:v>
      </x:c>
      <x:c r="L66" t="n">
        <x:v>0</x:v>
      </x:c>
      <x:c r="M66" t="n">
        <x:v>86.68</x:v>
      </x:c>
      <x:c r="N66" t="n">
        <x:v>8.8</x:v>
      </x:c>
      <x:c r="O66" t="n">
        <x:v>19.5</x:v>
      </x:c>
      <x:c r="P66" t="n">
        <x:v>17</x:v>
      </x:c>
      <x:c r="Q66" t="n">
        <x:v>14</x:v>
      </x:c>
      <x:c r="R66" t="str">
        <x:v>continua</x:v>
      </x:c>
      <x:c r="S66" s="24" t="b">
        <x:v>1</x:v>
      </x:c>
      <x:c r="T66" s="36" t="str">
        <x:v>2026-03-02</x:v>
      </x:c>
      <x:c r="U66" t="str">
        <x:v>953889478</x:v>
      </x:c>
    </x:row>
    <x:row r="67">
      <x:c r="A67" t="str">
        <x:v>EST-0066</x:v>
      </x:c>
      <x:c r="B67" t="str">
        <x:v>Mariana</x:v>
      </x:c>
      <x:c r="C67" t="str">
        <x:v>Morales Ramos</x:v>
      </x:c>
      <x:c r="D67" t="str">
        <x:v>70343152</x:v>
      </x:c>
      <x:c r="E67" t="str">
        <x:v>est0066@alumnos.blenkir.edu.pe</x:v>
      </x:c>
      <x:c r="F67" t="n">
        <x:v>2</x:v>
      </x:c>
      <x:c r="G67" t="str">
        <x:v>B</x:v>
      </x:c>
      <x:c r="H67" t="str">
        <x:v>2B</x:v>
      </x:c>
      <x:c r="I67" t="str">
        <x:v>activo</x:v>
      </x:c>
      <x:c r="J67" t="str">
        <x:v>activa</x:v>
      </x:c>
      <x:c r="K67" t="n">
        <x:v>16.07</x:v>
      </x:c>
      <x:c r="L67" t="n">
        <x:v>0</x:v>
      </x:c>
      <x:c r="M67" t="n">
        <x:v>96.68</x:v>
      </x:c>
      <x:c r="N67" t="n">
        <x:v>9.45</x:v>
      </x:c>
      <x:c r="O67" t="n">
        <x:v>20.99</x:v>
      </x:c>
      <x:c r="P67" t="n">
        <x:v>18</x:v>
      </x:c>
      <x:c r="Q67" t="n">
        <x:v>12</x:v>
      </x:c>
      <x:c r="R67" t="str">
        <x:v>continua</x:v>
      </x:c>
      <x:c r="S67" s="24" t="b">
        <x:v>1</x:v>
      </x:c>
      <x:c r="T67" s="36" t="str">
        <x:v>2026-03-02</x:v>
      </x:c>
      <x:c r="U67" t="str">
        <x:v>927073686</x:v>
      </x:c>
    </x:row>
    <x:row r="68">
      <x:c r="A68" t="str">
        <x:v>EST-0067</x:v>
      </x:c>
      <x:c r="B68" t="str">
        <x:v>Sofía</x:v>
      </x:c>
      <x:c r="C68" t="str">
        <x:v>Silva Alvarado</x:v>
      </x:c>
      <x:c r="D68" t="str">
        <x:v>89500476</x:v>
      </x:c>
      <x:c r="E68" t="str">
        <x:v>est0067@alumnos.blenkir.edu.pe</x:v>
      </x:c>
      <x:c r="F68" t="n">
        <x:v>2</x:v>
      </x:c>
      <x:c r="G68" t="str">
        <x:v>B</x:v>
      </x:c>
      <x:c r="H68" t="str">
        <x:v>2B</x:v>
      </x:c>
      <x:c r="I68" t="str">
        <x:v>activo</x:v>
      </x:c>
      <x:c r="J68" t="str">
        <x:v>activa</x:v>
      </x:c>
      <x:c r="K68" t="n">
        <x:v>12.75</x:v>
      </x:c>
      <x:c r="L68" t="n">
        <x:v>0</x:v>
      </x:c>
      <x:c r="M68" t="n">
        <x:v>99.5</x:v>
      </x:c>
      <x:c r="N68" t="n">
        <x:v>6.78</x:v>
      </x:c>
      <x:c r="O68" t="n">
        <x:v>12.46</x:v>
      </x:c>
      <x:c r="P68" t="n">
        <x:v>12</x:v>
      </x:c>
      <x:c r="Q68" t="n">
        <x:v>10</x:v>
      </x:c>
      <x:c r="R68" t="str">
        <x:v>continua</x:v>
      </x:c>
      <x:c r="S68" s="24" t="b">
        <x:v>1</x:v>
      </x:c>
      <x:c r="T68" s="36" t="str">
        <x:v>2026-03-02</x:v>
      </x:c>
      <x:c r="U68" t="str">
        <x:v>995716921</x:v>
      </x:c>
    </x:row>
    <x:row r="69">
      <x:c r="A69" t="str">
        <x:v>EST-0068</x:v>
      </x:c>
      <x:c r="B69" t="str">
        <x:v>Alejandro</x:v>
      </x:c>
      <x:c r="C69" t="str">
        <x:v>Alarcón García</x:v>
      </x:c>
      <x:c r="D69" t="str">
        <x:v>75204135</x:v>
      </x:c>
      <x:c r="E69" t="str">
        <x:v>est0068@alumnos.blenkir.edu.pe</x:v>
      </x:c>
      <x:c r="F69" t="n">
        <x:v>2</x:v>
      </x:c>
      <x:c r="G69" t="str">
        <x:v>B</x:v>
      </x:c>
      <x:c r="H69" t="str">
        <x:v>2B</x:v>
      </x:c>
      <x:c r="I69" t="str">
        <x:v>activo</x:v>
      </x:c>
      <x:c r="J69" t="str">
        <x:v>activa</x:v>
      </x:c>
      <x:c r="K69" t="n">
        <x:v>15.23</x:v>
      </x:c>
      <x:c r="L69" t="n">
        <x:v>0</x:v>
      </x:c>
      <x:c r="M69" t="n">
        <x:v>89.82</x:v>
      </x:c>
      <x:c r="N69" t="n">
        <x:v>5.32</x:v>
      </x:c>
      <x:c r="O69" t="n">
        <x:v>10.68</x:v>
      </x:c>
      <x:c r="P69" t="n">
        <x:v>13</x:v>
      </x:c>
      <x:c r="Q69" t="n">
        <x:v>11</x:v>
      </x:c>
      <x:c r="R69" t="str">
        <x:v>continua</x:v>
      </x:c>
      <x:c r="S69" s="24" t="b">
        <x:v>1</x:v>
      </x:c>
      <x:c r="T69" s="36" t="str">
        <x:v>2026-03-02</x:v>
      </x:c>
      <x:c r="U69" t="str">
        <x:v>926055798</x:v>
      </x:c>
    </x:row>
    <x:row r="70">
      <x:c r="A70" t="str">
        <x:v>EST-0069</x:v>
      </x:c>
      <x:c r="B70" t="str">
        <x:v>Diego</x:v>
      </x:c>
      <x:c r="C70" t="str">
        <x:v>Condori Rojas</x:v>
      </x:c>
      <x:c r="D70" t="str">
        <x:v>81682146</x:v>
      </x:c>
      <x:c r="E70" t="str">
        <x:v>est0069@alumnos.blenkir.edu.pe</x:v>
      </x:c>
      <x:c r="F70" t="n">
        <x:v>2</x:v>
      </x:c>
      <x:c r="G70" t="str">
        <x:v>B</x:v>
      </x:c>
      <x:c r="H70" t="str">
        <x:v>2B</x:v>
      </x:c>
      <x:c r="I70" t="str">
        <x:v>activo</x:v>
      </x:c>
      <x:c r="J70" t="str">
        <x:v>activa</x:v>
      </x:c>
      <x:c r="K70" t="n">
        <x:v>14.65</x:v>
      </x:c>
      <x:c r="L70" t="n">
        <x:v>0</x:v>
      </x:c>
      <x:c r="M70" t="n">
        <x:v>87.59</x:v>
      </x:c>
      <x:c r="N70" t="n">
        <x:v>9.02</x:v>
      </x:c>
      <x:c r="O70" t="n">
        <x:v>19.91</x:v>
      </x:c>
      <x:c r="P70" t="n">
        <x:v>19</x:v>
      </x:c>
      <x:c r="Q70" t="n">
        <x:v>13</x:v>
      </x:c>
      <x:c r="R70" t="str">
        <x:v>continua</x:v>
      </x:c>
      <x:c r="S70" s="24" t="b">
        <x:v>1</x:v>
      </x:c>
      <x:c r="T70" s="36" t="str">
        <x:v>2026-03-02</x:v>
      </x:c>
      <x:c r="U70" t="str">
        <x:v>904505849</x:v>
      </x:c>
    </x:row>
    <x:row r="71">
      <x:c r="A71" t="str">
        <x:v>EST-0070</x:v>
      </x:c>
      <x:c r="B71" t="str">
        <x:v>Héctor</x:v>
      </x:c>
      <x:c r="C71" t="str">
        <x:v>Gutiérrez Arias</x:v>
      </x:c>
      <x:c r="D71" t="str">
        <x:v>73748777</x:v>
      </x:c>
      <x:c r="E71" t="str">
        <x:v>est0070@alumnos.blenkir.edu.pe</x:v>
      </x:c>
      <x:c r="F71" t="n">
        <x:v>2</x:v>
      </x:c>
      <x:c r="G71" t="str">
        <x:v>B</x:v>
      </x:c>
      <x:c r="H71" t="str">
        <x:v>2B</x:v>
      </x:c>
      <x:c r="I71" t="str">
        <x:v>activo</x:v>
      </x:c>
      <x:c r="J71" t="str">
        <x:v>activa</x:v>
      </x:c>
      <x:c r="K71" t="n">
        <x:v>16.15</x:v>
      </x:c>
      <x:c r="L71" t="n">
        <x:v>0</x:v>
      </x:c>
      <x:c r="M71" t="n">
        <x:v>96.03</x:v>
      </x:c>
      <x:c r="N71" t="n">
        <x:v>7.45</x:v>
      </x:c>
      <x:c r="O71" t="n">
        <x:v>15.72</x:v>
      </x:c>
      <x:c r="P71" t="n">
        <x:v>13</x:v>
      </x:c>
      <x:c r="Q71" t="n">
        <x:v>10</x:v>
      </x:c>
      <x:c r="R71" t="str">
        <x:v>continua</x:v>
      </x:c>
      <x:c r="S71" s="24" t="b">
        <x:v>1</x:v>
      </x:c>
      <x:c r="T71" s="36" t="str">
        <x:v>2026-03-02</x:v>
      </x:c>
      <x:c r="U71" t="str">
        <x:v>976946125</x:v>
      </x:c>
    </x:row>
    <x:row r="72">
      <x:c r="A72" t="str">
        <x:v>EST-0071</x:v>
      </x:c>
      <x:c r="B72" t="str">
        <x:v>Leonardo</x:v>
      </x:c>
      <x:c r="C72" t="str">
        <x:v>Ramírez Gómez</x:v>
      </x:c>
      <x:c r="D72" t="str">
        <x:v>87866592</x:v>
      </x:c>
      <x:c r="E72" t="str">
        <x:v>est0071@alumnos.blenkir.edu.pe</x:v>
      </x:c>
      <x:c r="F72" t="n">
        <x:v>2</x:v>
      </x:c>
      <x:c r="G72" t="str">
        <x:v>C</x:v>
      </x:c>
      <x:c r="H72" t="str">
        <x:v>2C</x:v>
      </x:c>
      <x:c r="I72" t="str">
        <x:v>activo</x:v>
      </x:c>
      <x:c r="J72" t="str">
        <x:v>activa</x:v>
      </x:c>
      <x:c r="K72" t="n">
        <x:v>12.32</x:v>
      </x:c>
      <x:c r="L72" t="n">
        <x:v>0</x:v>
      </x:c>
      <x:c r="M72" t="n">
        <x:v>97.45</x:v>
      </x:c>
      <x:c r="N72" t="n">
        <x:v>7.46</x:v>
      </x:c>
      <x:c r="O72" t="n">
        <x:v>16.01</x:v>
      </x:c>
      <x:c r="P72" t="n">
        <x:v>16</x:v>
      </x:c>
      <x:c r="Q72" t="n">
        <x:v>10</x:v>
      </x:c>
      <x:c r="R72" t="str">
        <x:v>continua</x:v>
      </x:c>
      <x:c r="S72" s="24" t="b">
        <x:v>1</x:v>
      </x:c>
      <x:c r="T72" s="36" t="str">
        <x:v>2026-03-02</x:v>
      </x:c>
      <x:c r="U72" t="str">
        <x:v>909172482</x:v>
      </x:c>
    </x:row>
    <x:row r="73">
      <x:c r="A73" t="str">
        <x:v>EST-0072</x:v>
      </x:c>
      <x:c r="B73" t="str">
        <x:v>Rafael</x:v>
      </x:c>
      <x:c r="C73" t="str">
        <x:v>Vásquez Romero</x:v>
      </x:c>
      <x:c r="D73" t="str">
        <x:v>80795324</x:v>
      </x:c>
      <x:c r="E73" t="str">
        <x:v>est0072@alumnos.blenkir.edu.pe</x:v>
      </x:c>
      <x:c r="F73" t="n">
        <x:v>2</x:v>
      </x:c>
      <x:c r="G73" t="str">
        <x:v>C</x:v>
      </x:c>
      <x:c r="H73" t="str">
        <x:v>2C</x:v>
      </x:c>
      <x:c r="I73" t="str">
        <x:v>activo</x:v>
      </x:c>
      <x:c r="J73" t="str">
        <x:v>activa</x:v>
      </x:c>
      <x:c r="K73" t="n">
        <x:v>13.9</x:v>
      </x:c>
      <x:c r="L73" t="n">
        <x:v>0</x:v>
      </x:c>
      <x:c r="M73" t="n">
        <x:v>90.41</x:v>
      </x:c>
      <x:c r="N73" t="n">
        <x:v>7.66</x:v>
      </x:c>
      <x:c r="O73" t="n">
        <x:v>16.52</x:v>
      </x:c>
      <x:c r="P73" t="n">
        <x:v>14</x:v>
      </x:c>
      <x:c r="Q73" t="n">
        <x:v>12</x:v>
      </x:c>
      <x:c r="R73" t="str">
        <x:v>continua</x:v>
      </x:c>
      <x:c r="S73" s="24" t="b">
        <x:v>1</x:v>
      </x:c>
      <x:c r="T73" s="36" t="str">
        <x:v>2026-03-02</x:v>
      </x:c>
      <x:c r="U73" t="str">
        <x:v>904045159</x:v>
      </x:c>
    </x:row>
    <x:row r="74">
      <x:c r="A74" t="str">
        <x:v>EST-0073</x:v>
      </x:c>
      <x:c r="B74" t="str">
        <x:v>Ariana</x:v>
      </x:c>
      <x:c r="C74" t="str">
        <x:v>Cáceres Bendezú</x:v>
      </x:c>
      <x:c r="D74" t="str">
        <x:v>79277218</x:v>
      </x:c>
      <x:c r="E74" t="str">
        <x:v>est0073@alumnos.blenkir.edu.pe</x:v>
      </x:c>
      <x:c r="F74" t="n">
        <x:v>2</x:v>
      </x:c>
      <x:c r="G74" t="str">
        <x:v>C</x:v>
      </x:c>
      <x:c r="H74" t="str">
        <x:v>2C</x:v>
      </x:c>
      <x:c r="I74" t="str">
        <x:v>retirado</x:v>
      </x:c>
      <x:c r="J74" t="str">
        <x:v>retirada</x:v>
      </x:c>
      <x:c r="K74" t="n">
        <x:v>15</x:v>
      </x:c>
      <x:c r="L74" t="n">
        <x:v>0</x:v>
      </x:c>
      <x:c r="M74" t="n">
        <x:v>94.85</x:v>
      </x:c>
      <x:c r="N74" t="n">
        <x:v>6.98</x:v>
      </x:c>
      <x:c r="O74" t="n">
        <x:v>15.5</x:v>
      </x:c>
      <x:c r="P74" t="n">
        <x:v>15</x:v>
      </x:c>
      <x:c r="Q74" t="n">
        <x:v>11</x:v>
      </x:c>
      <x:c r="R74" t="str">
        <x:v>retirada</x:v>
      </x:c>
      <x:c r="S74" s="24" t="b">
        <x:v>1</x:v>
      </x:c>
      <x:c r="T74" s="36" t="str">
        <x:v>2026-03-02</x:v>
      </x:c>
      <x:c r="U74" t="str">
        <x:v>975298016</x:v>
      </x:c>
    </x:row>
    <x:row r="75">
      <x:c r="A75" t="str">
        <x:v>EST-0074</x:v>
      </x:c>
      <x:c r="B75" t="str">
        <x:v>Gabriela</x:v>
      </x:c>
      <x:c r="C75" t="str">
        <x:v>Espinoza Gonzales</x:v>
      </x:c>
      <x:c r="D75" t="str">
        <x:v>85208506</x:v>
      </x:c>
      <x:c r="E75" t="str">
        <x:v>est0074@alumnos.blenkir.edu.pe</x:v>
      </x:c>
      <x:c r="F75" t="n">
        <x:v>2</x:v>
      </x:c>
      <x:c r="G75" t="str">
        <x:v>C</x:v>
      </x:c>
      <x:c r="H75" t="str">
        <x:v>2C</x:v>
      </x:c>
      <x:c r="I75" t="str">
        <x:v>activo</x:v>
      </x:c>
      <x:c r="J75" t="str">
        <x:v>activa</x:v>
      </x:c>
      <x:c r="K75" t="n">
        <x:v>13.48</x:v>
      </x:c>
      <x:c r="L75" t="n">
        <x:v>0</x:v>
      </x:c>
      <x:c r="M75" t="n">
        <x:v>99.5</x:v>
      </x:c>
      <x:c r="N75" t="n">
        <x:v>6.06</x:v>
      </x:c>
      <x:c r="O75" t="n">
        <x:v>8.39</x:v>
      </x:c>
      <x:c r="P75" t="n">
        <x:v>12</x:v>
      </x:c>
      <x:c r="Q75" t="n">
        <x:v>9</x:v>
      </x:c>
      <x:c r="R75" t="str">
        <x:v>continua</x:v>
      </x:c>
      <x:c r="S75" s="24" t="b">
        <x:v>1</x:v>
      </x:c>
      <x:c r="T75" s="36" t="str">
        <x:v>2026-03-02</x:v>
      </x:c>
      <x:c r="U75" t="str">
        <x:v>914298439</x:v>
      </x:c>
    </x:row>
    <x:row r="76">
      <x:c r="A76" t="str">
        <x:v>EST-0075</x:v>
      </x:c>
      <x:c r="B76" t="str">
        <x:v>Nicole</x:v>
      </x:c>
      <x:c r="C76" t="str">
        <x:v>Mendoza Salazar</x:v>
      </x:c>
      <x:c r="D76" t="str">
        <x:v>85834473</x:v>
      </x:c>
      <x:c r="E76" t="str">
        <x:v>est0075@alumnos.blenkir.edu.pe</x:v>
      </x:c>
      <x:c r="F76" t="n">
        <x:v>2</x:v>
      </x:c>
      <x:c r="G76" t="str">
        <x:v>C</x:v>
      </x:c>
      <x:c r="H76" t="str">
        <x:v>2C</x:v>
      </x:c>
      <x:c r="I76" t="str">
        <x:v>activo</x:v>
      </x:c>
      <x:c r="J76" t="str">
        <x:v>activa</x:v>
      </x:c>
      <x:c r="K76" t="n">
        <x:v>12.41</x:v>
      </x:c>
      <x:c r="L76" t="n">
        <x:v>0</x:v>
      </x:c>
      <x:c r="M76" t="n">
        <x:v>89.13</x:v>
      </x:c>
      <x:c r="N76" t="n">
        <x:v>7.2</x:v>
      </x:c>
      <x:c r="O76" t="n">
        <x:v>14.4</x:v>
      </x:c>
      <x:c r="P76" t="n">
        <x:v>13</x:v>
      </x:c>
      <x:c r="Q76" t="n">
        <x:v>13</x:v>
      </x:c>
      <x:c r="R76" t="str">
        <x:v>continua</x:v>
      </x:c>
      <x:c r="S76" s="24" t="b">
        <x:v>1</x:v>
      </x:c>
      <x:c r="T76" s="36" t="str">
        <x:v>2026-03-02</x:v>
      </x:c>
      <x:c r="U76" t="str">
        <x:v>939327067</x:v>
      </x:c>
    </x:row>
    <x:row r="77">
      <x:c r="A77" t="str">
        <x:v>EST-0076</x:v>
      </x:c>
      <x:c r="B77" t="str">
        <x:v>Ximena</x:v>
      </x:c>
      <x:c r="C77" t="str">
        <x:v>Sánchez Cabrera</x:v>
      </x:c>
      <x:c r="D77" t="str">
        <x:v>88934458</x:v>
      </x:c>
      <x:c r="E77" t="str">
        <x:v>est0076@alumnos.blenkir.edu.pe</x:v>
      </x:c>
      <x:c r="F77" t="n">
        <x:v>2</x:v>
      </x:c>
      <x:c r="G77" t="str">
        <x:v>C</x:v>
      </x:c>
      <x:c r="H77" t="str">
        <x:v>2C</x:v>
      </x:c>
      <x:c r="I77" t="str">
        <x:v>activo</x:v>
      </x:c>
      <x:c r="J77" t="str">
        <x:v>activa</x:v>
      </x:c>
      <x:c r="K77" t="n">
        <x:v>15.38</x:v>
      </x:c>
      <x:c r="L77" t="n">
        <x:v>0</x:v>
      </x:c>
      <x:c r="M77" t="n">
        <x:v>99.5</x:v>
      </x:c>
      <x:c r="N77" t="n">
        <x:v>10.42</x:v>
      </x:c>
      <x:c r="O77" t="n">
        <x:v>19.94</x:v>
      </x:c>
      <x:c r="P77" t="n">
        <x:v>18</x:v>
      </x:c>
      <x:c r="Q77" t="n">
        <x:v>14</x:v>
      </x:c>
      <x:c r="R77" t="str">
        <x:v>continua</x:v>
      </x:c>
      <x:c r="S77" s="24" t="b">
        <x:v>1</x:v>
      </x:c>
      <x:c r="T77" s="36" t="str">
        <x:v>2026-03-02</x:v>
      </x:c>
      <x:c r="U77" t="str">
        <x:v>950657732</x:v>
      </x:c>
    </x:row>
    <x:row r="78">
      <x:c r="A78" t="str">
        <x:v>EST-0077</x:v>
      </x:c>
      <x:c r="B78" t="str">
        <x:v>Carlos</x:v>
      </x:c>
      <x:c r="C78" t="str">
        <x:v>Aguilar Guerrero</x:v>
      </x:c>
      <x:c r="D78" t="str">
        <x:v>88091950</x:v>
      </x:c>
      <x:c r="E78" t="str">
        <x:v>est0077@alumnos.blenkir.edu.pe</x:v>
      </x:c>
      <x:c r="F78" t="n">
        <x:v>2</x:v>
      </x:c>
      <x:c r="G78" t="str">
        <x:v>C</x:v>
      </x:c>
      <x:c r="H78" t="str">
        <x:v>2C</x:v>
      </x:c>
      <x:c r="I78" t="str">
        <x:v>activo</x:v>
      </x:c>
      <x:c r="J78" t="str">
        <x:v>activa</x:v>
      </x:c>
      <x:c r="K78" t="n">
        <x:v>15.44</x:v>
      </x:c>
      <x:c r="L78" t="n">
        <x:v>0</x:v>
      </x:c>
      <x:c r="M78" t="n">
        <x:v>88.46</x:v>
      </x:c>
      <x:c r="N78" t="n">
        <x:v>9.9</x:v>
      </x:c>
      <x:c r="O78" t="n">
        <x:v>17.14</x:v>
      </x:c>
      <x:c r="P78" t="n">
        <x:v>15</x:v>
      </x:c>
      <x:c r="Q78" t="n">
        <x:v>13</x:v>
      </x:c>
      <x:c r="R78" t="str">
        <x:v>continua</x:v>
      </x:c>
      <x:c r="S78" s="24" t="b">
        <x:v>1</x:v>
      </x:c>
      <x:c r="T78" s="36" t="str">
        <x:v>2026-03-02</x:v>
      </x:c>
      <x:c r="U78" t="str">
        <x:v>973300197</x:v>
      </x:c>
    </x:row>
    <x:row r="79">
      <x:c r="A79" t="str">
        <x:v>EST-0078</x:v>
      </x:c>
      <x:c r="B79" t="str">
        <x:v>Fernando</x:v>
      </x:c>
      <x:c r="C79" t="str">
        <x:v>Chávez Sánchez</x:v>
      </x:c>
      <x:c r="D79" t="str">
        <x:v>78860057</x:v>
      </x:c>
      <x:c r="E79" t="str">
        <x:v>est0078@alumnos.blenkir.edu.pe</x:v>
      </x:c>
      <x:c r="F79" t="n">
        <x:v>2</x:v>
      </x:c>
      <x:c r="G79" t="str">
        <x:v>C</x:v>
      </x:c>
      <x:c r="H79" t="str">
        <x:v>2C</x:v>
      </x:c>
      <x:c r="I79" t="str">
        <x:v>activo</x:v>
      </x:c>
      <x:c r="J79" t="str">
        <x:v>activa</x:v>
      </x:c>
      <x:c r="K79" t="n">
        <x:v>15.45</x:v>
      </x:c>
      <x:c r="L79" t="n">
        <x:v>0</x:v>
      </x:c>
      <x:c r="M79" t="n">
        <x:v>99.5</x:v>
      </x:c>
      <x:c r="N79" t="n">
        <x:v>9.01</x:v>
      </x:c>
      <x:c r="O79" t="n">
        <x:v>15.57</x:v>
      </x:c>
      <x:c r="P79" t="n">
        <x:v>15</x:v>
      </x:c>
      <x:c r="Q79" t="n">
        <x:v>13</x:v>
      </x:c>
      <x:c r="R79" t="str">
        <x:v>continua</x:v>
      </x:c>
      <x:c r="S79" s="24" t="b">
        <x:v>1</x:v>
      </x:c>
      <x:c r="T79" s="36" t="str">
        <x:v>2026-03-02</x:v>
      </x:c>
      <x:c r="U79" t="str">
        <x:v>964359389</x:v>
      </x:c>
    </x:row>
    <x:row r="80">
      <x:c r="A80" t="str">
        <x:v>EST-0079</x:v>
      </x:c>
      <x:c r="B80" t="str">
        <x:v>Joaquín</x:v>
      </x:c>
      <x:c r="C80" t="str">
        <x:v>Guerrero Cáceres</x:v>
      </x:c>
      <x:c r="D80" t="str">
        <x:v>72503377</x:v>
      </x:c>
      <x:c r="E80" t="str">
        <x:v>est0079@alumnos.blenkir.edu.pe</x:v>
      </x:c>
      <x:c r="F80" t="n">
        <x:v>2</x:v>
      </x:c>
      <x:c r="G80" t="str">
        <x:v>C</x:v>
      </x:c>
      <x:c r="H80" t="str">
        <x:v>2C</x:v>
      </x:c>
      <x:c r="I80" t="str">
        <x:v>activo</x:v>
      </x:c>
      <x:c r="J80" t="str">
        <x:v>activa</x:v>
      </x:c>
      <x:c r="K80" t="n">
        <x:v>14.88</x:v>
      </x:c>
      <x:c r="L80" t="n">
        <x:v>0</x:v>
      </x:c>
      <x:c r="M80" t="n">
        <x:v>99.5</x:v>
      </x:c>
      <x:c r="N80" t="n">
        <x:v>6.1</x:v>
      </x:c>
      <x:c r="O80" t="n">
        <x:v>12.38</x:v>
      </x:c>
      <x:c r="P80" t="n">
        <x:v>13</x:v>
      </x:c>
      <x:c r="Q80" t="n">
        <x:v>8</x:v>
      </x:c>
      <x:c r="R80" t="str">
        <x:v>continua</x:v>
      </x:c>
      <x:c r="S80" s="24" t="b">
        <x:v>1</x:v>
      </x:c>
      <x:c r="T80" s="36" t="str">
        <x:v>2026-03-02</x:v>
      </x:c>
      <x:c r="U80" t="str">
        <x:v>909323337</x:v>
      </x:c>
    </x:row>
    <x:row r="81">
      <x:c r="A81" t="str">
        <x:v>EST-0080</x:v>
      </x:c>
      <x:c r="B81" t="str">
        <x:v>Matías</x:v>
      </x:c>
      <x:c r="C81" t="str">
        <x:v>Quispe Gutiérrez</x:v>
      </x:c>
      <x:c r="D81" t="str">
        <x:v>76928213</x:v>
      </x:c>
      <x:c r="E81" t="str">
        <x:v>est0080@alumnos.blenkir.edu.pe</x:v>
      </x:c>
      <x:c r="F81" t="n">
        <x:v>2</x:v>
      </x:c>
      <x:c r="G81" t="str">
        <x:v>C</x:v>
      </x:c>
      <x:c r="H81" t="str">
        <x:v>2C</x:v>
      </x:c>
      <x:c r="I81" t="str">
        <x:v>activo</x:v>
      </x:c>
      <x:c r="J81" t="str">
        <x:v>activa</x:v>
      </x:c>
      <x:c r="K81" t="n">
        <x:v>13.55</x:v>
      </x:c>
      <x:c r="L81" t="n">
        <x:v>0</x:v>
      </x:c>
      <x:c r="M81" t="n">
        <x:v>84.26</x:v>
      </x:c>
      <x:c r="N81" t="n">
        <x:v>6.8</x:v>
      </x:c>
      <x:c r="O81" t="n">
        <x:v>13.6</x:v>
      </x:c>
      <x:c r="P81" t="n">
        <x:v>16</x:v>
      </x:c>
      <x:c r="Q81" t="n">
        <x:v>9</x:v>
      </x:c>
      <x:c r="R81" t="str">
        <x:v>continua</x:v>
      </x:c>
      <x:c r="S81" s="24" t="b">
        <x:v>1</x:v>
      </x:c>
      <x:c r="T81" s="36" t="str">
        <x:v>2026-03-02</x:v>
      </x:c>
      <x:c r="U81" t="str">
        <x:v>979558527</x:v>
      </x:c>
    </x:row>
    <x:row r="82">
      <x:c r="A82" t="str">
        <x:v>EST-0081</x:v>
      </x:c>
      <x:c r="B82" t="str">
        <x:v>Sebastián</x:v>
      </x:c>
      <x:c r="C82" t="str">
        <x:v>Vargas Silva</x:v>
      </x:c>
      <x:c r="D82" t="str">
        <x:v>73651956</x:v>
      </x:c>
      <x:c r="E82" t="str">
        <x:v>est0081@alumnos.blenkir.edu.pe</x:v>
      </x:c>
      <x:c r="F82" t="n">
        <x:v>2</x:v>
      </x:c>
      <x:c r="G82" t="str">
        <x:v>C</x:v>
      </x:c>
      <x:c r="H82" t="str">
        <x:v>2C</x:v>
      </x:c>
      <x:c r="I82" t="str">
        <x:v>activo</x:v>
      </x:c>
      <x:c r="J82" t="str">
        <x:v>activa</x:v>
      </x:c>
      <x:c r="K82" t="n">
        <x:v>15.35</x:v>
      </x:c>
      <x:c r="L82" t="n">
        <x:v>0</x:v>
      </x:c>
      <x:c r="M82" t="n">
        <x:v>99.5</x:v>
      </x:c>
      <x:c r="N82" t="n">
        <x:v>8.38</x:v>
      </x:c>
      <x:c r="O82" t="n">
        <x:v>18.65</x:v>
      </x:c>
      <x:c r="P82" t="n">
        <x:v>18</x:v>
      </x:c>
      <x:c r="Q82" t="n">
        <x:v>14</x:v>
      </x:c>
      <x:c r="R82" t="str">
        <x:v>continua</x:v>
      </x:c>
      <x:c r="S82" s="24" t="b">
        <x:v>1</x:v>
      </x:c>
      <x:c r="T82" s="36" t="str">
        <x:v>2026-03-02</x:v>
      </x:c>
      <x:c r="U82" t="str">
        <x:v>943137575</x:v>
      </x:c>
    </x:row>
    <x:row r="83">
      <x:c r="A83" t="str">
        <x:v>EST-0082</x:v>
      </x:c>
      <x:c r="B83" t="str">
        <x:v>Daniela</x:v>
      </x:c>
      <x:c r="C83" t="str">
        <x:v>Cabrera Campos</x:v>
      </x:c>
      <x:c r="D83" t="str">
        <x:v>84990039</x:v>
      </x:c>
      <x:c r="E83" t="str">
        <x:v>est0082@alumnos.blenkir.edu.pe</x:v>
      </x:c>
      <x:c r="F83" t="n">
        <x:v>2</x:v>
      </x:c>
      <x:c r="G83" t="str">
        <x:v>D</x:v>
      </x:c>
      <x:c r="H83" t="str">
        <x:v>2D</x:v>
      </x:c>
      <x:c r="I83" t="str">
        <x:v>retirado</x:v>
      </x:c>
      <x:c r="J83" t="str">
        <x:v>retirada</x:v>
      </x:c>
      <x:c r="K83" t="n">
        <x:v>16.65</x:v>
      </x:c>
      <x:c r="L83" t="n">
        <x:v>0</x:v>
      </x:c>
      <x:c r="M83" t="n">
        <x:v>96.9</x:v>
      </x:c>
      <x:c r="N83" t="n">
        <x:v>8.91</x:v>
      </x:c>
      <x:c r="O83" t="n">
        <x:v>17.4</x:v>
      </x:c>
      <x:c r="P83" t="n">
        <x:v>16</x:v>
      </x:c>
      <x:c r="Q83" t="n">
        <x:v>12</x:v>
      </x:c>
      <x:c r="R83" t="str">
        <x:v>retirada</x:v>
      </x:c>
      <x:c r="S83" s="24" t="b">
        <x:v>1</x:v>
      </x:c>
      <x:c r="T83" s="36" t="str">
        <x:v>2026-03-02</x:v>
      </x:c>
      <x:c r="U83" t="str">
        <x:v>936757070</x:v>
      </x:c>
    </x:row>
    <x:row r="84">
      <x:c r="A84" t="str">
        <x:v>EST-0083</x:v>
      </x:c>
      <x:c r="B84" t="str">
        <x:v>Luciana</x:v>
      </x:c>
      <x:c r="C84" t="str">
        <x:v>De la Cruz Huamán</x:v>
      </x:c>
      <x:c r="D84" t="str">
        <x:v>89413911</x:v>
      </x:c>
      <x:c r="E84" t="str">
        <x:v>est0083@alumnos.blenkir.edu.pe</x:v>
      </x:c>
      <x:c r="F84" t="n">
        <x:v>2</x:v>
      </x:c>
      <x:c r="G84" t="str">
        <x:v>D</x:v>
      </x:c>
      <x:c r="H84" t="str">
        <x:v>2D</x:v>
      </x:c>
      <x:c r="I84" t="str">
        <x:v>activo</x:v>
      </x:c>
      <x:c r="J84" t="str">
        <x:v>activa</x:v>
      </x:c>
      <x:c r="K84" t="n">
        <x:v>16.47</x:v>
      </x:c>
      <x:c r="L84" t="n">
        <x:v>0</x:v>
      </x:c>
      <x:c r="M84" t="n">
        <x:v>94.95</x:v>
      </x:c>
      <x:c r="N84" t="n">
        <x:v>10.18</x:v>
      </x:c>
      <x:c r="O84" t="n">
        <x:v>17.69</x:v>
      </x:c>
      <x:c r="P84" t="n">
        <x:v>19</x:v>
      </x:c>
      <x:c r="Q84" t="n">
        <x:v>13</x:v>
      </x:c>
      <x:c r="R84" t="str">
        <x:v>continua</x:v>
      </x:c>
      <x:c r="S84" s="24" t="b">
        <x:v>1</x:v>
      </x:c>
      <x:c r="T84" s="36" t="str">
        <x:v>2026-03-02</x:v>
      </x:c>
      <x:c r="U84" t="str">
        <x:v>933971738</x:v>
      </x:c>
    </x:row>
    <x:row r="85">
      <x:c r="A85" t="str">
        <x:v>EST-0084</x:v>
      </x:c>
      <x:c r="B85" t="str">
        <x:v>Romina</x:v>
      </x:c>
      <x:c r="C85" t="str">
        <x:v>Medina Soto</x:v>
      </x:c>
      <x:c r="D85" t="str">
        <x:v>83543013</x:v>
      </x:c>
      <x:c r="E85" t="str">
        <x:v>est0084@alumnos.blenkir.edu.pe</x:v>
      </x:c>
      <x:c r="F85" t="n">
        <x:v>2</x:v>
      </x:c>
      <x:c r="G85" t="str">
        <x:v>D</x:v>
      </x:c>
      <x:c r="H85" t="str">
        <x:v>2D</x:v>
      </x:c>
      <x:c r="I85" t="str">
        <x:v>activo</x:v>
      </x:c>
      <x:c r="J85" t="str">
        <x:v>activa</x:v>
      </x:c>
      <x:c r="K85" t="n">
        <x:v>14.63</x:v>
      </x:c>
      <x:c r="L85" t="n">
        <x:v>0</x:v>
      </x:c>
      <x:c r="M85" t="n">
        <x:v>99.5</x:v>
      </x:c>
      <x:c r="N85" t="n">
        <x:v>6.22</x:v>
      </x:c>
      <x:c r="O85" t="n">
        <x:v>11.25</x:v>
      </x:c>
      <x:c r="P85" t="n">
        <x:v>14</x:v>
      </x:c>
      <x:c r="Q85" t="n">
        <x:v>10</x:v>
      </x:c>
      <x:c r="R85" t="str">
        <x:v>continua</x:v>
      </x:c>
      <x:c r="S85" s="24" t="b">
        <x:v>1</x:v>
      </x:c>
      <x:c r="T85" s="36" t="str">
        <x:v>2026-03-02</x:v>
      </x:c>
      <x:c r="U85" t="str">
        <x:v>985899587</x:v>
      </x:c>
    </x:row>
    <x:row r="86">
      <x:c r="A86" t="str">
        <x:v>EST-0085</x:v>
      </x:c>
      <x:c r="B86" t="str">
        <x:v>Adrián</x:v>
      </x:c>
      <x:c r="C86" t="str">
        <x:v>Salazar Carrasco</x:v>
      </x:c>
      <x:c r="D86" t="str">
        <x:v>86253124</x:v>
      </x:c>
      <x:c r="E86" t="str">
        <x:v>est0085@alumnos.blenkir.edu.pe</x:v>
      </x:c>
      <x:c r="F86" t="n">
        <x:v>2</x:v>
      </x:c>
      <x:c r="G86" t="str">
        <x:v>D</x:v>
      </x:c>
      <x:c r="H86" t="str">
        <x:v>2D</x:v>
      </x:c>
      <x:c r="I86" t="str">
        <x:v>activo</x:v>
      </x:c>
      <x:c r="J86" t="str">
        <x:v>activa</x:v>
      </x:c>
      <x:c r="K86" t="n">
        <x:v>15.13</x:v>
      </x:c>
      <x:c r="L86" t="n">
        <x:v>0</x:v>
      </x:c>
      <x:c r="M86" t="n">
        <x:v>94.2</x:v>
      </x:c>
      <x:c r="N86" t="n">
        <x:v>5.43</x:v>
      </x:c>
      <x:c r="O86" t="n">
        <x:v>11.46</x:v>
      </x:c>
      <x:c r="P86" t="n">
        <x:v>14</x:v>
      </x:c>
      <x:c r="Q86" t="n">
        <x:v>8</x:v>
      </x:c>
      <x:c r="R86" t="str">
        <x:v>continua</x:v>
      </x:c>
      <x:c r="S86" s="24" t="b">
        <x:v>1</x:v>
      </x:c>
      <x:c r="T86" s="36" t="str">
        <x:v>2026-03-02</x:v>
      </x:c>
      <x:c r="U86" t="str">
        <x:v>984336145</x:v>
      </x:c>
    </x:row>
    <x:row r="87">
      <x:c r="A87" t="str">
        <x:v>EST-0086</x:v>
      </x:c>
      <x:c r="B87" t="str">
        <x:v>David</x:v>
      </x:c>
      <x:c r="C87" t="str">
        <x:v>Zúñiga López</x:v>
      </x:c>
      <x:c r="D87" t="str">
        <x:v>74393790</x:v>
      </x:c>
      <x:c r="E87" t="str">
        <x:v>est0086@alumnos.blenkir.edu.pe</x:v>
      </x:c>
      <x:c r="F87" t="n">
        <x:v>2</x:v>
      </x:c>
      <x:c r="G87" t="str">
        <x:v>D</x:v>
      </x:c>
      <x:c r="H87" t="str">
        <x:v>2D</x:v>
      </x:c>
      <x:c r="I87" t="str">
        <x:v>activo</x:v>
      </x:c>
      <x:c r="J87" t="str">
        <x:v>activa</x:v>
      </x:c>
      <x:c r="K87" t="n">
        <x:v>15.62</x:v>
      </x:c>
      <x:c r="L87" t="n">
        <x:v>0</x:v>
      </x:c>
      <x:c r="M87" t="n">
        <x:v>95.9</x:v>
      </x:c>
      <x:c r="N87" t="n">
        <x:v>6.21</x:v>
      </x:c>
      <x:c r="O87" t="n">
        <x:v>13.4</x:v>
      </x:c>
      <x:c r="P87" t="n">
        <x:v>14</x:v>
      </x:c>
      <x:c r="Q87" t="n">
        <x:v>8</x:v>
      </x:c>
      <x:c r="R87" t="str">
        <x:v>continua</x:v>
      </x:c>
      <x:c r="S87" s="24" t="b">
        <x:v>1</x:v>
      </x:c>
      <x:c r="T87" s="36" t="str">
        <x:v>2026-03-02</x:v>
      </x:c>
      <x:c r="U87" t="str">
        <x:v>963684546</x:v>
      </x:c>
    </x:row>
    <x:row r="88">
      <x:c r="A88" t="str">
        <x:v>EST-0087</x:v>
      </x:c>
      <x:c r="B88" t="str">
        <x:v>Gonzalo</x:v>
      </x:c>
      <x:c r="C88" t="str">
        <x:v>Castro Torres</x:v>
      </x:c>
      <x:c r="D88" t="str">
        <x:v>88689806</x:v>
      </x:c>
      <x:c r="E88" t="str">
        <x:v>est0087@alumnos.blenkir.edu.pe</x:v>
      </x:c>
      <x:c r="F88" t="n">
        <x:v>2</x:v>
      </x:c>
      <x:c r="G88" t="str">
        <x:v>D</x:v>
      </x:c>
      <x:c r="H88" t="str">
        <x:v>2D</x:v>
      </x:c>
      <x:c r="I88" t="str">
        <x:v>activo</x:v>
      </x:c>
      <x:c r="J88" t="str">
        <x:v>activa</x:v>
      </x:c>
      <x:c r="K88" t="n">
        <x:v>15.51</x:v>
      </x:c>
      <x:c r="L88" t="n">
        <x:v>0</x:v>
      </x:c>
      <x:c r="M88" t="n">
        <x:v>91.27</x:v>
      </x:c>
      <x:c r="N88" t="n">
        <x:v>6.53</x:v>
      </x:c>
      <x:c r="O88" t="n">
        <x:v>9.2</x:v>
      </x:c>
      <x:c r="P88" t="n">
        <x:v>12</x:v>
      </x:c>
      <x:c r="Q88" t="n">
        <x:v>7</x:v>
      </x:c>
      <x:c r="R88" t="str">
        <x:v>continua</x:v>
      </x:c>
      <x:c r="S88" s="24" t="b">
        <x:v>1</x:v>
      </x:c>
      <x:c r="T88" s="36" t="str">
        <x:v>2026-03-02</x:v>
      </x:c>
      <x:c r="U88" t="str">
        <x:v>929123368</x:v>
      </x:c>
    </x:row>
    <x:row r="89">
      <x:c r="A89" t="str">
        <x:v>EST-0088</x:v>
      </x:c>
      <x:c r="B89" t="str">
        <x:v>Juan</x:v>
      </x:c>
      <x:c r="C89" t="str">
        <x:v>Gonzales Castillo</x:v>
      </x:c>
      <x:c r="D89" t="str">
        <x:v>79458874</x:v>
      </x:c>
      <x:c r="E89" t="str">
        <x:v>est0088@alumnos.blenkir.edu.pe</x:v>
      </x:c>
      <x:c r="F89" t="n">
        <x:v>2</x:v>
      </x:c>
      <x:c r="G89" t="str">
        <x:v>D</x:v>
      </x:c>
      <x:c r="H89" t="str">
        <x:v>2D</x:v>
      </x:c>
      <x:c r="I89" t="str">
        <x:v>activo</x:v>
      </x:c>
      <x:c r="J89" t="str">
        <x:v>activa</x:v>
      </x:c>
      <x:c r="K89" t="n">
        <x:v>17.01</x:v>
      </x:c>
      <x:c r="L89" t="n">
        <x:v>0</x:v>
      </x:c>
      <x:c r="M89" t="n">
        <x:v>99.23</x:v>
      </x:c>
      <x:c r="N89" t="n">
        <x:v>5.82</x:v>
      </x:c>
      <x:c r="O89" t="n">
        <x:v>11.38</x:v>
      </x:c>
      <x:c r="P89" t="n">
        <x:v>10</x:v>
      </x:c>
      <x:c r="Q89" t="n">
        <x:v>8</x:v>
      </x:c>
      <x:c r="R89" t="str">
        <x:v>continua</x:v>
      </x:c>
      <x:c r="S89" s="24" t="b">
        <x:v>1</x:v>
      </x:c>
      <x:c r="T89" s="36" t="str">
        <x:v>2026-03-02</x:v>
      </x:c>
      <x:c r="U89" t="str">
        <x:v>988296043</x:v>
      </x:c>
    </x:row>
    <x:row r="90">
      <x:c r="A90" t="str">
        <x:v>EST-0089</x:v>
      </x:c>
      <x:c r="B90" t="str">
        <x:v>Pablo</x:v>
      </x:c>
      <x:c r="C90" t="str">
        <x:v>Pérez Mamani</x:v>
      </x:c>
      <x:c r="D90" t="str">
        <x:v>88507102</x:v>
      </x:c>
      <x:c r="E90" t="str">
        <x:v>est0089@alumnos.blenkir.edu.pe</x:v>
      </x:c>
      <x:c r="F90" t="n">
        <x:v>2</x:v>
      </x:c>
      <x:c r="G90" t="str">
        <x:v>D</x:v>
      </x:c>
      <x:c r="H90" t="str">
        <x:v>2D</x:v>
      </x:c>
      <x:c r="I90" t="str">
        <x:v>activo</x:v>
      </x:c>
      <x:c r="J90" t="str">
        <x:v>activa</x:v>
      </x:c>
      <x:c r="K90" t="n">
        <x:v>17</x:v>
      </x:c>
      <x:c r="L90" t="n">
        <x:v>0</x:v>
      </x:c>
      <x:c r="M90" t="n">
        <x:v>99.5</x:v>
      </x:c>
      <x:c r="N90" t="n">
        <x:v>7.53</x:v>
      </x:c>
      <x:c r="O90" t="n">
        <x:v>15.64</x:v>
      </x:c>
      <x:c r="P90" t="n">
        <x:v>15</x:v>
      </x:c>
      <x:c r="Q90" t="n">
        <x:v>13</x:v>
      </x:c>
      <x:c r="R90" t="str">
        <x:v>continua</x:v>
      </x:c>
      <x:c r="S90" s="24" t="b">
        <x:v>1</x:v>
      </x:c>
      <x:c r="T90" s="36" t="str">
        <x:v>2026-03-02</x:v>
      </x:c>
      <x:c r="U90" t="str">
        <x:v>910244471</x:v>
      </x:c>
    </x:row>
    <x:row r="91">
      <x:c r="A91" t="str">
        <x:v>EST-0090</x:v>
      </x:c>
      <x:c r="B91" t="str">
        <x:v>Víctor</x:v>
      </x:c>
      <x:c r="C91" t="str">
        <x:v>Valdivia Vargas</x:v>
      </x:c>
      <x:c r="D91" t="str">
        <x:v>79551334</x:v>
      </x:c>
      <x:c r="E91" t="str">
        <x:v>est0090@alumnos.blenkir.edu.pe</x:v>
      </x:c>
      <x:c r="F91" t="n">
        <x:v>2</x:v>
      </x:c>
      <x:c r="G91" t="str">
        <x:v>D</x:v>
      </x:c>
      <x:c r="H91" t="str">
        <x:v>2D</x:v>
      </x:c>
      <x:c r="I91" t="str">
        <x:v>activo</x:v>
      </x:c>
      <x:c r="J91" t="str">
        <x:v>activa</x:v>
      </x:c>
      <x:c r="K91" t="n">
        <x:v>16.28</x:v>
      </x:c>
      <x:c r="L91" t="n">
        <x:v>0</x:v>
      </x:c>
      <x:c r="M91" t="n">
        <x:v>93.98</x:v>
      </x:c>
      <x:c r="N91" t="n">
        <x:v>5.86</x:v>
      </x:c>
      <x:c r="O91" t="n">
        <x:v>12.73</x:v>
      </x:c>
      <x:c r="P91" t="n">
        <x:v>15</x:v>
      </x:c>
      <x:c r="Q91" t="n">
        <x:v>8</x:v>
      </x:c>
      <x:c r="R91" t="str">
        <x:v>continua</x:v>
      </x:c>
      <x:c r="S91" s="24" t="b">
        <x:v>1</x:v>
      </x:c>
      <x:c r="T91" s="36" t="str">
        <x:v>2026-03-02</x:v>
      </x:c>
      <x:c r="U91" t="str">
        <x:v>995025266</x:v>
      </x:c>
    </x:row>
    <x:row r="92">
      <x:c r="A92" t="str">
        <x:v>EST-0091</x:v>
      </x:c>
      <x:c r="B92" t="str">
        <x:v>Fernanda</x:v>
      </x:c>
      <x:c r="C92" t="str">
        <x:v>Bendezú Castro</x:v>
      </x:c>
      <x:c r="D92" t="str">
        <x:v>76431126</x:v>
      </x:c>
      <x:c r="E92" t="str">
        <x:v>est0091@alumnos.blenkir.edu.pe</x:v>
      </x:c>
      <x:c r="F92" t="n">
        <x:v>2</x:v>
      </x:c>
      <x:c r="G92" t="str">
        <x:v>D</x:v>
      </x:c>
      <x:c r="H92" t="str">
        <x:v>2D</x:v>
      </x:c>
      <x:c r="I92" t="str">
        <x:v>activo</x:v>
      </x:c>
      <x:c r="J92" t="str">
        <x:v>activa</x:v>
      </x:c>
      <x:c r="K92" t="n">
        <x:v>11.86</x:v>
      </x:c>
      <x:c r="L92" t="n">
        <x:v>0</x:v>
      </x:c>
      <x:c r="M92" t="n">
        <x:v>89.95</x:v>
      </x:c>
      <x:c r="N92" t="n">
        <x:v>9.05</x:v>
      </x:c>
      <x:c r="O92" t="n">
        <x:v>17.81</x:v>
      </x:c>
      <x:c r="P92" t="n">
        <x:v>17</x:v>
      </x:c>
      <x:c r="Q92" t="n">
        <x:v>10</x:v>
      </x:c>
      <x:c r="R92" t="str">
        <x:v>continua</x:v>
      </x:c>
      <x:c r="S92" s="24" t="b">
        <x:v>1</x:v>
      </x:c>
      <x:c r="T92" s="36" t="str">
        <x:v>2026-03-02</x:v>
      </x:c>
      <x:c r="U92" t="str">
        <x:v>966263346</x:v>
      </x:c>
    </x:row>
    <x:row r="93">
      <x:c r="A93" t="str">
        <x:v>EST-0092</x:v>
      </x:c>
      <x:c r="B93" t="str">
        <x:v>Natalia</x:v>
      </x:c>
      <x:c r="C93" t="str">
        <x:v>Dávila Medina</x:v>
      </x:c>
      <x:c r="D93" t="str">
        <x:v>72168891</x:v>
      </x:c>
      <x:c r="E93" t="str">
        <x:v>est0092@alumnos.blenkir.edu.pe</x:v>
      </x:c>
      <x:c r="F93" t="n">
        <x:v>2</x:v>
      </x:c>
      <x:c r="G93" t="str">
        <x:v>D</x:v>
      </x:c>
      <x:c r="H93" t="str">
        <x:v>2D</x:v>
      </x:c>
      <x:c r="I93" t="str">
        <x:v>activo</x:v>
      </x:c>
      <x:c r="J93" t="str">
        <x:v>activa</x:v>
      </x:c>
      <x:c r="K93" t="n">
        <x:v>17.15</x:v>
      </x:c>
      <x:c r="L93" t="n">
        <x:v>0</x:v>
      </x:c>
      <x:c r="M93" t="n">
        <x:v>93</x:v>
      </x:c>
      <x:c r="N93" t="n">
        <x:v>8.11</x:v>
      </x:c>
      <x:c r="O93" t="n">
        <x:v>14.29</x:v>
      </x:c>
      <x:c r="P93" t="n">
        <x:v>16</x:v>
      </x:c>
      <x:c r="Q93" t="n">
        <x:v>13</x:v>
      </x:c>
      <x:c r="R93" t="str">
        <x:v>continua</x:v>
      </x:c>
      <x:c r="S93" s="24" t="b">
        <x:v>1</x:v>
      </x:c>
      <x:c r="T93" s="36" t="str">
        <x:v>2026-03-02</x:v>
      </x:c>
      <x:c r="U93" t="str">
        <x:v>991203575</x:v>
      </x:c>
    </x:row>
    <x:row r="94">
      <x:c r="A94" t="str">
        <x:v>EST-0093</x:v>
      </x:c>
      <x:c r="B94" t="str">
        <x:v>Victoria</x:v>
      </x:c>
      <x:c r="C94" t="str">
        <x:v>Mamani Vargas</x:v>
      </x:c>
      <x:c r="D94" t="str">
        <x:v>78734728</x:v>
      </x:c>
      <x:c r="E94" t="str">
        <x:v>est0093@alumnos.blenkir.edu.pe</x:v>
      </x:c>
      <x:c r="F94" t="n">
        <x:v>3</x:v>
      </x:c>
      <x:c r="G94" t="str">
        <x:v>A</x:v>
      </x:c>
      <x:c r="H94" t="str">
        <x:v>3A</x:v>
      </x:c>
      <x:c r="I94" t="str">
        <x:v>retirado</x:v>
      </x:c>
      <x:c r="J94" t="str">
        <x:v>retirada</x:v>
      </x:c>
      <x:c r="K94" t="n">
        <x:v>15.33</x:v>
      </x:c>
      <x:c r="L94" t="n">
        <x:v>0</x:v>
      </x:c>
      <x:c r="M94" t="n">
        <x:v>82.72</x:v>
      </x:c>
      <x:c r="N94" t="n">
        <x:v>8.78</x:v>
      </x:c>
      <x:c r="O94" t="n">
        <x:v>16.28</x:v>
      </x:c>
      <x:c r="P94" t="n">
        <x:v>14</x:v>
      </x:c>
      <x:c r="Q94" t="n">
        <x:v>13</x:v>
      </x:c>
      <x:c r="R94" t="str">
        <x:v>retirada</x:v>
      </x:c>
      <x:c r="S94" s="24" t="b">
        <x:v>1</x:v>
      </x:c>
      <x:c r="T94" s="36" t="str">
        <x:v>2026-03-02</x:v>
      </x:c>
      <x:c r="U94" t="str">
        <x:v>996351188</x:v>
      </x:c>
    </x:row>
    <x:row r="95">
      <x:c r="A95" t="str">
        <x:v>EST-0094</x:v>
      </x:c>
      <x:c r="B95" t="str">
        <x:v>Bruno</x:v>
      </x:c>
      <x:c r="C95" t="str">
        <x:v>Romero Chávez</x:v>
      </x:c>
      <x:c r="D95" t="str">
        <x:v>71834638</x:v>
      </x:c>
      <x:c r="E95" t="str">
        <x:v>est0094@alumnos.blenkir.edu.pe</x:v>
      </x:c>
      <x:c r="F95" t="n">
        <x:v>3</x:v>
      </x:c>
      <x:c r="G95" t="str">
        <x:v>A</x:v>
      </x:c>
      <x:c r="H95" t="str">
        <x:v>3A</x:v>
      </x:c>
      <x:c r="I95" t="str">
        <x:v>activo</x:v>
      </x:c>
      <x:c r="J95" t="str">
        <x:v>activa</x:v>
      </x:c>
      <x:c r="K95" t="n">
        <x:v>14.82</x:v>
      </x:c>
      <x:c r="L95" t="n">
        <x:v>0</x:v>
      </x:c>
      <x:c r="M95" t="n">
        <x:v>92.66</x:v>
      </x:c>
      <x:c r="N95" t="n">
        <x:v>9.68</x:v>
      </x:c>
      <x:c r="O95" t="n">
        <x:v>16.04</x:v>
      </x:c>
      <x:c r="P95" t="n">
        <x:v>16</x:v>
      </x:c>
      <x:c r="Q95" t="n">
        <x:v>11</x:v>
      </x:c>
      <x:c r="R95" t="str">
        <x:v>continua</x:v>
      </x:c>
      <x:c r="S95" s="24" t="b">
        <x:v>1</x:v>
      </x:c>
      <x:c r="T95" s="36" t="str">
        <x:v>2026-03-02</x:v>
      </x:c>
      <x:c r="U95" t="str">
        <x:v>955612430</x:v>
      </x:c>
    </x:row>
    <x:row r="96">
      <x:c r="A96" t="str">
        <x:v>EST-0095</x:v>
      </x:c>
      <x:c r="B96" t="str">
        <x:v>Emilio</x:v>
      </x:c>
      <x:c r="C96" t="str">
        <x:v>Yupanqui Mendoza</x:v>
      </x:c>
      <x:c r="D96" t="str">
        <x:v>84827518</x:v>
      </x:c>
      <x:c r="E96" t="str">
        <x:v>est0095@alumnos.blenkir.edu.pe</x:v>
      </x:c>
      <x:c r="F96" t="n">
        <x:v>3</x:v>
      </x:c>
      <x:c r="G96" t="str">
        <x:v>A</x:v>
      </x:c>
      <x:c r="H96" t="str">
        <x:v>3A</x:v>
      </x:c>
      <x:c r="I96" t="str">
        <x:v>activo</x:v>
      </x:c>
      <x:c r="J96" t="str">
        <x:v>activa</x:v>
      </x:c>
      <x:c r="K96" t="n">
        <x:v>12.75</x:v>
      </x:c>
      <x:c r="L96" t="n">
        <x:v>0</x:v>
      </x:c>
      <x:c r="M96" t="n">
        <x:v>83.85</x:v>
      </x:c>
      <x:c r="N96" t="n">
        <x:v>7.69</x:v>
      </x:c>
      <x:c r="O96" t="n">
        <x:v>16.71</x:v>
      </x:c>
      <x:c r="P96" t="n">
        <x:v>14</x:v>
      </x:c>
      <x:c r="Q96" t="n">
        <x:v>12</x:v>
      </x:c>
      <x:c r="R96" t="str">
        <x:v>continua</x:v>
      </x:c>
      <x:c r="S96" s="24" t="b">
        <x:v>1</x:v>
      </x:c>
      <x:c r="T96" s="36" t="str">
        <x:v>2026-03-02</x:v>
      </x:c>
      <x:c r="U96" t="str">
        <x:v>954917151</x:v>
      </x:c>
    </x:row>
    <x:row r="97">
      <x:c r="A97" t="str">
        <x:v>EST-0096</x:v>
      </x:c>
      <x:c r="B97" t="str">
        <x:v>Javier</x:v>
      </x:c>
      <x:c r="C97" t="str">
        <x:v>Castillo Vásquez</x:v>
      </x:c>
      <x:c r="D97" t="str">
        <x:v>75706593</x:v>
      </x:c>
      <x:c r="E97" t="str">
        <x:v>est0096@alumnos.blenkir.edu.pe</x:v>
      </x:c>
      <x:c r="F97" t="n">
        <x:v>3</x:v>
      </x:c>
      <x:c r="G97" t="str">
        <x:v>A</x:v>
      </x:c>
      <x:c r="H97" t="str">
        <x:v>3A</x:v>
      </x:c>
      <x:c r="I97" t="str">
        <x:v>activo</x:v>
      </x:c>
      <x:c r="J97" t="str">
        <x:v>activa</x:v>
      </x:c>
      <x:c r="K97" t="n">
        <x:v>13.96</x:v>
      </x:c>
      <x:c r="L97" t="n">
        <x:v>0</x:v>
      </x:c>
      <x:c r="M97" t="n">
        <x:v>95.41</x:v>
      </x:c>
      <x:c r="N97" t="n">
        <x:v>9.2</x:v>
      </x:c>
      <x:c r="O97" t="n">
        <x:v>18.75</x:v>
      </x:c>
      <x:c r="P97" t="n">
        <x:v>19</x:v>
      </x:c>
      <x:c r="Q97" t="n">
        <x:v>13</x:v>
      </x:c>
      <x:c r="R97" t="str">
        <x:v>continua</x:v>
      </x:c>
      <x:c r="S97" s="24" t="b">
        <x:v>1</x:v>
      </x:c>
      <x:c r="T97" s="36" t="str">
        <x:v>2026-03-02</x:v>
      </x:c>
      <x:c r="U97" t="str">
        <x:v>979155850</x:v>
      </x:c>
    </x:row>
    <x:row r="98">
      <x:c r="A98" t="str">
        <x:v>EST-0097</x:v>
      </x:c>
      <x:c r="B98" t="str">
        <x:v>Mateo</x:v>
      </x:c>
      <x:c r="C98" t="str">
        <x:v>Gómez Condori</x:v>
      </x:c>
      <x:c r="D98" t="str">
        <x:v>87035762</x:v>
      </x:c>
      <x:c r="E98" t="str">
        <x:v>est0097@alumnos.blenkir.edu.pe</x:v>
      </x:c>
      <x:c r="F98" t="n">
        <x:v>3</x:v>
      </x:c>
      <x:c r="G98" t="str">
        <x:v>A</x:v>
      </x:c>
      <x:c r="H98" t="str">
        <x:v>3A</x:v>
      </x:c>
      <x:c r="I98" t="str">
        <x:v>activo</x:v>
      </x:c>
      <x:c r="J98" t="str">
        <x:v>activa</x:v>
      </x:c>
      <x:c r="K98" t="n">
        <x:v>13.51</x:v>
      </x:c>
      <x:c r="L98" t="n">
        <x:v>0</x:v>
      </x:c>
      <x:c r="M98" t="n">
        <x:v>91.73</x:v>
      </x:c>
      <x:c r="N98" t="n">
        <x:v>4.83</x:v>
      </x:c>
      <x:c r="O98" t="n">
        <x:v>8.01</x:v>
      </x:c>
      <x:c r="P98" t="n">
        <x:v>9</x:v>
      </x:c>
      <x:c r="Q98" t="n">
        <x:v>8</x:v>
      </x:c>
      <x:c r="R98" t="str">
        <x:v>continua</x:v>
      </x:c>
      <x:c r="S98" s="24" t="b">
        <x:v>1</x:v>
      </x:c>
      <x:c r="T98" s="36" t="str">
        <x:v>2026-03-02</x:v>
      </x:c>
      <x:c r="U98" t="str">
        <x:v>938082878</x:v>
      </x:c>
    </x:row>
    <x:row r="99">
      <x:c r="A99" t="str">
        <x:v>EST-0098</x:v>
      </x:c>
      <x:c r="B99" t="str">
        <x:v>Rodrigo</x:v>
      </x:c>
      <x:c r="C99" t="str">
        <x:v>Paredes Morales</x:v>
      </x:c>
      <x:c r="D99" t="str">
        <x:v>79543288</x:v>
      </x:c>
      <x:c r="E99" t="str">
        <x:v>est0098@alumnos.blenkir.edu.pe</x:v>
      </x:c>
      <x:c r="F99" t="n">
        <x:v>3</x:v>
      </x:c>
      <x:c r="G99" t="str">
        <x:v>A</x:v>
      </x:c>
      <x:c r="H99" t="str">
        <x:v>3A</x:v>
      </x:c>
      <x:c r="I99" t="str">
        <x:v>activo</x:v>
      </x:c>
      <x:c r="J99" t="str">
        <x:v>activa</x:v>
      </x:c>
      <x:c r="K99" t="n">
        <x:v>16.15</x:v>
      </x:c>
      <x:c r="L99" t="n">
        <x:v>0</x:v>
      </x:c>
      <x:c r="M99" t="n">
        <x:v>89.19</x:v>
      </x:c>
      <x:c r="N99" t="n">
        <x:v>6.14</x:v>
      </x:c>
      <x:c r="O99" t="n">
        <x:v>9.39</x:v>
      </x:c>
      <x:c r="P99" t="n">
        <x:v>12</x:v>
      </x:c>
      <x:c r="Q99" t="n">
        <x:v>9</x:v>
      </x:c>
      <x:c r="R99" t="str">
        <x:v>continua</x:v>
      </x:c>
      <x:c r="S99" s="24" t="b">
        <x:v>1</x:v>
      </x:c>
      <x:c r="T99" s="36" t="str">
        <x:v>2026-03-02</x:v>
      </x:c>
      <x:c r="U99" t="str">
        <x:v>955626074</x:v>
      </x:c>
    </x:row>
    <x:row r="100">
      <x:c r="A100" t="str">
        <x:v>EST-0099</x:v>
      </x:c>
      <x:c r="B100" t="str">
        <x:v>Carla</x:v>
      </x:c>
      <x:c r="C100" t="str">
        <x:v>Torres Vega</x:v>
      </x:c>
      <x:c r="D100" t="str">
        <x:v>89748141</x:v>
      </x:c>
      <x:c r="E100" t="str">
        <x:v>est0099@alumnos.blenkir.edu.pe</x:v>
      </x:c>
      <x:c r="F100" t="n">
        <x:v>3</x:v>
      </x:c>
      <x:c r="G100" t="str">
        <x:v>A</x:v>
      </x:c>
      <x:c r="H100" t="str">
        <x:v>3A</x:v>
      </x:c>
      <x:c r="I100" t="str">
        <x:v>activo</x:v>
      </x:c>
      <x:c r="J100" t="str">
        <x:v>activa</x:v>
      </x:c>
      <x:c r="K100" t="n">
        <x:v>16.18</x:v>
      </x:c>
      <x:c r="L100" t="n">
        <x:v>0</x:v>
      </x:c>
      <x:c r="M100" t="n">
        <x:v>95.29</x:v>
      </x:c>
      <x:c r="N100" t="n">
        <x:v>10.62</x:v>
      </x:c>
      <x:c r="O100" t="n">
        <x:v>20.23</x:v>
      </x:c>
      <x:c r="P100" t="n">
        <x:v>19</x:v>
      </x:c>
      <x:c r="Q100" t="n">
        <x:v>13</x:v>
      </x:c>
      <x:c r="R100" t="str">
        <x:v>continua</x:v>
      </x:c>
      <x:c r="S100" s="24" t="b">
        <x:v>1</x:v>
      </x:c>
      <x:c r="T100" s="36" t="str">
        <x:v>2026-03-02</x:v>
      </x:c>
      <x:c r="U100" t="str">
        <x:v>915226243</x:v>
      </x:c>
    </x:row>
    <x:row r="101">
      <x:c r="A101" t="str">
        <x:v>EST-0100</x:v>
      </x:c>
      <x:c r="B101" t="str">
        <x:v>Jimena</x:v>
      </x:c>
      <x:c r="C101" t="str">
        <x:v>Arias Contreras</x:v>
      </x:c>
      <x:c r="D101" t="str">
        <x:v>86056028</x:v>
      </x:c>
      <x:c r="E101" t="str">
        <x:v>est0100@alumnos.blenkir.edu.pe</x:v>
      </x:c>
      <x:c r="F101" t="n">
        <x:v>3</x:v>
      </x:c>
      <x:c r="G101" t="str">
        <x:v>A</x:v>
      </x:c>
      <x:c r="H101" t="str">
        <x:v>3A</x:v>
      </x:c>
      <x:c r="I101" t="str">
        <x:v>activo</x:v>
      </x:c>
      <x:c r="J101" t="str">
        <x:v>activa</x:v>
      </x:c>
      <x:c r="K101" t="n">
        <x:v>14.24</x:v>
      </x:c>
      <x:c r="L101" t="n">
        <x:v>0</x:v>
      </x:c>
      <x:c r="M101" t="n">
        <x:v>95.75</x:v>
      </x:c>
      <x:c r="N101" t="n">
        <x:v>6.55</x:v>
      </x:c>
      <x:c r="O101" t="n">
        <x:v>12.37</x:v>
      </x:c>
      <x:c r="P101" t="n">
        <x:v>11</x:v>
      </x:c>
      <x:c r="Q101" t="n">
        <x:v>11</x:v>
      </x:c>
      <x:c r="R101" t="str">
        <x:v>continua</x:v>
      </x:c>
      <x:c r="S101" s="24" t="b">
        <x:v>1</x:v>
      </x:c>
      <x:c r="T101" s="36" t="str">
        <x:v>2026-03-02</x:v>
      </x:c>
      <x:c r="U101" t="str">
        <x:v>919528576</x:v>
      </x:c>
    </x:row>
    <x:row r="102">
      <x:c r="A102" t="str">
        <x:v>EST-0101</x:v>
      </x:c>
      <x:c r="B102" t="str">
        <x:v>Renata</x:v>
      </x:c>
      <x:c r="C102" t="str">
        <x:v>Córdova Navarro</x:v>
      </x:c>
      <x:c r="D102" t="str">
        <x:v>80846426</x:v>
      </x:c>
      <x:c r="E102" t="str">
        <x:v>est0101@alumnos.blenkir.edu.pe</x:v>
      </x:c>
      <x:c r="F102" t="n">
        <x:v>3</x:v>
      </x:c>
      <x:c r="G102" t="str">
        <x:v>A</x:v>
      </x:c>
      <x:c r="H102" t="str">
        <x:v>3A</x:v>
      </x:c>
      <x:c r="I102" t="str">
        <x:v>activo</x:v>
      </x:c>
      <x:c r="J102" t="str">
        <x:v>activa</x:v>
      </x:c>
      <x:c r="K102" t="n">
        <x:v>17.35</x:v>
      </x:c>
      <x:c r="L102" t="n">
        <x:v>0</x:v>
      </x:c>
      <x:c r="M102" t="n">
        <x:v>92.9</x:v>
      </x:c>
      <x:c r="N102" t="n">
        <x:v>8.06</x:v>
      </x:c>
      <x:c r="O102" t="n">
        <x:v>15.88</x:v>
      </x:c>
      <x:c r="P102" t="n">
        <x:v>14</x:v>
      </x:c>
      <x:c r="Q102" t="n">
        <x:v>13</x:v>
      </x:c>
      <x:c r="R102" t="str">
        <x:v>continua</x:v>
      </x:c>
      <x:c r="S102" s="24" t="b">
        <x:v>1</x:v>
      </x:c>
      <x:c r="T102" s="36" t="str">
        <x:v>2026-03-02</x:v>
      </x:c>
      <x:c r="U102" t="str">
        <x:v>970129023</x:v>
      </x:c>
    </x:row>
    <x:row r="103">
      <x:c r="A103" t="str">
        <x:v>EST-0102</x:v>
      </x:c>
      <x:c r="B103" t="str">
        <x:v>Alejandra</x:v>
      </x:c>
      <x:c r="C103" t="str">
        <x:v>López Velásquez</x:v>
      </x:c>
      <x:c r="D103" t="str">
        <x:v>73416386</x:v>
      </x:c>
      <x:c r="E103" t="str">
        <x:v>est0102@alumnos.blenkir.edu.pe</x:v>
      </x:c>
      <x:c r="F103" t="n">
        <x:v>3</x:v>
      </x:c>
      <x:c r="G103" t="str">
        <x:v>A</x:v>
      </x:c>
      <x:c r="H103" t="str">
        <x:v>3A</x:v>
      </x:c>
      <x:c r="I103" t="str">
        <x:v>activo</x:v>
      </x:c>
      <x:c r="J103" t="str">
        <x:v>activa</x:v>
      </x:c>
      <x:c r="K103" t="n">
        <x:v>15.49</x:v>
      </x:c>
      <x:c r="L103" t="n">
        <x:v>0</x:v>
      </x:c>
      <x:c r="M103" t="n">
        <x:v>93.8</x:v>
      </x:c>
      <x:c r="N103" t="n">
        <x:v>9.05</x:v>
      </x:c>
      <x:c r="O103" t="n">
        <x:v>17.38</x:v>
      </x:c>
      <x:c r="P103" t="n">
        <x:v>14</x:v>
      </x:c>
      <x:c r="Q103" t="n">
        <x:v>15</x:v>
      </x:c>
      <x:c r="R103" t="str">
        <x:v>continua</x:v>
      </x:c>
      <x:c r="S103" s="24" t="b">
        <x:v>1</x:v>
      </x:c>
      <x:c r="T103" s="36" t="str">
        <x:v>2026-03-02</x:v>
      </x:c>
      <x:c r="U103" t="str">
        <x:v>922481381</x:v>
      </x:c>
    </x:row>
    <x:row r="104">
      <x:c r="A104" t="str">
        <x:v>EST-0103</x:v>
      </x:c>
      <x:c r="B104" t="str">
        <x:v>Daniel</x:v>
      </x:c>
      <x:c r="C104" t="str">
        <x:v>Rojas Córdova</x:v>
      </x:c>
      <x:c r="D104" t="str">
        <x:v>89679143</x:v>
      </x:c>
      <x:c r="E104" t="str">
        <x:v>est0103@alumnos.blenkir.edu.pe</x:v>
      </x:c>
      <x:c r="F104" t="n">
        <x:v>3</x:v>
      </x:c>
      <x:c r="G104" t="str">
        <x:v>A</x:v>
      </x:c>
      <x:c r="H104" t="str">
        <x:v>3A</x:v>
      </x:c>
      <x:c r="I104" t="str">
        <x:v>activo</x:v>
      </x:c>
      <x:c r="J104" t="str">
        <x:v>activa</x:v>
      </x:c>
      <x:c r="K104" t="n">
        <x:v>16.74</x:v>
      </x:c>
      <x:c r="L104" t="n">
        <x:v>0</x:v>
      </x:c>
      <x:c r="M104" t="n">
        <x:v>82.48</x:v>
      </x:c>
      <x:c r="N104" t="n">
        <x:v>8.59</x:v>
      </x:c>
      <x:c r="O104" t="n">
        <x:v>15.38</x:v>
      </x:c>
      <x:c r="P104" t="n">
        <x:v>13</x:v>
      </x:c>
      <x:c r="Q104" t="n">
        <x:v>12</x:v>
      </x:c>
      <x:c r="R104" t="str">
        <x:v>continua</x:v>
      </x:c>
      <x:c r="S104" s="24" t="b">
        <x:v>1</x:v>
      </x:c>
      <x:c r="T104" s="36" t="str">
        <x:v>2026-03-02</x:v>
      </x:c>
      <x:c r="U104" t="str">
        <x:v>923107962</x:v>
      </x:c>
    </x:row>
    <x:row r="105">
      <x:c r="A105" t="str">
        <x:v>EST-0104</x:v>
      </x:c>
      <x:c r="B105" t="str">
        <x:v>Gael</x:v>
      </x:c>
      <x:c r="C105" t="str">
        <x:v>Velásquez Paredes</x:v>
      </x:c>
      <x:c r="D105" t="str">
        <x:v>71815476</x:v>
      </x:c>
      <x:c r="E105" t="str">
        <x:v>est0104@alumnos.blenkir.edu.pe</x:v>
      </x:c>
      <x:c r="F105" t="n">
        <x:v>3</x:v>
      </x:c>
      <x:c r="G105" t="str">
        <x:v>A</x:v>
      </x:c>
      <x:c r="H105" t="str">
        <x:v>3A</x:v>
      </x:c>
      <x:c r="I105" t="str">
        <x:v>retirado</x:v>
      </x:c>
      <x:c r="J105" t="str">
        <x:v>retirada</x:v>
      </x:c>
      <x:c r="K105" t="n">
        <x:v>16.18</x:v>
      </x:c>
      <x:c r="L105" t="n">
        <x:v>0</x:v>
      </x:c>
      <x:c r="M105" t="n">
        <x:v>92.74</x:v>
      </x:c>
      <x:c r="N105" t="n">
        <x:v>6.3</x:v>
      </x:c>
      <x:c r="O105" t="n">
        <x:v>15.17</x:v>
      </x:c>
      <x:c r="P105" t="n">
        <x:v>16</x:v>
      </x:c>
      <x:c r="Q105" t="n">
        <x:v>10</x:v>
      </x:c>
      <x:c r="R105" t="str">
        <x:v>retirada</x:v>
      </x:c>
      <x:c r="S105" s="24" t="b">
        <x:v>1</x:v>
      </x:c>
      <x:c r="T105" s="36" t="str">
        <x:v>2026-03-02</x:v>
      </x:c>
      <x:c r="U105" t="str">
        <x:v>902652812</x:v>
      </x:c>
    </x:row>
    <x:row r="106">
      <x:c r="A106" t="str">
        <x:v>EST-0105</x:v>
      </x:c>
      <x:c r="B106" t="str">
        <x:v>José</x:v>
      </x:c>
      <x:c r="C106" t="str">
        <x:v>Carrasco Yupanqui</x:v>
      </x:c>
      <x:c r="D106" t="str">
        <x:v>73818372</x:v>
      </x:c>
      <x:c r="E106" t="str">
        <x:v>est0105@alumnos.blenkir.edu.pe</x:v>
      </x:c>
      <x:c r="F106" t="n">
        <x:v>3</x:v>
      </x:c>
      <x:c r="G106" t="str">
        <x:v>B</x:v>
      </x:c>
      <x:c r="H106" t="str">
        <x:v>3B</x:v>
      </x:c>
      <x:c r="I106" t="str">
        <x:v>activo</x:v>
      </x:c>
      <x:c r="J106" t="str">
        <x:v>activa</x:v>
      </x:c>
      <x:c r="K106" t="n">
        <x:v>15.45</x:v>
      </x:c>
      <x:c r="L106" t="n">
        <x:v>0</x:v>
      </x:c>
      <x:c r="M106" t="n">
        <x:v>92.12</x:v>
      </x:c>
      <x:c r="N106" t="n">
        <x:v>9.18</x:v>
      </x:c>
      <x:c r="O106" t="n">
        <x:v>17.92</x:v>
      </x:c>
      <x:c r="P106" t="n">
        <x:v>16</x:v>
      </x:c>
      <x:c r="Q106" t="n">
        <x:v>14</x:v>
      </x:c>
      <x:c r="R106" t="str">
        <x:v>continua</x:v>
      </x:c>
      <x:c r="S106" s="24" t="b">
        <x:v>1</x:v>
      </x:c>
      <x:c r="T106" s="36" t="str">
        <x:v>2026-03-02</x:v>
      </x:c>
      <x:c r="U106" t="str">
        <x:v>983365954</x:v>
      </x:c>
    </x:row>
    <x:row r="107">
      <x:c r="A107" t="str">
        <x:v>EST-0106</x:v>
      </x:c>
      <x:c r="B107" t="str">
        <x:v>Nicolás</x:v>
      </x:c>
      <x:c r="C107" t="str">
        <x:v>García Dávila</x:v>
      </x:c>
      <x:c r="D107" t="str">
        <x:v>71715935</x:v>
      </x:c>
      <x:c r="E107" t="str">
        <x:v>est0106@alumnos.blenkir.edu.pe</x:v>
      </x:c>
      <x:c r="F107" t="n">
        <x:v>3</x:v>
      </x:c>
      <x:c r="G107" t="str">
        <x:v>B</x:v>
      </x:c>
      <x:c r="H107" t="str">
        <x:v>3B</x:v>
      </x:c>
      <x:c r="I107" t="str">
        <x:v>activo</x:v>
      </x:c>
      <x:c r="J107" t="str">
        <x:v>activa</x:v>
      </x:c>
      <x:c r="K107" t="n">
        <x:v>16.22</x:v>
      </x:c>
      <x:c r="L107" t="n">
        <x:v>0</x:v>
      </x:c>
      <x:c r="M107" t="n">
        <x:v>91.52</x:v>
      </x:c>
      <x:c r="N107" t="n">
        <x:v>9.37</x:v>
      </x:c>
      <x:c r="O107" t="n">
        <x:v>17.74</x:v>
      </x:c>
      <x:c r="P107" t="n">
        <x:v>15</x:v>
      </x:c>
      <x:c r="Q107" t="n">
        <x:v>14</x:v>
      </x:c>
      <x:c r="R107" t="str">
        <x:v>continua</x:v>
      </x:c>
      <x:c r="S107" s="24" t="b">
        <x:v>1</x:v>
      </x:c>
      <x:c r="T107" s="36" t="str">
        <x:v>2026-03-02</x:v>
      </x:c>
      <x:c r="U107" t="str">
        <x:v>980273909</x:v>
      </x:c>
    </x:row>
    <x:row r="108">
      <x:c r="A108" t="str">
        <x:v>EST-0107</x:v>
      </x:c>
      <x:c r="B108" t="str">
        <x:v>Thiago</x:v>
      </x:c>
      <x:c r="C108" t="str">
        <x:v>Navarro Pérez</x:v>
      </x:c>
      <x:c r="D108" t="str">
        <x:v>74589860</x:v>
      </x:c>
      <x:c r="E108" t="str">
        <x:v>est0107@alumnos.blenkir.edu.pe</x:v>
      </x:c>
      <x:c r="F108" t="n">
        <x:v>3</x:v>
      </x:c>
      <x:c r="G108" t="str">
        <x:v>B</x:v>
      </x:c>
      <x:c r="H108" t="str">
        <x:v>3B</x:v>
      </x:c>
      <x:c r="I108" t="str">
        <x:v>activo</x:v>
      </x:c>
      <x:c r="J108" t="str">
        <x:v>activa</x:v>
      </x:c>
      <x:c r="K108" t="n">
        <x:v>15.88</x:v>
      </x:c>
      <x:c r="L108" t="n">
        <x:v>0</x:v>
      </x:c>
      <x:c r="M108" t="n">
        <x:v>94.64</x:v>
      </x:c>
      <x:c r="N108" t="n">
        <x:v>6.59</x:v>
      </x:c>
      <x:c r="O108" t="n">
        <x:v>14.92</x:v>
      </x:c>
      <x:c r="P108" t="n">
        <x:v>14</x:v>
      </x:c>
      <x:c r="Q108" t="n">
        <x:v>11</x:v>
      </x:c>
      <x:c r="R108" t="str">
        <x:v>continua</x:v>
      </x:c>
      <x:c r="S108" s="24" t="b">
        <x:v>1</x:v>
      </x:c>
      <x:c r="T108" s="36" t="str">
        <x:v>2026-03-02</x:v>
      </x:c>
      <x:c r="U108" t="str">
        <x:v>964100542</x:v>
      </x:c>
    </x:row>
    <x:row r="109">
      <x:c r="A109" t="str">
        <x:v>EST-0108</x:v>
      </x:c>
      <x:c r="B109" t="str">
        <x:v>Fabiana</x:v>
      </x:c>
      <x:c r="C109" t="str">
        <x:v>Soto Zúñiga</x:v>
      </x:c>
      <x:c r="D109" t="str">
        <x:v>88400741</x:v>
      </x:c>
      <x:c r="E109" t="str">
        <x:v>est0108@alumnos.blenkir.edu.pe</x:v>
      </x:c>
      <x:c r="F109" t="n">
        <x:v>3</x:v>
      </x:c>
      <x:c r="G109" t="str">
        <x:v>B</x:v>
      </x:c>
      <x:c r="H109" t="str">
        <x:v>3B</x:v>
      </x:c>
      <x:c r="I109" t="str">
        <x:v>activo</x:v>
      </x:c>
      <x:c r="J109" t="str">
        <x:v>activa</x:v>
      </x:c>
      <x:c r="K109" t="n">
        <x:v>17.89</x:v>
      </x:c>
      <x:c r="L109" t="n">
        <x:v>0</x:v>
      </x:c>
      <x:c r="M109" t="n">
        <x:v>93.36</x:v>
      </x:c>
      <x:c r="N109" t="n">
        <x:v>7.21</x:v>
      </x:c>
      <x:c r="O109" t="n">
        <x:v>15.08</x:v>
      </x:c>
      <x:c r="P109" t="n">
        <x:v>15</x:v>
      </x:c>
      <x:c r="Q109" t="n">
        <x:v>12</x:v>
      </x:c>
      <x:c r="R109" t="str">
        <x:v>continua</x:v>
      </x:c>
      <x:c r="S109" s="24" t="b">
        <x:v>1</x:v>
      </x:c>
      <x:c r="T109" s="36" t="str">
        <x:v>2026-03-02</x:v>
      </x:c>
      <x:c r="U109" t="str">
        <x:v>953762667</x:v>
      </x:c>
    </x:row>
    <x:row r="110">
      <x:c r="A110" t="str">
        <x:v>EST-0109</x:v>
      </x:c>
      <x:c r="B110" t="str">
        <x:v>Mía</x:v>
      </x:c>
      <x:c r="C110" t="str">
        <x:v>Alvarado De la Cruz</x:v>
      </x:c>
      <x:c r="D110" t="str">
        <x:v>88073223</x:v>
      </x:c>
      <x:c r="E110" t="str">
        <x:v>est0109@alumnos.blenkir.edu.pe</x:v>
      </x:c>
      <x:c r="F110" t="n">
        <x:v>3</x:v>
      </x:c>
      <x:c r="G110" t="str">
        <x:v>B</x:v>
      </x:c>
      <x:c r="H110" t="str">
        <x:v>3B</x:v>
      </x:c>
      <x:c r="I110" t="str">
        <x:v>activo</x:v>
      </x:c>
      <x:c r="J110" t="str">
        <x:v>activa</x:v>
      </x:c>
      <x:c r="K110" t="n">
        <x:v>11.34</x:v>
      </x:c>
      <x:c r="L110" t="n">
        <x:v>0</x:v>
      </x:c>
      <x:c r="M110" t="n">
        <x:v>93.39</x:v>
      </x:c>
      <x:c r="N110" t="n">
        <x:v>7.1</x:v>
      </x:c>
      <x:c r="O110" t="n">
        <x:v>10.56</x:v>
      </x:c>
      <x:c r="P110" t="n">
        <x:v>11</x:v>
      </x:c>
      <x:c r="Q110" t="n">
        <x:v>10</x:v>
      </x:c>
      <x:c r="R110" t="str">
        <x:v>continua</x:v>
      </x:c>
      <x:c r="S110" s="24" t="b">
        <x:v>1</x:v>
      </x:c>
      <x:c r="T110" s="36" t="str">
        <x:v>2026-03-02</x:v>
      </x:c>
      <x:c r="U110" t="str">
        <x:v>992391408</x:v>
      </x:c>
    </x:row>
    <x:row r="111">
      <x:c r="A111" t="str">
        <x:v>EST-0110</x:v>
      </x:c>
      <x:c r="B111" t="str">
        <x:v>Valentina</x:v>
      </x:c>
      <x:c r="C111" t="str">
        <x:v>Contreras Quispe</x:v>
      </x:c>
      <x:c r="D111" t="str">
        <x:v>77988456</x:v>
      </x:c>
      <x:c r="E111" t="str">
        <x:v>est0110@alumnos.blenkir.edu.pe</x:v>
      </x:c>
      <x:c r="F111" t="n">
        <x:v>3</x:v>
      </x:c>
      <x:c r="G111" t="str">
        <x:v>B</x:v>
      </x:c>
      <x:c r="H111" t="str">
        <x:v>3B</x:v>
      </x:c>
      <x:c r="I111" t="str">
        <x:v>activo</x:v>
      </x:c>
      <x:c r="J111" t="str">
        <x:v>activa</x:v>
      </x:c>
      <x:c r="K111" t="n">
        <x:v>16.67</x:v>
      </x:c>
      <x:c r="L111" t="n">
        <x:v>0</x:v>
      </x:c>
      <x:c r="M111" t="n">
        <x:v>92.55</x:v>
      </x:c>
      <x:c r="N111" t="n">
        <x:v>7.82</x:v>
      </x:c>
      <x:c r="O111" t="n">
        <x:v>14.13</x:v>
      </x:c>
      <x:c r="P111" t="n">
        <x:v>16</x:v>
      </x:c>
      <x:c r="Q111" t="n">
        <x:v>10</x:v>
      </x:c>
      <x:c r="R111" t="str">
        <x:v>continua</x:v>
      </x:c>
      <x:c r="S111" s="24" t="b">
        <x:v>1</x:v>
      </x:c>
      <x:c r="T111" s="36" t="str">
        <x:v>2026-03-02</x:v>
      </x:c>
      <x:c r="U111" t="str">
        <x:v>966964757</x:v>
      </x:c>
    </x:row>
    <x:row r="112">
      <x:c r="A112" t="str">
        <x:v>EST-0111</x:v>
      </x:c>
      <x:c r="B112" t="str">
        <x:v>Andrés</x:v>
      </x:c>
      <x:c r="C112" t="str">
        <x:v>Huamán Aguilar</x:v>
      </x:c>
      <x:c r="D112" t="str">
        <x:v>77122464</x:v>
      </x:c>
      <x:c r="E112" t="str">
        <x:v>est0111@alumnos.blenkir.edu.pe</x:v>
      </x:c>
      <x:c r="F112" t="n">
        <x:v>3</x:v>
      </x:c>
      <x:c r="G112" t="str">
        <x:v>B</x:v>
      </x:c>
      <x:c r="H112" t="str">
        <x:v>3B</x:v>
      </x:c>
      <x:c r="I112" t="str">
        <x:v>activo</x:v>
      </x:c>
      <x:c r="J112" t="str">
        <x:v>activa</x:v>
      </x:c>
      <x:c r="K112" t="n">
        <x:v>15.68</x:v>
      </x:c>
      <x:c r="L112" t="n">
        <x:v>0</x:v>
      </x:c>
      <x:c r="M112" t="n">
        <x:v>92.62</x:v>
      </x:c>
      <x:c r="N112" t="n">
        <x:v>7.52</x:v>
      </x:c>
      <x:c r="O112" t="n">
        <x:v>18.42</x:v>
      </x:c>
      <x:c r="P112" t="n">
        <x:v>16</x:v>
      </x:c>
      <x:c r="Q112" t="n">
        <x:v>12</x:v>
      </x:c>
      <x:c r="R112" t="str">
        <x:v>continua</x:v>
      </x:c>
      <x:c r="S112" s="24" t="b">
        <x:v>1</x:v>
      </x:c>
      <x:c r="T112" s="36" t="str">
        <x:v>2026-03-02</x:v>
      </x:c>
      <x:c r="U112" t="str">
        <x:v>965328418</x:v>
      </x:c>
    </x:row>
    <x:row r="113">
      <x:c r="A113" t="str">
        <x:v>EST-0112</x:v>
      </x:c>
      <x:c r="B113" t="str">
        <x:v>Eduardo</x:v>
      </x:c>
      <x:c r="C113" t="str">
        <x:v>Ramos Espinoza</x:v>
      </x:c>
      <x:c r="D113" t="str">
        <x:v>79007059</x:v>
      </x:c>
      <x:c r="E113" t="str">
        <x:v>est0112@alumnos.blenkir.edu.pe</x:v>
      </x:c>
      <x:c r="F113" t="n">
        <x:v>3</x:v>
      </x:c>
      <x:c r="G113" t="str">
        <x:v>B</x:v>
      </x:c>
      <x:c r="H113" t="str">
        <x:v>3B</x:v>
      </x:c>
      <x:c r="I113" t="str">
        <x:v>activo</x:v>
      </x:c>
      <x:c r="J113" t="str">
        <x:v>activa</x:v>
      </x:c>
      <x:c r="K113" t="n">
        <x:v>15.91</x:v>
      </x:c>
      <x:c r="L113" t="n">
        <x:v>0</x:v>
      </x:c>
      <x:c r="M113" t="n">
        <x:v>98.01</x:v>
      </x:c>
      <x:c r="N113" t="n">
        <x:v>6.56</x:v>
      </x:c>
      <x:c r="O113" t="n">
        <x:v>14.31</x:v>
      </x:c>
      <x:c r="P113" t="n">
        <x:v>15</x:v>
      </x:c>
      <x:c r="Q113" t="n">
        <x:v>12</x:v>
      </x:c>
      <x:c r="R113" t="str">
        <x:v>continua</x:v>
      </x:c>
      <x:c r="S113" s="24" t="b">
        <x:v>1</x:v>
      </x:c>
      <x:c r="T113" s="36" t="str">
        <x:v>2026-03-02</x:v>
      </x:c>
      <x:c r="U113" t="str">
        <x:v>939451998</x:v>
      </x:c>
    </x:row>
    <x:row r="114">
      <x:c r="A114" t="str">
        <x:v>EST-0113</x:v>
      </x:c>
      <x:c r="B114" t="str">
        <x:v>Iván</x:v>
      </x:c>
      <x:c r="C114" t="str">
        <x:v>Vega Ramírez</x:v>
      </x:c>
      <x:c r="D114" t="str">
        <x:v>85922249</x:v>
      </x:c>
      <x:c r="E114" t="str">
        <x:v>est0113@alumnos.blenkir.edu.pe</x:v>
      </x:c>
      <x:c r="F114" t="n">
        <x:v>3</x:v>
      </x:c>
      <x:c r="G114" t="str">
        <x:v>B</x:v>
      </x:c>
      <x:c r="H114" t="str">
        <x:v>3B</x:v>
      </x:c>
      <x:c r="I114" t="str">
        <x:v>activo</x:v>
      </x:c>
      <x:c r="J114" t="str">
        <x:v>activa</x:v>
      </x:c>
      <x:c r="K114" t="n">
        <x:v>13.77</x:v>
      </x:c>
      <x:c r="L114" t="n">
        <x:v>0</x:v>
      </x:c>
      <x:c r="M114" t="n">
        <x:v>88.29</x:v>
      </x:c>
      <x:c r="N114" t="n">
        <x:v>6.08</x:v>
      </x:c>
      <x:c r="O114" t="n">
        <x:v>9.98</x:v>
      </x:c>
      <x:c r="P114" t="n">
        <x:v>13</x:v>
      </x:c>
      <x:c r="Q114" t="n">
        <x:v>9</x:v>
      </x:c>
      <x:c r="R114" t="str">
        <x:v>continua</x:v>
      </x:c>
      <x:c r="S114" s="24" t="b">
        <x:v>1</x:v>
      </x:c>
      <x:c r="T114" s="36" t="str">
        <x:v>2026-03-02</x:v>
      </x:c>
      <x:c r="U114" t="str">
        <x:v>958218716</x:v>
      </x:c>
    </x:row>
    <x:row r="115">
      <x:c r="A115" t="str">
        <x:v>EST-0114</x:v>
      </x:c>
      <x:c r="B115" t="str">
        <x:v>Luis</x:v>
      </x:c>
      <x:c r="C115" t="str">
        <x:v>Campos Alarcón</x:v>
      </x:c>
      <x:c r="D115" t="str">
        <x:v>71779503</x:v>
      </x:c>
      <x:c r="E115" t="str">
        <x:v>est0114@alumnos.blenkir.edu.pe</x:v>
      </x:c>
      <x:c r="F115" t="n">
        <x:v>3</x:v>
      </x:c>
      <x:c r="G115" t="str">
        <x:v>B</x:v>
      </x:c>
      <x:c r="H115" t="str">
        <x:v>3B</x:v>
      </x:c>
      <x:c r="I115" t="str">
        <x:v>activo</x:v>
      </x:c>
      <x:c r="J115" t="str">
        <x:v>activa</x:v>
      </x:c>
      <x:c r="K115" t="n">
        <x:v>15.42</x:v>
      </x:c>
      <x:c r="L115" t="n">
        <x:v>0</x:v>
      </x:c>
      <x:c r="M115" t="n">
        <x:v>83.01</x:v>
      </x:c>
      <x:c r="N115" t="n">
        <x:v>8.66</x:v>
      </x:c>
      <x:c r="O115" t="n">
        <x:v>14.54</x:v>
      </x:c>
      <x:c r="P115" t="n">
        <x:v>15</x:v>
      </x:c>
      <x:c r="Q115" t="n">
        <x:v>9</x:v>
      </x:c>
      <x:c r="R115" t="str">
        <x:v>continua</x:v>
      </x:c>
      <x:c r="S115" s="24" t="b">
        <x:v>1</x:v>
      </x:c>
      <x:c r="T115" s="36" t="str">
        <x:v>2026-03-02</x:v>
      </x:c>
      <x:c r="U115" t="str">
        <x:v>970337668</x:v>
      </x:c>
    </x:row>
    <x:row r="116">
      <x:c r="A116" t="str">
        <x:v>EST-0115</x:v>
      </x:c>
      <x:c r="B116" t="str">
        <x:v>Renato</x:v>
      </x:c>
      <x:c r="C116" t="str">
        <x:v>Flores García</x:v>
      </x:c>
      <x:c r="D116" t="str">
        <x:v>82776138</x:v>
      </x:c>
      <x:c r="E116" t="str">
        <x:v>est0115@alumnos.blenkir.edu.pe</x:v>
      </x:c>
      <x:c r="F116" t="n">
        <x:v>3</x:v>
      </x:c>
      <x:c r="G116" t="str">
        <x:v>B</x:v>
      </x:c>
      <x:c r="H116" t="str">
        <x:v>3B</x:v>
      </x:c>
      <x:c r="I116" t="str">
        <x:v>retirado</x:v>
      </x:c>
      <x:c r="J116" t="str">
        <x:v>retirada</x:v>
      </x:c>
      <x:c r="K116" t="n">
        <x:v>15.64</x:v>
      </x:c>
      <x:c r="L116" t="n">
        <x:v>0</x:v>
      </x:c>
      <x:c r="M116" t="n">
        <x:v>99.5</x:v>
      </x:c>
      <x:c r="N116" t="n">
        <x:v>8.96</x:v>
      </x:c>
      <x:c r="O116" t="n">
        <x:v>17.86</x:v>
      </x:c>
      <x:c r="P116" t="n">
        <x:v>16</x:v>
      </x:c>
      <x:c r="Q116" t="n">
        <x:v>14</x:v>
      </x:c>
      <x:c r="R116" t="str">
        <x:v>retirada</x:v>
      </x:c>
      <x:c r="S116" s="24" t="b">
        <x:v>1</x:v>
      </x:c>
      <x:c r="T116" s="36" t="str">
        <x:v>2026-03-02</x:v>
      </x:c>
      <x:c r="U116" t="str">
        <x:v>922250154</x:v>
      </x:c>
    </x:row>
    <x:row r="117">
      <x:c r="A117" t="str">
        <x:v>EST-0116</x:v>
      </x:c>
      <x:c r="B117" t="str">
        <x:v>Camila</x:v>
      </x:c>
      <x:c r="C117" t="str">
        <x:v>Morales Ramos</x:v>
      </x:c>
      <x:c r="D117" t="str">
        <x:v>79961343</x:v>
      </x:c>
      <x:c r="E117" t="str">
        <x:v>est0116@alumnos.blenkir.edu.pe</x:v>
      </x:c>
      <x:c r="F117" t="n">
        <x:v>3</x:v>
      </x:c>
      <x:c r="G117" t="str">
        <x:v>B</x:v>
      </x:c>
      <x:c r="H117" t="str">
        <x:v>3B</x:v>
      </x:c>
      <x:c r="I117" t="str">
        <x:v>activo</x:v>
      </x:c>
      <x:c r="J117" t="str">
        <x:v>activa</x:v>
      </x:c>
      <x:c r="K117" t="n">
        <x:v>15.07</x:v>
      </x:c>
      <x:c r="L117" t="n">
        <x:v>0</x:v>
      </x:c>
      <x:c r="M117" t="n">
        <x:v>85.67</x:v>
      </x:c>
      <x:c r="N117" t="n">
        <x:v>7.07</x:v>
      </x:c>
      <x:c r="O117" t="n">
        <x:v>13.41</x:v>
      </x:c>
      <x:c r="P117" t="n">
        <x:v>15</x:v>
      </x:c>
      <x:c r="Q117" t="n">
        <x:v>11</x:v>
      </x:c>
      <x:c r="R117" t="str">
        <x:v>continua</x:v>
      </x:c>
      <x:c r="S117" s="24" t="b">
        <x:v>1</x:v>
      </x:c>
      <x:c r="T117" s="36" t="str">
        <x:v>2026-03-02</x:v>
      </x:c>
      <x:c r="U117" t="str">
        <x:v>965020711</x:v>
      </x:c>
    </x:row>
    <x:row r="118">
      <x:c r="A118" t="str">
        <x:v>EST-0117</x:v>
      </x:c>
      <x:c r="B118" t="str">
        <x:v>Isabella</x:v>
      </x:c>
      <x:c r="C118" t="str">
        <x:v>Silva Alvarado</x:v>
      </x:c>
      <x:c r="D118" t="str">
        <x:v>80360159</x:v>
      </x:c>
      <x:c r="E118" t="str">
        <x:v>est0117@alumnos.blenkir.edu.pe</x:v>
      </x:c>
      <x:c r="F118" t="n">
        <x:v>3</x:v>
      </x:c>
      <x:c r="G118" t="str">
        <x:v>C</x:v>
      </x:c>
      <x:c r="H118" t="str">
        <x:v>3C</x:v>
      </x:c>
      <x:c r="I118" t="str">
        <x:v>activo</x:v>
      </x:c>
      <x:c r="J118" t="str">
        <x:v>activa</x:v>
      </x:c>
      <x:c r="K118" t="n">
        <x:v>15.94</x:v>
      </x:c>
      <x:c r="L118" t="n">
        <x:v>0</x:v>
      </x:c>
      <x:c r="M118" t="n">
        <x:v>99.23</x:v>
      </x:c>
      <x:c r="N118" t="n">
        <x:v>10.3</x:v>
      </x:c>
      <x:c r="O118" t="n">
        <x:v>19.7</x:v>
      </x:c>
      <x:c r="P118" t="n">
        <x:v>19</x:v>
      </x:c>
      <x:c r="Q118" t="n">
        <x:v>15</x:v>
      </x:c>
      <x:c r="R118" t="str">
        <x:v>continua</x:v>
      </x:c>
      <x:c r="S118" s="24" t="b">
        <x:v>1</x:v>
      </x:c>
      <x:c r="T118" s="36" t="str">
        <x:v>2026-03-02</x:v>
      </x:c>
      <x:c r="U118" t="str">
        <x:v>916055426</x:v>
      </x:c>
    </x:row>
    <x:row r="119">
      <x:c r="A119" t="str">
        <x:v>EST-0118</x:v>
      </x:c>
      <x:c r="B119" t="str">
        <x:v>Paula</x:v>
      </x:c>
      <x:c r="C119" t="str">
        <x:v>Alarcón García</x:v>
      </x:c>
      <x:c r="D119" t="str">
        <x:v>85122168</x:v>
      </x:c>
      <x:c r="E119" t="str">
        <x:v>est0118@alumnos.blenkir.edu.pe</x:v>
      </x:c>
      <x:c r="F119" t="n">
        <x:v>3</x:v>
      </x:c>
      <x:c r="G119" t="str">
        <x:v>C</x:v>
      </x:c>
      <x:c r="H119" t="str">
        <x:v>3C</x:v>
      </x:c>
      <x:c r="I119" t="str">
        <x:v>activo</x:v>
      </x:c>
      <x:c r="J119" t="str">
        <x:v>activa</x:v>
      </x:c>
      <x:c r="K119" t="n">
        <x:v>16.56</x:v>
      </x:c>
      <x:c r="L119" t="n">
        <x:v>0</x:v>
      </x:c>
      <x:c r="M119" t="n">
        <x:v>95.84</x:v>
      </x:c>
      <x:c r="N119" t="n">
        <x:v>10.17</x:v>
      </x:c>
      <x:c r="O119" t="n">
        <x:v>19.72</x:v>
      </x:c>
      <x:c r="P119" t="n">
        <x:v>18</x:v>
      </x:c>
      <x:c r="Q119" t="n">
        <x:v>14</x:v>
      </x:c>
      <x:c r="R119" t="str">
        <x:v>continua</x:v>
      </x:c>
      <x:c r="S119" s="24" t="b">
        <x:v>1</x:v>
      </x:c>
      <x:c r="T119" s="36" t="str">
        <x:v>2026-03-02</x:v>
      </x:c>
      <x:c r="U119" t="str">
        <x:v>943778171</x:v>
      </x:c>
    </x:row>
    <x:row r="120">
      <x:c r="A120" t="str">
        <x:v>EST-0119</x:v>
      </x:c>
      <x:c r="B120" t="str">
        <x:v>Andrea</x:v>
      </x:c>
      <x:c r="C120" t="str">
        <x:v>Condori Rojas</x:v>
      </x:c>
      <x:c r="D120" t="str">
        <x:v>74603990</x:v>
      </x:c>
      <x:c r="E120" t="str">
        <x:v>est0119@alumnos.blenkir.edu.pe</x:v>
      </x:c>
      <x:c r="F120" t="n">
        <x:v>3</x:v>
      </x:c>
      <x:c r="G120" t="str">
        <x:v>C</x:v>
      </x:c>
      <x:c r="H120" t="str">
        <x:v>3C</x:v>
      </x:c>
      <x:c r="I120" t="str">
        <x:v>activo</x:v>
      </x:c>
      <x:c r="J120" t="str">
        <x:v>activa</x:v>
      </x:c>
      <x:c r="K120" t="n">
        <x:v>15.2</x:v>
      </x:c>
      <x:c r="L120" t="n">
        <x:v>0</x:v>
      </x:c>
      <x:c r="M120" t="n">
        <x:v>97.32</x:v>
      </x:c>
      <x:c r="N120" t="n">
        <x:v>8.85</x:v>
      </x:c>
      <x:c r="O120" t="n">
        <x:v>16.02</x:v>
      </x:c>
      <x:c r="P120" t="n">
        <x:v>13</x:v>
      </x:c>
      <x:c r="Q120" t="n">
        <x:v>12</x:v>
      </x:c>
      <x:c r="R120" t="str">
        <x:v>continua</x:v>
      </x:c>
      <x:c r="S120" s="24" t="b">
        <x:v>1</x:v>
      </x:c>
      <x:c r="T120" s="36" t="str">
        <x:v>2026-03-02</x:v>
      </x:c>
      <x:c r="U120" t="str">
        <x:v>939321641</x:v>
      </x:c>
    </x:row>
    <x:row r="121">
      <x:c r="A121" t="str">
        <x:v>EST-0120</x:v>
      </x:c>
      <x:c r="B121" t="str">
        <x:v>Cristian</x:v>
      </x:c>
      <x:c r="C121" t="str">
        <x:v>Gutiérrez Arias</x:v>
      </x:c>
      <x:c r="D121" t="str">
        <x:v>70012365</x:v>
      </x:c>
      <x:c r="E121" t="str">
        <x:v>est0120@alumnos.blenkir.edu.pe</x:v>
      </x:c>
      <x:c r="F121" t="n">
        <x:v>3</x:v>
      </x:c>
      <x:c r="G121" t="str">
        <x:v>C</x:v>
      </x:c>
      <x:c r="H121" t="str">
        <x:v>3C</x:v>
      </x:c>
      <x:c r="I121" t="str">
        <x:v>activo</x:v>
      </x:c>
      <x:c r="J121" t="str">
        <x:v>activa</x:v>
      </x:c>
      <x:c r="K121" t="n">
        <x:v>12.86</x:v>
      </x:c>
      <x:c r="L121" t="n">
        <x:v>0</x:v>
      </x:c>
      <x:c r="M121" t="n">
        <x:v>97.9</x:v>
      </x:c>
      <x:c r="N121" t="n">
        <x:v>9.19</x:v>
      </x:c>
      <x:c r="O121" t="n">
        <x:v>16.65</x:v>
      </x:c>
      <x:c r="P121" t="n">
        <x:v>17</x:v>
      </x:c>
      <x:c r="Q121" t="n">
        <x:v>13</x:v>
      </x:c>
      <x:c r="R121" t="str">
        <x:v>continua</x:v>
      </x:c>
      <x:c r="S121" s="24" t="b">
        <x:v>1</x:v>
      </x:c>
      <x:c r="T121" s="36" t="str">
        <x:v>2026-03-02</x:v>
      </x:c>
      <x:c r="U121" t="str">
        <x:v>981173716</x:v>
      </x:c>
    </x:row>
    <x:row r="122">
      <x:c r="A122" t="str">
        <x:v>EST-0121</x:v>
      </x:c>
      <x:c r="B122" t="str">
        <x:v>Gabriel</x:v>
      </x:c>
      <x:c r="C122" t="str">
        <x:v>Ramírez Gómez</x:v>
      </x:c>
      <x:c r="D122" t="str">
        <x:v>78331207</x:v>
      </x:c>
      <x:c r="E122" t="str">
        <x:v>est0121@alumnos.blenkir.edu.pe</x:v>
      </x:c>
      <x:c r="F122" t="n">
        <x:v>3</x:v>
      </x:c>
      <x:c r="G122" t="str">
        <x:v>C</x:v>
      </x:c>
      <x:c r="H122" t="str">
        <x:v>3C</x:v>
      </x:c>
      <x:c r="I122" t="str">
        <x:v>activo</x:v>
      </x:c>
      <x:c r="J122" t="str">
        <x:v>activa</x:v>
      </x:c>
      <x:c r="K122" t="n">
        <x:v>13.34</x:v>
      </x:c>
      <x:c r="L122" t="n">
        <x:v>0</x:v>
      </x:c>
      <x:c r="M122" t="n">
        <x:v>95.23</x:v>
      </x:c>
      <x:c r="N122" t="n">
        <x:v>9.86</x:v>
      </x:c>
      <x:c r="O122" t="n">
        <x:v>17.28</x:v>
      </x:c>
      <x:c r="P122" t="n">
        <x:v>17</x:v>
      </x:c>
      <x:c r="Q122" t="n">
        <x:v>15</x:v>
      </x:c>
      <x:c r="R122" t="str">
        <x:v>continua</x:v>
      </x:c>
      <x:c r="S122" s="24" t="b">
        <x:v>1</x:v>
      </x:c>
      <x:c r="T122" s="36" t="str">
        <x:v>2026-03-02</x:v>
      </x:c>
      <x:c r="U122" t="str">
        <x:v>964630106</x:v>
      </x:c>
    </x:row>
    <x:row r="123">
      <x:c r="A123" t="str">
        <x:v>EST-0122</x:v>
      </x:c>
      <x:c r="B123" t="str">
        <x:v>Jorge</x:v>
      </x:c>
      <x:c r="C123" t="str">
        <x:v>Vásquez Romero</x:v>
      </x:c>
      <x:c r="D123" t="str">
        <x:v>70894972</x:v>
      </x:c>
      <x:c r="E123" t="str">
        <x:v>est0122@alumnos.blenkir.edu.pe</x:v>
      </x:c>
      <x:c r="F123" t="n">
        <x:v>3</x:v>
      </x:c>
      <x:c r="G123" t="str">
        <x:v>C</x:v>
      </x:c>
      <x:c r="H123" t="str">
        <x:v>3C</x:v>
      </x:c>
      <x:c r="I123" t="str">
        <x:v>activo</x:v>
      </x:c>
      <x:c r="J123" t="str">
        <x:v>activa</x:v>
      </x:c>
      <x:c r="K123" t="n">
        <x:v>13.36</x:v>
      </x:c>
      <x:c r="L123" t="n">
        <x:v>0</x:v>
      </x:c>
      <x:c r="M123" t="n">
        <x:v>92.01</x:v>
      </x:c>
      <x:c r="N123" t="n">
        <x:v>8.93</x:v>
      </x:c>
      <x:c r="O123" t="n">
        <x:v>15.67</x:v>
      </x:c>
      <x:c r="P123" t="n">
        <x:v>14</x:v>
      </x:c>
      <x:c r="Q123" t="n">
        <x:v>12</x:v>
      </x:c>
      <x:c r="R123" t="str">
        <x:v>continua</x:v>
      </x:c>
      <x:c r="S123" s="24" t="b">
        <x:v>1</x:v>
      </x:c>
      <x:c r="T123" s="36" t="str">
        <x:v>2026-03-02</x:v>
      </x:c>
      <x:c r="U123" t="str">
        <x:v>956567703</x:v>
      </x:c>
    </x:row>
    <x:row r="124">
      <x:c r="A124" t="str">
        <x:v>EST-0123</x:v>
      </x:c>
      <x:c r="B124" t="str">
        <x:v>Miguel</x:v>
      </x:c>
      <x:c r="C124" t="str">
        <x:v>Cáceres Bendezú</x:v>
      </x:c>
      <x:c r="D124" t="str">
        <x:v>82593558</x:v>
      </x:c>
      <x:c r="E124" t="str">
        <x:v>est0123@alumnos.blenkir.edu.pe</x:v>
      </x:c>
      <x:c r="F124" t="n">
        <x:v>3</x:v>
      </x:c>
      <x:c r="G124" t="str">
        <x:v>C</x:v>
      </x:c>
      <x:c r="H124" t="str">
        <x:v>3C</x:v>
      </x:c>
      <x:c r="I124" t="str">
        <x:v>activo</x:v>
      </x:c>
      <x:c r="J124" t="str">
        <x:v>activa</x:v>
      </x:c>
      <x:c r="K124" t="n">
        <x:v>14.19</x:v>
      </x:c>
      <x:c r="L124" t="n">
        <x:v>0</x:v>
      </x:c>
      <x:c r="M124" t="n">
        <x:v>87.16</x:v>
      </x:c>
      <x:c r="N124" t="n">
        <x:v>7.24</x:v>
      </x:c>
      <x:c r="O124" t="n">
        <x:v>13.18</x:v>
      </x:c>
      <x:c r="P124" t="n">
        <x:v>15</x:v>
      </x:c>
      <x:c r="Q124" t="n">
        <x:v>10</x:v>
      </x:c>
      <x:c r="R124" t="str">
        <x:v>continua</x:v>
      </x:c>
      <x:c r="S124" s="24" t="b">
        <x:v>1</x:v>
      </x:c>
      <x:c r="T124" s="36" t="str">
        <x:v>2026-03-02</x:v>
      </x:c>
      <x:c r="U124" t="str">
        <x:v>973524732</x:v>
      </x:c>
    </x:row>
    <x:row r="125">
      <x:c r="A125" t="str">
        <x:v>EST-0124</x:v>
      </x:c>
      <x:c r="B125" t="str">
        <x:v>Sergio</x:v>
      </x:c>
      <x:c r="C125" t="str">
        <x:v>Espinoza Gonzales</x:v>
      </x:c>
      <x:c r="D125" t="str">
        <x:v>72050970</x:v>
      </x:c>
      <x:c r="E125" t="str">
        <x:v>est0124@alumnos.blenkir.edu.pe</x:v>
      </x:c>
      <x:c r="F125" t="n">
        <x:v>3</x:v>
      </x:c>
      <x:c r="G125" t="str">
        <x:v>C</x:v>
      </x:c>
      <x:c r="H125" t="str">
        <x:v>3C</x:v>
      </x:c>
      <x:c r="I125" t="str">
        <x:v>activo</x:v>
      </x:c>
      <x:c r="J125" t="str">
        <x:v>activa</x:v>
      </x:c>
      <x:c r="K125" t="n">
        <x:v>15.95</x:v>
      </x:c>
      <x:c r="L125" t="n">
        <x:v>0</x:v>
      </x:c>
      <x:c r="M125" t="n">
        <x:v>96.32</x:v>
      </x:c>
      <x:c r="N125" t="n">
        <x:v>7.59</x:v>
      </x:c>
      <x:c r="O125" t="n">
        <x:v>15.42</x:v>
      </x:c>
      <x:c r="P125" t="n">
        <x:v>16</x:v>
      </x:c>
      <x:c r="Q125" t="n">
        <x:v>9</x:v>
      </x:c>
      <x:c r="R125" t="str">
        <x:v>continua</x:v>
      </x:c>
      <x:c r="S125" s="24" t="b">
        <x:v>1</x:v>
      </x:c>
      <x:c r="T125" s="36" t="str">
        <x:v>2026-03-02</x:v>
      </x:c>
      <x:c r="U125" t="str">
        <x:v>973393906</x:v>
      </x:c>
    </x:row>
    <x:row r="126">
      <x:c r="A126" t="str">
        <x:v>EST-0125</x:v>
      </x:c>
      <x:c r="B126" t="str">
        <x:v>Elena</x:v>
      </x:c>
      <x:c r="C126" t="str">
        <x:v>Mendoza Salazar</x:v>
      </x:c>
      <x:c r="D126" t="str">
        <x:v>72170426</x:v>
      </x:c>
      <x:c r="E126" t="str">
        <x:v>est0125@alumnos.blenkir.edu.pe</x:v>
      </x:c>
      <x:c r="F126" t="n">
        <x:v>3</x:v>
      </x:c>
      <x:c r="G126" t="str">
        <x:v>C</x:v>
      </x:c>
      <x:c r="H126" t="str">
        <x:v>3C</x:v>
      </x:c>
      <x:c r="I126" t="str">
        <x:v>activo</x:v>
      </x:c>
      <x:c r="J126" t="str">
        <x:v>activa</x:v>
      </x:c>
      <x:c r="K126" t="n">
        <x:v>15.14</x:v>
      </x:c>
      <x:c r="L126" t="n">
        <x:v>0</x:v>
      </x:c>
      <x:c r="M126" t="n">
        <x:v>93.35</x:v>
      </x:c>
      <x:c r="N126" t="n">
        <x:v>7.98</x:v>
      </x:c>
      <x:c r="O126" t="n">
        <x:v>11.56</x:v>
      </x:c>
      <x:c r="P126" t="n">
        <x:v>13</x:v>
      </x:c>
      <x:c r="Q126" t="n">
        <x:v>12</x:v>
      </x:c>
      <x:c r="R126" t="str">
        <x:v>continua</x:v>
      </x:c>
      <x:c r="S126" s="24" t="b">
        <x:v>1</x:v>
      </x:c>
      <x:c r="T126" s="36" t="str">
        <x:v>2026-03-02</x:v>
      </x:c>
      <x:c r="U126" t="str">
        <x:v>940266565</x:v>
      </x:c>
    </x:row>
    <x:row r="127">
      <x:c r="A127" t="str">
        <x:v>EST-0126</x:v>
      </x:c>
      <x:c r="B127" t="str">
        <x:v>Mariana</x:v>
      </x:c>
      <x:c r="C127" t="str">
        <x:v>Sánchez Cabrera</x:v>
      </x:c>
      <x:c r="D127" t="str">
        <x:v>85087126</x:v>
      </x:c>
      <x:c r="E127" t="str">
        <x:v>est0126@alumnos.blenkir.edu.pe</x:v>
      </x:c>
      <x:c r="F127" t="n">
        <x:v>3</x:v>
      </x:c>
      <x:c r="G127" t="str">
        <x:v>C</x:v>
      </x:c>
      <x:c r="H127" t="str">
        <x:v>3C</x:v>
      </x:c>
      <x:c r="I127" t="str">
        <x:v>retirado</x:v>
      </x:c>
      <x:c r="J127" t="str">
        <x:v>retirada</x:v>
      </x:c>
      <x:c r="K127" t="n">
        <x:v>12.65</x:v>
      </x:c>
      <x:c r="L127" t="n">
        <x:v>0</x:v>
      </x:c>
      <x:c r="M127" t="n">
        <x:v>94.45</x:v>
      </x:c>
      <x:c r="N127" t="n">
        <x:v>7.01</x:v>
      </x:c>
      <x:c r="O127" t="n">
        <x:v>12.96</x:v>
      </x:c>
      <x:c r="P127" t="n">
        <x:v>13</x:v>
      </x:c>
      <x:c r="Q127" t="n">
        <x:v>8</x:v>
      </x:c>
      <x:c r="R127" t="str">
        <x:v>retirada</x:v>
      </x:c>
      <x:c r="S127" s="24" t="b">
        <x:v>1</x:v>
      </x:c>
      <x:c r="T127" s="36" t="str">
        <x:v>2026-03-02</x:v>
      </x:c>
      <x:c r="U127" t="str">
        <x:v>926716254</x:v>
      </x:c>
    </x:row>
    <x:row r="128">
      <x:c r="A128" t="str">
        <x:v>EST-0127</x:v>
      </x:c>
      <x:c r="B128" t="str">
        <x:v>Sofía</x:v>
      </x:c>
      <x:c r="C128" t="str">
        <x:v>Aguilar Guerrero</x:v>
      </x:c>
      <x:c r="D128" t="str">
        <x:v>76631735</x:v>
      </x:c>
      <x:c r="E128" t="str">
        <x:v>est0127@alumnos.blenkir.edu.pe</x:v>
      </x:c>
      <x:c r="F128" t="n">
        <x:v>3</x:v>
      </x:c>
      <x:c r="G128" t="str">
        <x:v>C</x:v>
      </x:c>
      <x:c r="H128" t="str">
        <x:v>3C</x:v>
      </x:c>
      <x:c r="I128" t="str">
        <x:v>activo</x:v>
      </x:c>
      <x:c r="J128" t="str">
        <x:v>activa</x:v>
      </x:c>
      <x:c r="K128" t="n">
        <x:v>14.41</x:v>
      </x:c>
      <x:c r="L128" t="n">
        <x:v>0</x:v>
      </x:c>
      <x:c r="M128" t="n">
        <x:v>89.53</x:v>
      </x:c>
      <x:c r="N128" t="n">
        <x:v>7.91</x:v>
      </x:c>
      <x:c r="O128" t="n">
        <x:v>16.12</x:v>
      </x:c>
      <x:c r="P128" t="n">
        <x:v>15</x:v>
      </x:c>
      <x:c r="Q128" t="n">
        <x:v>10</x:v>
      </x:c>
      <x:c r="R128" t="str">
        <x:v>continua</x:v>
      </x:c>
      <x:c r="S128" s="24" t="b">
        <x:v>1</x:v>
      </x:c>
      <x:c r="T128" s="36" t="str">
        <x:v>2026-03-02</x:v>
      </x:c>
      <x:c r="U128" t="str">
        <x:v>997101678</x:v>
      </x:c>
    </x:row>
    <x:row r="129">
      <x:c r="A129" t="str">
        <x:v>EST-0128</x:v>
      </x:c>
      <x:c r="B129" t="str">
        <x:v>Alejandro</x:v>
      </x:c>
      <x:c r="C129" t="str">
        <x:v>Chávez Sánchez</x:v>
      </x:c>
      <x:c r="D129" t="str">
        <x:v>79097330</x:v>
      </x:c>
      <x:c r="E129" t="str">
        <x:v>est0128@alumnos.blenkir.edu.pe</x:v>
      </x:c>
      <x:c r="F129" t="n">
        <x:v>3</x:v>
      </x:c>
      <x:c r="G129" t="str">
        <x:v>D</x:v>
      </x:c>
      <x:c r="H129" t="str">
        <x:v>3D</x:v>
      </x:c>
      <x:c r="I129" t="str">
        <x:v>activo</x:v>
      </x:c>
      <x:c r="J129" t="str">
        <x:v>activa</x:v>
      </x:c>
      <x:c r="K129" t="n">
        <x:v>16.99</x:v>
      </x:c>
      <x:c r="L129" t="n">
        <x:v>0</x:v>
      </x:c>
      <x:c r="M129" t="n">
        <x:v>97.14</x:v>
      </x:c>
      <x:c r="N129" t="n">
        <x:v>7.55</x:v>
      </x:c>
      <x:c r="O129" t="n">
        <x:v>17.19</x:v>
      </x:c>
      <x:c r="P129" t="n">
        <x:v>16</x:v>
      </x:c>
      <x:c r="Q129" t="n">
        <x:v>14</x:v>
      </x:c>
      <x:c r="R129" t="str">
        <x:v>continua</x:v>
      </x:c>
      <x:c r="S129" s="24" t="b">
        <x:v>1</x:v>
      </x:c>
      <x:c r="T129" s="36" t="str">
        <x:v>2026-03-02</x:v>
      </x:c>
      <x:c r="U129" t="str">
        <x:v>990120873</x:v>
      </x:c>
    </x:row>
    <x:row r="130">
      <x:c r="A130" t="str">
        <x:v>EST-0129</x:v>
      </x:c>
      <x:c r="B130" t="str">
        <x:v>Diego</x:v>
      </x:c>
      <x:c r="C130" t="str">
        <x:v>Guerrero Cáceres</x:v>
      </x:c>
      <x:c r="D130" t="str">
        <x:v>88976370</x:v>
      </x:c>
      <x:c r="E130" t="str">
        <x:v>est0129@alumnos.blenkir.edu.pe</x:v>
      </x:c>
      <x:c r="F130" t="n">
        <x:v>3</x:v>
      </x:c>
      <x:c r="G130" t="str">
        <x:v>D</x:v>
      </x:c>
      <x:c r="H130" t="str">
        <x:v>3D</x:v>
      </x:c>
      <x:c r="I130" t="str">
        <x:v>activo</x:v>
      </x:c>
      <x:c r="J130" t="str">
        <x:v>activa</x:v>
      </x:c>
      <x:c r="K130" t="n">
        <x:v>11.46</x:v>
      </x:c>
      <x:c r="L130" t="n">
        <x:v>1</x:v>
      </x:c>
      <x:c r="M130" t="n">
        <x:v>87.46</x:v>
      </x:c>
      <x:c r="N130" t="n">
        <x:v>9.83</x:v>
      </x:c>
      <x:c r="O130" t="n">
        <x:v>18.25</x:v>
      </x:c>
      <x:c r="P130" t="n">
        <x:v>15</x:v>
      </x:c>
      <x:c r="Q130" t="n">
        <x:v>13</x:v>
      </x:c>
      <x:c r="R130" t="str">
        <x:v>continua</x:v>
      </x:c>
      <x:c r="S130" s="24" t="b">
        <x:v>1</x:v>
      </x:c>
      <x:c r="T130" s="36" t="str">
        <x:v>2026-03-02</x:v>
      </x:c>
      <x:c r="U130" t="str">
        <x:v>910799570</x:v>
      </x:c>
    </x:row>
    <x:row r="131">
      <x:c r="A131" t="str">
        <x:v>EST-0130</x:v>
      </x:c>
      <x:c r="B131" t="str">
        <x:v>Héctor</x:v>
      </x:c>
      <x:c r="C131" t="str">
        <x:v>Quispe Gutiérrez</x:v>
      </x:c>
      <x:c r="D131" t="str">
        <x:v>84781033</x:v>
      </x:c>
      <x:c r="E131" t="str">
        <x:v>est0130@alumnos.blenkir.edu.pe</x:v>
      </x:c>
      <x:c r="F131" t="n">
        <x:v>3</x:v>
      </x:c>
      <x:c r="G131" t="str">
        <x:v>D</x:v>
      </x:c>
      <x:c r="H131" t="str">
        <x:v>3D</x:v>
      </x:c>
      <x:c r="I131" t="str">
        <x:v>activo</x:v>
      </x:c>
      <x:c r="J131" t="str">
        <x:v>activa</x:v>
      </x:c>
      <x:c r="K131" t="n">
        <x:v>17.28</x:v>
      </x:c>
      <x:c r="L131" t="n">
        <x:v>0</x:v>
      </x:c>
      <x:c r="M131" t="n">
        <x:v>91.43</x:v>
      </x:c>
      <x:c r="N131" t="n">
        <x:v>7.45</x:v>
      </x:c>
      <x:c r="O131" t="n">
        <x:v>12.98</x:v>
      </x:c>
      <x:c r="P131" t="n">
        <x:v>14</x:v>
      </x:c>
      <x:c r="Q131" t="n">
        <x:v>8</x:v>
      </x:c>
      <x:c r="R131" t="str">
        <x:v>continua</x:v>
      </x:c>
      <x:c r="S131" s="24" t="b">
        <x:v>1</x:v>
      </x:c>
      <x:c r="T131" s="36" t="str">
        <x:v>2026-03-02</x:v>
      </x:c>
      <x:c r="U131" t="str">
        <x:v>962252338</x:v>
      </x:c>
    </x:row>
    <x:row r="132">
      <x:c r="A132" t="str">
        <x:v>EST-0131</x:v>
      </x:c>
      <x:c r="B132" t="str">
        <x:v>Leonardo</x:v>
      </x:c>
      <x:c r="C132" t="str">
        <x:v>Vargas Silva</x:v>
      </x:c>
      <x:c r="D132" t="str">
        <x:v>80420931</x:v>
      </x:c>
      <x:c r="E132" t="str">
        <x:v>est0131@alumnos.blenkir.edu.pe</x:v>
      </x:c>
      <x:c r="F132" t="n">
        <x:v>3</x:v>
      </x:c>
      <x:c r="G132" t="str">
        <x:v>D</x:v>
      </x:c>
      <x:c r="H132" t="str">
        <x:v>3D</x:v>
      </x:c>
      <x:c r="I132" t="str">
        <x:v>activo</x:v>
      </x:c>
      <x:c r="J132" t="str">
        <x:v>activa</x:v>
      </x:c>
      <x:c r="K132" t="n">
        <x:v>16.92</x:v>
      </x:c>
      <x:c r="L132" t="n">
        <x:v>0</x:v>
      </x:c>
      <x:c r="M132" t="n">
        <x:v>88.01</x:v>
      </x:c>
      <x:c r="N132" t="n">
        <x:v>7.08</x:v>
      </x:c>
      <x:c r="O132" t="n">
        <x:v>14.29</x:v>
      </x:c>
      <x:c r="P132" t="n">
        <x:v>12</x:v>
      </x:c>
      <x:c r="Q132" t="n">
        <x:v>13</x:v>
      </x:c>
      <x:c r="R132" t="str">
        <x:v>continua</x:v>
      </x:c>
      <x:c r="S132" s="24" t="b">
        <x:v>1</x:v>
      </x:c>
      <x:c r="T132" s="36" t="str">
        <x:v>2026-03-02</x:v>
      </x:c>
      <x:c r="U132" t="str">
        <x:v>979385287</x:v>
      </x:c>
    </x:row>
    <x:row r="133">
      <x:c r="A133" t="str">
        <x:v>EST-0132</x:v>
      </x:c>
      <x:c r="B133" t="str">
        <x:v>Rafael</x:v>
      </x:c>
      <x:c r="C133" t="str">
        <x:v>Cabrera Campos</x:v>
      </x:c>
      <x:c r="D133" t="str">
        <x:v>83031864</x:v>
      </x:c>
      <x:c r="E133" t="str">
        <x:v>est0132@alumnos.blenkir.edu.pe</x:v>
      </x:c>
      <x:c r="F133" t="n">
        <x:v>3</x:v>
      </x:c>
      <x:c r="G133" t="str">
        <x:v>D</x:v>
      </x:c>
      <x:c r="H133" t="str">
        <x:v>3D</x:v>
      </x:c>
      <x:c r="I133" t="str">
        <x:v>activo</x:v>
      </x:c>
      <x:c r="J133" t="str">
        <x:v>activa</x:v>
      </x:c>
      <x:c r="K133" t="n">
        <x:v>14.12</x:v>
      </x:c>
      <x:c r="L133" t="n">
        <x:v>0</x:v>
      </x:c>
      <x:c r="M133" t="n">
        <x:v>76.85</x:v>
      </x:c>
      <x:c r="N133" t="n">
        <x:v>6.25</x:v>
      </x:c>
      <x:c r="O133" t="n">
        <x:v>12.52</x:v>
      </x:c>
      <x:c r="P133" t="n">
        <x:v>13</x:v>
      </x:c>
      <x:c r="Q133" t="n">
        <x:v>10</x:v>
      </x:c>
      <x:c r="R133" t="str">
        <x:v>continua</x:v>
      </x:c>
      <x:c r="S133" s="24" t="b">
        <x:v>1</x:v>
      </x:c>
      <x:c r="T133" s="36" t="str">
        <x:v>2026-03-02</x:v>
      </x:c>
      <x:c r="U133" t="str">
        <x:v>923819873</x:v>
      </x:c>
    </x:row>
    <x:row r="134">
      <x:c r="A134" t="str">
        <x:v>EST-0133</x:v>
      </x:c>
      <x:c r="B134" t="str">
        <x:v>Ariana</x:v>
      </x:c>
      <x:c r="C134" t="str">
        <x:v>De la Cruz Huamán</x:v>
      </x:c>
      <x:c r="D134" t="str">
        <x:v>76223255</x:v>
      </x:c>
      <x:c r="E134" t="str">
        <x:v>est0133@alumnos.blenkir.edu.pe</x:v>
      </x:c>
      <x:c r="F134" t="n">
        <x:v>3</x:v>
      </x:c>
      <x:c r="G134" t="str">
        <x:v>D</x:v>
      </x:c>
      <x:c r="H134" t="str">
        <x:v>3D</x:v>
      </x:c>
      <x:c r="I134" t="str">
        <x:v>activo</x:v>
      </x:c>
      <x:c r="J134" t="str">
        <x:v>activa</x:v>
      </x:c>
      <x:c r="K134" t="n">
        <x:v>15.46</x:v>
      </x:c>
      <x:c r="L134" t="n">
        <x:v>0</x:v>
      </x:c>
      <x:c r="M134" t="n">
        <x:v>86.99</x:v>
      </x:c>
      <x:c r="N134" t="n">
        <x:v>9.16</x:v>
      </x:c>
      <x:c r="O134" t="n">
        <x:v>17.2</x:v>
      </x:c>
      <x:c r="P134" t="n">
        <x:v>16</x:v>
      </x:c>
      <x:c r="Q134" t="n">
        <x:v>13</x:v>
      </x:c>
      <x:c r="R134" t="str">
        <x:v>continua</x:v>
      </x:c>
      <x:c r="S134" s="24" t="b">
        <x:v>1</x:v>
      </x:c>
      <x:c r="T134" s="36" t="str">
        <x:v>2026-03-02</x:v>
      </x:c>
      <x:c r="U134" t="str">
        <x:v>982466898</x:v>
      </x:c>
    </x:row>
    <x:row r="135">
      <x:c r="A135" t="str">
        <x:v>EST-0134</x:v>
      </x:c>
      <x:c r="B135" t="str">
        <x:v>Gabriela</x:v>
      </x:c>
      <x:c r="C135" t="str">
        <x:v>Medina Soto</x:v>
      </x:c>
      <x:c r="D135" t="str">
        <x:v>86683771</x:v>
      </x:c>
      <x:c r="E135" t="str">
        <x:v>est0134@alumnos.blenkir.edu.pe</x:v>
      </x:c>
      <x:c r="F135" t="n">
        <x:v>3</x:v>
      </x:c>
      <x:c r="G135" t="str">
        <x:v>D</x:v>
      </x:c>
      <x:c r="H135" t="str">
        <x:v>3D</x:v>
      </x:c>
      <x:c r="I135" t="str">
        <x:v>activo</x:v>
      </x:c>
      <x:c r="J135" t="str">
        <x:v>activa</x:v>
      </x:c>
      <x:c r="K135" t="n">
        <x:v>13.47</x:v>
      </x:c>
      <x:c r="L135" t="n">
        <x:v>0</x:v>
      </x:c>
      <x:c r="M135" t="n">
        <x:v>89.4</x:v>
      </x:c>
      <x:c r="N135" t="n">
        <x:v>3.68</x:v>
      </x:c>
      <x:c r="O135" t="n">
        <x:v>6.4</x:v>
      </x:c>
      <x:c r="P135" t="n">
        <x:v>9</x:v>
      </x:c>
      <x:c r="Q135" t="n">
        <x:v>5</x:v>
      </x:c>
      <x:c r="R135" t="str">
        <x:v>continua</x:v>
      </x:c>
      <x:c r="S135" s="24" t="b">
        <x:v>1</x:v>
      </x:c>
      <x:c r="T135" s="36" t="str">
        <x:v>2026-03-02</x:v>
      </x:c>
      <x:c r="U135" t="str">
        <x:v>988489665</x:v>
      </x:c>
    </x:row>
    <x:row r="136">
      <x:c r="A136" t="str">
        <x:v>EST-0135</x:v>
      </x:c>
      <x:c r="B136" t="str">
        <x:v>Nicole</x:v>
      </x:c>
      <x:c r="C136" t="str">
        <x:v>Salazar Carrasco</x:v>
      </x:c>
      <x:c r="D136" t="str">
        <x:v>83297714</x:v>
      </x:c>
      <x:c r="E136" t="str">
        <x:v>est0135@alumnos.blenkir.edu.pe</x:v>
      </x:c>
      <x:c r="F136" t="n">
        <x:v>3</x:v>
      </x:c>
      <x:c r="G136" t="str">
        <x:v>D</x:v>
      </x:c>
      <x:c r="H136" t="str">
        <x:v>3D</x:v>
      </x:c>
      <x:c r="I136" t="str">
        <x:v>activo</x:v>
      </x:c>
      <x:c r="J136" t="str">
        <x:v>activa</x:v>
      </x:c>
      <x:c r="K136" t="n">
        <x:v>15.99</x:v>
      </x:c>
      <x:c r="L136" t="n">
        <x:v>0</x:v>
      </x:c>
      <x:c r="M136" t="n">
        <x:v>91.67</x:v>
      </x:c>
      <x:c r="N136" t="n">
        <x:v>7.6</x:v>
      </x:c>
      <x:c r="O136" t="n">
        <x:v>13.61</x:v>
      </x:c>
      <x:c r="P136" t="n">
        <x:v>15</x:v>
      </x:c>
      <x:c r="Q136" t="n">
        <x:v>12</x:v>
      </x:c>
      <x:c r="R136" t="str">
        <x:v>continua</x:v>
      </x:c>
      <x:c r="S136" s="24" t="b">
        <x:v>1</x:v>
      </x:c>
      <x:c r="T136" s="36" t="str">
        <x:v>2026-03-02</x:v>
      </x:c>
      <x:c r="U136" t="str">
        <x:v>985832708</x:v>
      </x:c>
    </x:row>
    <x:row r="137">
      <x:c r="A137" t="str">
        <x:v>EST-0136</x:v>
      </x:c>
      <x:c r="B137" t="str">
        <x:v>Ximena</x:v>
      </x:c>
      <x:c r="C137" t="str">
        <x:v>Zúñiga López</x:v>
      </x:c>
      <x:c r="D137" t="str">
        <x:v>81496097</x:v>
      </x:c>
      <x:c r="E137" t="str">
        <x:v>est0136@alumnos.blenkir.edu.pe</x:v>
      </x:c>
      <x:c r="F137" t="n">
        <x:v>3</x:v>
      </x:c>
      <x:c r="G137" t="str">
        <x:v>D</x:v>
      </x:c>
      <x:c r="H137" t="str">
        <x:v>3D</x:v>
      </x:c>
      <x:c r="I137" t="str">
        <x:v>activo</x:v>
      </x:c>
      <x:c r="J137" t="str">
        <x:v>activa</x:v>
      </x:c>
      <x:c r="K137" t="n">
        <x:v>14.78</x:v>
      </x:c>
      <x:c r="L137" t="n">
        <x:v>0</x:v>
      </x:c>
      <x:c r="M137" t="n">
        <x:v>91.57</x:v>
      </x:c>
      <x:c r="N137" t="n">
        <x:v>8.21</x:v>
      </x:c>
      <x:c r="O137" t="n">
        <x:v>17.78</x:v>
      </x:c>
      <x:c r="P137" t="n">
        <x:v>14</x:v>
      </x:c>
      <x:c r="Q137" t="n">
        <x:v>11</x:v>
      </x:c>
      <x:c r="R137" t="str">
        <x:v>continua</x:v>
      </x:c>
      <x:c r="S137" s="24" t="b">
        <x:v>1</x:v>
      </x:c>
      <x:c r="T137" s="36" t="str">
        <x:v>2026-03-02</x:v>
      </x:c>
      <x:c r="U137" t="str">
        <x:v>944123446</x:v>
      </x:c>
    </x:row>
    <x:row r="138">
      <x:c r="A138" t="str">
        <x:v>EST-0137</x:v>
      </x:c>
      <x:c r="B138" t="str">
        <x:v>Carlos</x:v>
      </x:c>
      <x:c r="C138" t="str">
        <x:v>Castro Torres</x:v>
      </x:c>
      <x:c r="D138" t="str">
        <x:v>82880714</x:v>
      </x:c>
      <x:c r="E138" t="str">
        <x:v>est0137@alumnos.blenkir.edu.pe</x:v>
      </x:c>
      <x:c r="F138" t="n">
        <x:v>3</x:v>
      </x:c>
      <x:c r="G138" t="str">
        <x:v>D</x:v>
      </x:c>
      <x:c r="H138" t="str">
        <x:v>3D</x:v>
      </x:c>
      <x:c r="I138" t="str">
        <x:v>retirado</x:v>
      </x:c>
      <x:c r="J138" t="str">
        <x:v>retirada</x:v>
      </x:c>
      <x:c r="K138" t="n">
        <x:v>15.68</x:v>
      </x:c>
      <x:c r="L138" t="n">
        <x:v>0</x:v>
      </x:c>
      <x:c r="M138" t="n">
        <x:v>94.09</x:v>
      </x:c>
      <x:c r="N138" t="n">
        <x:v>6.86</x:v>
      </x:c>
      <x:c r="O138" t="n">
        <x:v>12.99</x:v>
      </x:c>
      <x:c r="P138" t="n">
        <x:v>13</x:v>
      </x:c>
      <x:c r="Q138" t="n">
        <x:v>10</x:v>
      </x:c>
      <x:c r="R138" t="str">
        <x:v>retirada</x:v>
      </x:c>
      <x:c r="S138" s="24" t="b">
        <x:v>1</x:v>
      </x:c>
      <x:c r="T138" s="36" t="str">
        <x:v>2026-03-02</x:v>
      </x:c>
      <x:c r="U138" t="str">
        <x:v>958792398</x:v>
      </x:c>
    </x:row>
    <x:row r="139">
      <x:c r="A139" t="str">
        <x:v>EST-0138</x:v>
      </x:c>
      <x:c r="B139" t="str">
        <x:v>Fernando</x:v>
      </x:c>
      <x:c r="C139" t="str">
        <x:v>Gonzales Castillo</x:v>
      </x:c>
      <x:c r="D139" t="str">
        <x:v>84380602</x:v>
      </x:c>
      <x:c r="E139" t="str">
        <x:v>est0138@alumnos.blenkir.edu.pe</x:v>
      </x:c>
      <x:c r="F139" t="n">
        <x:v>3</x:v>
      </x:c>
      <x:c r="G139" t="str">
        <x:v>D</x:v>
      </x:c>
      <x:c r="H139" t="str">
        <x:v>3D</x:v>
      </x:c>
      <x:c r="I139" t="str">
        <x:v>activo</x:v>
      </x:c>
      <x:c r="J139" t="str">
        <x:v>activa</x:v>
      </x:c>
      <x:c r="K139" t="n">
        <x:v>13.2</x:v>
      </x:c>
      <x:c r="L139" t="n">
        <x:v>0</x:v>
      </x:c>
      <x:c r="M139" t="n">
        <x:v>91.92</x:v>
      </x:c>
      <x:c r="N139" t="n">
        <x:v>7.79</x:v>
      </x:c>
      <x:c r="O139" t="n">
        <x:v>17.15</x:v>
      </x:c>
      <x:c r="P139" t="n">
        <x:v>17</x:v>
      </x:c>
      <x:c r="Q139" t="n">
        <x:v>10</x:v>
      </x:c>
      <x:c r="R139" t="str">
        <x:v>continua</x:v>
      </x:c>
      <x:c r="S139" s="24" t="b">
        <x:v>1</x:v>
      </x:c>
      <x:c r="T139" s="36" t="str">
        <x:v>2026-03-02</x:v>
      </x:c>
      <x:c r="U139" t="str">
        <x:v>962162368</x:v>
      </x:c>
    </x:row>
    <x:row r="140">
      <x:c r="A140" t="str">
        <x:v>EST-0139</x:v>
      </x:c>
      <x:c r="B140" t="str">
        <x:v>Joaquín</x:v>
      </x:c>
      <x:c r="C140" t="str">
        <x:v>Pérez Mamani</x:v>
      </x:c>
      <x:c r="D140" t="str">
        <x:v>88574917</x:v>
      </x:c>
      <x:c r="E140" t="str">
        <x:v>est0139@alumnos.blenkir.edu.pe</x:v>
      </x:c>
      <x:c r="F140" t="n">
        <x:v>4</x:v>
      </x:c>
      <x:c r="G140" t="str">
        <x:v>A</x:v>
      </x:c>
      <x:c r="H140" t="str">
        <x:v>4A</x:v>
      </x:c>
      <x:c r="I140" t="str">
        <x:v>activo</x:v>
      </x:c>
      <x:c r="J140" t="str">
        <x:v>activa</x:v>
      </x:c>
      <x:c r="K140" t="n">
        <x:v>14.12</x:v>
      </x:c>
      <x:c r="L140" t="n">
        <x:v>0</x:v>
      </x:c>
      <x:c r="M140" t="n">
        <x:v>94.93</x:v>
      </x:c>
      <x:c r="N140" t="n">
        <x:v>7.99</x:v>
      </x:c>
      <x:c r="O140" t="n">
        <x:v>15.16</x:v>
      </x:c>
      <x:c r="P140" t="n">
        <x:v>16</x:v>
      </x:c>
      <x:c r="Q140" t="n">
        <x:v>10</x:v>
      </x:c>
      <x:c r="R140" t="str">
        <x:v>continua</x:v>
      </x:c>
      <x:c r="S140" s="24" t="b">
        <x:v>1</x:v>
      </x:c>
      <x:c r="T140" s="36" t="str">
        <x:v>2026-03-02</x:v>
      </x:c>
      <x:c r="U140" t="str">
        <x:v>953774705</x:v>
      </x:c>
    </x:row>
    <x:row r="141">
      <x:c r="A141" t="str">
        <x:v>EST-0140</x:v>
      </x:c>
      <x:c r="B141" t="str">
        <x:v>Matías</x:v>
      </x:c>
      <x:c r="C141" t="str">
        <x:v>Valdivia Vargas</x:v>
      </x:c>
      <x:c r="D141" t="str">
        <x:v>72877365</x:v>
      </x:c>
      <x:c r="E141" t="str">
        <x:v>est0140@alumnos.blenkir.edu.pe</x:v>
      </x:c>
      <x:c r="F141" t="n">
        <x:v>4</x:v>
      </x:c>
      <x:c r="G141" t="str">
        <x:v>A</x:v>
      </x:c>
      <x:c r="H141" t="str">
        <x:v>4A</x:v>
      </x:c>
      <x:c r="I141" t="str">
        <x:v>activo</x:v>
      </x:c>
      <x:c r="J141" t="str">
        <x:v>activa</x:v>
      </x:c>
      <x:c r="K141" t="n">
        <x:v>15.79</x:v>
      </x:c>
      <x:c r="L141" t="n">
        <x:v>0</x:v>
      </x:c>
      <x:c r="M141" t="n">
        <x:v>96.79</x:v>
      </x:c>
      <x:c r="N141" t="n">
        <x:v>7.27</x:v>
      </x:c>
      <x:c r="O141" t="n">
        <x:v>13.09</x:v>
      </x:c>
      <x:c r="P141" t="n">
        <x:v>16</x:v>
      </x:c>
      <x:c r="Q141" t="n">
        <x:v>9</x:v>
      </x:c>
      <x:c r="R141" t="str">
        <x:v>continua</x:v>
      </x:c>
      <x:c r="S141" s="24" t="b">
        <x:v>1</x:v>
      </x:c>
      <x:c r="T141" s="36" t="str">
        <x:v>2026-03-02</x:v>
      </x:c>
      <x:c r="U141" t="str">
        <x:v>942158956</x:v>
      </x:c>
    </x:row>
    <x:row r="142">
      <x:c r="A142" t="str">
        <x:v>EST-0141</x:v>
      </x:c>
      <x:c r="B142" t="str">
        <x:v>Sebastián</x:v>
      </x:c>
      <x:c r="C142" t="str">
        <x:v>Bendezú Castro</x:v>
      </x:c>
      <x:c r="D142" t="str">
        <x:v>89153640</x:v>
      </x:c>
      <x:c r="E142" t="str">
        <x:v>est0141@alumnos.blenkir.edu.pe</x:v>
      </x:c>
      <x:c r="F142" t="n">
        <x:v>4</x:v>
      </x:c>
      <x:c r="G142" t="str">
        <x:v>A</x:v>
      </x:c>
      <x:c r="H142" t="str">
        <x:v>4A</x:v>
      </x:c>
      <x:c r="I142" t="str">
        <x:v>activo</x:v>
      </x:c>
      <x:c r="J142" t="str">
        <x:v>activa</x:v>
      </x:c>
      <x:c r="K142" t="n">
        <x:v>17.68</x:v>
      </x:c>
      <x:c r="L142" t="n">
        <x:v>0</x:v>
      </x:c>
      <x:c r="M142" t="n">
        <x:v>98.8</x:v>
      </x:c>
      <x:c r="N142" t="n">
        <x:v>6.39</x:v>
      </x:c>
      <x:c r="O142" t="n">
        <x:v>13.28</x:v>
      </x:c>
      <x:c r="P142" t="n">
        <x:v>15</x:v>
      </x:c>
      <x:c r="Q142" t="n">
        <x:v>10</x:v>
      </x:c>
      <x:c r="R142" t="str">
        <x:v>continua</x:v>
      </x:c>
      <x:c r="S142" s="24" t="b">
        <x:v>1</x:v>
      </x:c>
      <x:c r="T142" s="36" t="str">
        <x:v>2026-03-02</x:v>
      </x:c>
      <x:c r="U142" t="str">
        <x:v>921517195</x:v>
      </x:c>
    </x:row>
    <x:row r="143">
      <x:c r="A143" t="str">
        <x:v>EST-0142</x:v>
      </x:c>
      <x:c r="B143" t="str">
        <x:v>Daniela</x:v>
      </x:c>
      <x:c r="C143" t="str">
        <x:v>Dávila Medina</x:v>
      </x:c>
      <x:c r="D143" t="str">
        <x:v>75630067</x:v>
      </x:c>
      <x:c r="E143" t="str">
        <x:v>est0142@alumnos.blenkir.edu.pe</x:v>
      </x:c>
      <x:c r="F143" t="n">
        <x:v>4</x:v>
      </x:c>
      <x:c r="G143" t="str">
        <x:v>A</x:v>
      </x:c>
      <x:c r="H143" t="str">
        <x:v>4A</x:v>
      </x:c>
      <x:c r="I143" t="str">
        <x:v>activo</x:v>
      </x:c>
      <x:c r="J143" t="str">
        <x:v>activa</x:v>
      </x:c>
      <x:c r="K143" t="n">
        <x:v>14.48</x:v>
      </x:c>
      <x:c r="L143" t="n">
        <x:v>0</x:v>
      </x:c>
      <x:c r="M143" t="n">
        <x:v>92.79</x:v>
      </x:c>
      <x:c r="N143" t="n">
        <x:v>8.37</x:v>
      </x:c>
      <x:c r="O143" t="n">
        <x:v>16.26</x:v>
      </x:c>
      <x:c r="P143" t="n">
        <x:v>15</x:v>
      </x:c>
      <x:c r="Q143" t="n">
        <x:v>13</x:v>
      </x:c>
      <x:c r="R143" t="str">
        <x:v>continua</x:v>
      </x:c>
      <x:c r="S143" s="24" t="b">
        <x:v>1</x:v>
      </x:c>
      <x:c r="T143" s="36" t="str">
        <x:v>2026-03-02</x:v>
      </x:c>
      <x:c r="U143" t="str">
        <x:v>904657751</x:v>
      </x:c>
    </x:row>
    <x:row r="144">
      <x:c r="A144" t="str">
        <x:v>EST-0143</x:v>
      </x:c>
      <x:c r="B144" t="str">
        <x:v>Luciana</x:v>
      </x:c>
      <x:c r="C144" t="str">
        <x:v>Mamani Vargas</x:v>
      </x:c>
      <x:c r="D144" t="str">
        <x:v>83566958</x:v>
      </x:c>
      <x:c r="E144" t="str">
        <x:v>est0143@alumnos.blenkir.edu.pe</x:v>
      </x:c>
      <x:c r="F144" t="n">
        <x:v>4</x:v>
      </x:c>
      <x:c r="G144" t="str">
        <x:v>A</x:v>
      </x:c>
      <x:c r="H144" t="str">
        <x:v>4A</x:v>
      </x:c>
      <x:c r="I144" t="str">
        <x:v>activo</x:v>
      </x:c>
      <x:c r="J144" t="str">
        <x:v>activa</x:v>
      </x:c>
      <x:c r="K144" t="n">
        <x:v>14.63</x:v>
      </x:c>
      <x:c r="L144" t="n">
        <x:v>0</x:v>
      </x:c>
      <x:c r="M144" t="n">
        <x:v>99.5</x:v>
      </x:c>
      <x:c r="N144" t="n">
        <x:v>10.19</x:v>
      </x:c>
      <x:c r="O144" t="n">
        <x:v>20.75</x:v>
      </x:c>
      <x:c r="P144" t="n">
        <x:v>16</x:v>
      </x:c>
      <x:c r="Q144" t="n">
        <x:v>15</x:v>
      </x:c>
      <x:c r="R144" t="str">
        <x:v>continua</x:v>
      </x:c>
      <x:c r="S144" s="24" t="b">
        <x:v>1</x:v>
      </x:c>
      <x:c r="T144" s="36" t="str">
        <x:v>2026-03-02</x:v>
      </x:c>
      <x:c r="U144" t="str">
        <x:v>910745684</x:v>
      </x:c>
    </x:row>
    <x:row r="145">
      <x:c r="A145" t="str">
        <x:v>EST-0144</x:v>
      </x:c>
      <x:c r="B145" t="str">
        <x:v>Romina</x:v>
      </x:c>
      <x:c r="C145" t="str">
        <x:v>Romero Chávez</x:v>
      </x:c>
      <x:c r="D145" t="str">
        <x:v>82900548</x:v>
      </x:c>
      <x:c r="E145" t="str">
        <x:v>est0144@alumnos.blenkir.edu.pe</x:v>
      </x:c>
      <x:c r="F145" t="n">
        <x:v>4</x:v>
      </x:c>
      <x:c r="G145" t="str">
        <x:v>A</x:v>
      </x:c>
      <x:c r="H145" t="str">
        <x:v>4A</x:v>
      </x:c>
      <x:c r="I145" t="str">
        <x:v>activo</x:v>
      </x:c>
      <x:c r="J145" t="str">
        <x:v>activa</x:v>
      </x:c>
      <x:c r="K145" t="n">
        <x:v>13.59</x:v>
      </x:c>
      <x:c r="L145" t="n">
        <x:v>0</x:v>
      </x:c>
      <x:c r="M145" t="n">
        <x:v>92.74</x:v>
      </x:c>
      <x:c r="N145" t="n">
        <x:v>6.27</x:v>
      </x:c>
      <x:c r="O145" t="n">
        <x:v>13.2</x:v>
      </x:c>
      <x:c r="P145" t="n">
        <x:v>15</x:v>
      </x:c>
      <x:c r="Q145" t="n">
        <x:v>10</x:v>
      </x:c>
      <x:c r="R145" t="str">
        <x:v>continua</x:v>
      </x:c>
      <x:c r="S145" s="24" t="b">
        <x:v>1</x:v>
      </x:c>
      <x:c r="T145" s="36" t="str">
        <x:v>2026-03-02</x:v>
      </x:c>
      <x:c r="U145" t="str">
        <x:v>974378191</x:v>
      </x:c>
    </x:row>
    <x:row r="146">
      <x:c r="A146" t="str">
        <x:v>EST-0145</x:v>
      </x:c>
      <x:c r="B146" t="str">
        <x:v>Adrián</x:v>
      </x:c>
      <x:c r="C146" t="str">
        <x:v>Yupanqui Mendoza</x:v>
      </x:c>
      <x:c r="D146" t="str">
        <x:v>86977654</x:v>
      </x:c>
      <x:c r="E146" t="str">
        <x:v>est0145@alumnos.blenkir.edu.pe</x:v>
      </x:c>
      <x:c r="F146" t="n">
        <x:v>4</x:v>
      </x:c>
      <x:c r="G146" t="str">
        <x:v>A</x:v>
      </x:c>
      <x:c r="H146" t="str">
        <x:v>4A</x:v>
      </x:c>
      <x:c r="I146" t="str">
        <x:v>activo</x:v>
      </x:c>
      <x:c r="J146" t="str">
        <x:v>activa</x:v>
      </x:c>
      <x:c r="K146" t="n">
        <x:v>14.08</x:v>
      </x:c>
      <x:c r="L146" t="n">
        <x:v>0</x:v>
      </x:c>
      <x:c r="M146" t="n">
        <x:v>90.77</x:v>
      </x:c>
      <x:c r="N146" t="n">
        <x:v>8.75</x:v>
      </x:c>
      <x:c r="O146" t="n">
        <x:v>19.79</x:v>
      </x:c>
      <x:c r="P146" t="n">
        <x:v>15</x:v>
      </x:c>
      <x:c r="Q146" t="n">
        <x:v>13</x:v>
      </x:c>
      <x:c r="R146" t="str">
        <x:v>continua</x:v>
      </x:c>
      <x:c r="S146" s="24" t="b">
        <x:v>1</x:v>
      </x:c>
      <x:c r="T146" s="36" t="str">
        <x:v>2026-03-02</x:v>
      </x:c>
      <x:c r="U146" t="str">
        <x:v>998225922</x:v>
      </x:c>
    </x:row>
    <x:row r="147">
      <x:c r="A147" t="str">
        <x:v>EST-0146</x:v>
      </x:c>
      <x:c r="B147" t="str">
        <x:v>David</x:v>
      </x:c>
      <x:c r="C147" t="str">
        <x:v>Castillo Vásquez</x:v>
      </x:c>
      <x:c r="D147" t="str">
        <x:v>72411739</x:v>
      </x:c>
      <x:c r="E147" t="str">
        <x:v>est0146@alumnos.blenkir.edu.pe</x:v>
      </x:c>
      <x:c r="F147" t="n">
        <x:v>4</x:v>
      </x:c>
      <x:c r="G147" t="str">
        <x:v>A</x:v>
      </x:c>
      <x:c r="H147" t="str">
        <x:v>4A</x:v>
      </x:c>
      <x:c r="I147" t="str">
        <x:v>activo</x:v>
      </x:c>
      <x:c r="J147" t="str">
        <x:v>activa</x:v>
      </x:c>
      <x:c r="K147" t="n">
        <x:v>17.48</x:v>
      </x:c>
      <x:c r="L147" t="n">
        <x:v>0</x:v>
      </x:c>
      <x:c r="M147" t="n">
        <x:v>96.41</x:v>
      </x:c>
      <x:c r="N147" t="n">
        <x:v>7.7</x:v>
      </x:c>
      <x:c r="O147" t="n">
        <x:v>12.6</x:v>
      </x:c>
      <x:c r="P147" t="n">
        <x:v>13</x:v>
      </x:c>
      <x:c r="Q147" t="n">
        <x:v>10</x:v>
      </x:c>
      <x:c r="R147" t="str">
        <x:v>continua</x:v>
      </x:c>
      <x:c r="S147" s="24" t="b">
        <x:v>1</x:v>
      </x:c>
      <x:c r="T147" s="36" t="str">
        <x:v>2026-03-02</x:v>
      </x:c>
      <x:c r="U147" t="str">
        <x:v>951985924</x:v>
      </x:c>
    </x:row>
    <x:row r="148">
      <x:c r="A148" t="str">
        <x:v>EST-0147</x:v>
      </x:c>
      <x:c r="B148" t="str">
        <x:v>Gonzalo</x:v>
      </x:c>
      <x:c r="C148" t="str">
        <x:v>Gómez Condori</x:v>
      </x:c>
      <x:c r="D148" t="str">
        <x:v>81913252</x:v>
      </x:c>
      <x:c r="E148" t="str">
        <x:v>est0147@alumnos.blenkir.edu.pe</x:v>
      </x:c>
      <x:c r="F148" t="n">
        <x:v>4</x:v>
      </x:c>
      <x:c r="G148" t="str">
        <x:v>A</x:v>
      </x:c>
      <x:c r="H148" t="str">
        <x:v>4A</x:v>
      </x:c>
      <x:c r="I148" t="str">
        <x:v>activo</x:v>
      </x:c>
      <x:c r="J148" t="str">
        <x:v>activa</x:v>
      </x:c>
      <x:c r="K148" t="n">
        <x:v>16.59</x:v>
      </x:c>
      <x:c r="L148" t="n">
        <x:v>0</x:v>
      </x:c>
      <x:c r="M148" t="n">
        <x:v>86.01</x:v>
      </x:c>
      <x:c r="N148" t="n">
        <x:v>7.04</x:v>
      </x:c>
      <x:c r="O148" t="n">
        <x:v>13.3</x:v>
      </x:c>
      <x:c r="P148" t="n">
        <x:v>14</x:v>
      </x:c>
      <x:c r="Q148" t="n">
        <x:v>9</x:v>
      </x:c>
      <x:c r="R148" t="str">
        <x:v>continua</x:v>
      </x:c>
      <x:c r="S148" s="24" t="b">
        <x:v>1</x:v>
      </x:c>
      <x:c r="T148" s="36" t="str">
        <x:v>2026-03-02</x:v>
      </x:c>
      <x:c r="U148" t="str">
        <x:v>977308657</x:v>
      </x:c>
    </x:row>
    <x:row r="149">
      <x:c r="A149" t="str">
        <x:v>EST-0148</x:v>
      </x:c>
      <x:c r="B149" t="str">
        <x:v>Juan</x:v>
      </x:c>
      <x:c r="C149" t="str">
        <x:v>Paredes Morales</x:v>
      </x:c>
      <x:c r="D149" t="str">
        <x:v>89485806</x:v>
      </x:c>
      <x:c r="E149" t="str">
        <x:v>est0148@alumnos.blenkir.edu.pe</x:v>
      </x:c>
      <x:c r="F149" t="n">
        <x:v>4</x:v>
      </x:c>
      <x:c r="G149" t="str">
        <x:v>A</x:v>
      </x:c>
      <x:c r="H149" t="str">
        <x:v>4A</x:v>
      </x:c>
      <x:c r="I149" t="str">
        <x:v>retirado</x:v>
      </x:c>
      <x:c r="J149" t="str">
        <x:v>trasladada</x:v>
      </x:c>
      <x:c r="K149" t="n">
        <x:v>15.18</x:v>
      </x:c>
      <x:c r="L149" t="n">
        <x:v>0</x:v>
      </x:c>
      <x:c r="M149" t="n">
        <x:v>86.92</x:v>
      </x:c>
      <x:c r="N149" t="n">
        <x:v>7.12</x:v>
      </x:c>
      <x:c r="O149" t="n">
        <x:v>11.72</x:v>
      </x:c>
      <x:c r="P149" t="n">
        <x:v>12</x:v>
      </x:c>
      <x:c r="Q149" t="n">
        <x:v>11</x:v>
      </x:c>
      <x:c r="R149" t="str">
        <x:v>trasladada</x:v>
      </x:c>
      <x:c r="S149" s="24" t="b">
        <x:v>1</x:v>
      </x:c>
      <x:c r="T149" s="36" t="str">
        <x:v>2026-03-02</x:v>
      </x:c>
      <x:c r="U149" t="str">
        <x:v>935114712</x:v>
      </x:c>
    </x:row>
    <x:row r="150">
      <x:c r="A150" t="str">
        <x:v>EST-0149</x:v>
      </x:c>
      <x:c r="B150" t="str">
        <x:v>Pablo</x:v>
      </x:c>
      <x:c r="C150" t="str">
        <x:v>Torres Vega</x:v>
      </x:c>
      <x:c r="D150" t="str">
        <x:v>79467539</x:v>
      </x:c>
      <x:c r="E150" t="str">
        <x:v>est0149@alumnos.blenkir.edu.pe</x:v>
      </x:c>
      <x:c r="F150" t="n">
        <x:v>4</x:v>
      </x:c>
      <x:c r="G150" t="str">
        <x:v>A</x:v>
      </x:c>
      <x:c r="H150" t="str">
        <x:v>4A</x:v>
      </x:c>
      <x:c r="I150" t="str">
        <x:v>activo</x:v>
      </x:c>
      <x:c r="J150" t="str">
        <x:v>activa</x:v>
      </x:c>
      <x:c r="K150" t="n">
        <x:v>14.62</x:v>
      </x:c>
      <x:c r="L150" t="n">
        <x:v>0</x:v>
      </x:c>
      <x:c r="M150" t="n">
        <x:v>93.57</x:v>
      </x:c>
      <x:c r="N150" t="n">
        <x:v>10.11</x:v>
      </x:c>
      <x:c r="O150" t="n">
        <x:v>20.83</x:v>
      </x:c>
      <x:c r="P150" t="n">
        <x:v>19</x:v>
      </x:c>
      <x:c r="Q150" t="n">
        <x:v>13</x:v>
      </x:c>
      <x:c r="R150" t="str">
        <x:v>continua</x:v>
      </x:c>
      <x:c r="S150" s="24" t="b">
        <x:v>1</x:v>
      </x:c>
      <x:c r="T150" s="36" t="str">
        <x:v>2026-03-02</x:v>
      </x:c>
      <x:c r="U150" t="str">
        <x:v>958909783</x:v>
      </x:c>
    </x:row>
    <x:row r="151">
      <x:c r="A151" t="str">
        <x:v>EST-0150</x:v>
      </x:c>
      <x:c r="B151" t="str">
        <x:v>Víctor</x:v>
      </x:c>
      <x:c r="C151" t="str">
        <x:v>Arias Contreras</x:v>
      </x:c>
      <x:c r="D151" t="str">
        <x:v>74040498</x:v>
      </x:c>
      <x:c r="E151" t="str">
        <x:v>est0150@alumnos.blenkir.edu.pe</x:v>
      </x:c>
      <x:c r="F151" t="n">
        <x:v>4</x:v>
      </x:c>
      <x:c r="G151" t="str">
        <x:v>A</x:v>
      </x:c>
      <x:c r="H151" t="str">
        <x:v>4A</x:v>
      </x:c>
      <x:c r="I151" t="str">
        <x:v>activo</x:v>
      </x:c>
      <x:c r="J151" t="str">
        <x:v>activa</x:v>
      </x:c>
      <x:c r="K151" t="n">
        <x:v>14.81</x:v>
      </x:c>
      <x:c r="L151" t="n">
        <x:v>0</x:v>
      </x:c>
      <x:c r="M151" t="n">
        <x:v>91.25</x:v>
      </x:c>
      <x:c r="N151" t="n">
        <x:v>6.75</x:v>
      </x:c>
      <x:c r="O151" t="n">
        <x:v>12.43</x:v>
      </x:c>
      <x:c r="P151" t="n">
        <x:v>13</x:v>
      </x:c>
      <x:c r="Q151" t="n">
        <x:v>9</x:v>
      </x:c>
      <x:c r="R151" t="str">
        <x:v>continua</x:v>
      </x:c>
      <x:c r="S151" s="24" t="b">
        <x:v>1</x:v>
      </x:c>
      <x:c r="T151" s="36" t="str">
        <x:v>2026-03-02</x:v>
      </x:c>
      <x:c r="U151" t="str">
        <x:v>908614928</x:v>
      </x:c>
    </x:row>
    <x:row r="152">
      <x:c r="A152" t="str">
        <x:v>EST-0151</x:v>
      </x:c>
      <x:c r="B152" t="str">
        <x:v>Fernanda</x:v>
      </x:c>
      <x:c r="C152" t="str">
        <x:v>Córdova Navarro</x:v>
      </x:c>
      <x:c r="D152" t="str">
        <x:v>84147983</x:v>
      </x:c>
      <x:c r="E152" t="str">
        <x:v>est0151@alumnos.blenkir.edu.pe</x:v>
      </x:c>
      <x:c r="F152" t="n">
        <x:v>4</x:v>
      </x:c>
      <x:c r="G152" t="str">
        <x:v>B</x:v>
      </x:c>
      <x:c r="H152" t="str">
        <x:v>4B</x:v>
      </x:c>
      <x:c r="I152" t="str">
        <x:v>activo</x:v>
      </x:c>
      <x:c r="J152" t="str">
        <x:v>activa</x:v>
      </x:c>
      <x:c r="K152" t="n">
        <x:v>17.86</x:v>
      </x:c>
      <x:c r="L152" t="n">
        <x:v>0</x:v>
      </x:c>
      <x:c r="M152" t="n">
        <x:v>91.71</x:v>
      </x:c>
      <x:c r="N152" t="n">
        <x:v>9.87</x:v>
      </x:c>
      <x:c r="O152" t="n">
        <x:v>21.19</x:v>
      </x:c>
      <x:c r="P152" t="n">
        <x:v>16</x:v>
      </x:c>
      <x:c r="Q152" t="n">
        <x:v>15</x:v>
      </x:c>
      <x:c r="R152" t="str">
        <x:v>continua</x:v>
      </x:c>
      <x:c r="S152" s="24" t="b">
        <x:v>1</x:v>
      </x:c>
      <x:c r="T152" s="36" t="str">
        <x:v>2026-03-02</x:v>
      </x:c>
      <x:c r="U152" t="str">
        <x:v>985103465</x:v>
      </x:c>
    </x:row>
    <x:row r="153">
      <x:c r="A153" t="str">
        <x:v>EST-0152</x:v>
      </x:c>
      <x:c r="B153" t="str">
        <x:v>Natalia</x:v>
      </x:c>
      <x:c r="C153" t="str">
        <x:v>López Velásquez</x:v>
      </x:c>
      <x:c r="D153" t="str">
        <x:v>85271302</x:v>
      </x:c>
      <x:c r="E153" t="str">
        <x:v>est0152@alumnos.blenkir.edu.pe</x:v>
      </x:c>
      <x:c r="F153" t="n">
        <x:v>4</x:v>
      </x:c>
      <x:c r="G153" t="str">
        <x:v>B</x:v>
      </x:c>
      <x:c r="H153" t="str">
        <x:v>4B</x:v>
      </x:c>
      <x:c r="I153" t="str">
        <x:v>activo</x:v>
      </x:c>
      <x:c r="J153" t="str">
        <x:v>activa</x:v>
      </x:c>
      <x:c r="K153" t="n">
        <x:v>16.39</x:v>
      </x:c>
      <x:c r="L153" t="n">
        <x:v>0</x:v>
      </x:c>
      <x:c r="M153" t="n">
        <x:v>94.73</x:v>
      </x:c>
      <x:c r="N153" t="n">
        <x:v>9.68</x:v>
      </x:c>
      <x:c r="O153" t="n">
        <x:v>17.51</x:v>
      </x:c>
      <x:c r="P153" t="n">
        <x:v>16</x:v>
      </x:c>
      <x:c r="Q153" t="n">
        <x:v>14</x:v>
      </x:c>
      <x:c r="R153" t="str">
        <x:v>continua</x:v>
      </x:c>
      <x:c r="S153" s="24" t="b">
        <x:v>1</x:v>
      </x:c>
      <x:c r="T153" s="36" t="str">
        <x:v>2026-03-02</x:v>
      </x:c>
      <x:c r="U153" t="str">
        <x:v>957042838</x:v>
      </x:c>
    </x:row>
    <x:row r="154">
      <x:c r="A154" t="str">
        <x:v>EST-0153</x:v>
      </x:c>
      <x:c r="B154" t="str">
        <x:v>Victoria</x:v>
      </x:c>
      <x:c r="C154" t="str">
        <x:v>Rojas Córdova</x:v>
      </x:c>
      <x:c r="D154" t="str">
        <x:v>81448159</x:v>
      </x:c>
      <x:c r="E154" t="str">
        <x:v>est0153@alumnos.blenkir.edu.pe</x:v>
      </x:c>
      <x:c r="F154" t="n">
        <x:v>4</x:v>
      </x:c>
      <x:c r="G154" t="str">
        <x:v>B</x:v>
      </x:c>
      <x:c r="H154" t="str">
        <x:v>4B</x:v>
      </x:c>
      <x:c r="I154" t="str">
        <x:v>activo</x:v>
      </x:c>
      <x:c r="J154" t="str">
        <x:v>activa</x:v>
      </x:c>
      <x:c r="K154" t="n">
        <x:v>16.68</x:v>
      </x:c>
      <x:c r="L154" t="n">
        <x:v>0</x:v>
      </x:c>
      <x:c r="M154" t="n">
        <x:v>99.5</x:v>
      </x:c>
      <x:c r="N154" t="n">
        <x:v>8.01</x:v>
      </x:c>
      <x:c r="O154" t="n">
        <x:v>14.23</x:v>
      </x:c>
      <x:c r="P154" t="n">
        <x:v>13</x:v>
      </x:c>
      <x:c r="Q154" t="n">
        <x:v>13</x:v>
      </x:c>
      <x:c r="R154" t="str">
        <x:v>continua</x:v>
      </x:c>
      <x:c r="S154" s="24" t="b">
        <x:v>1</x:v>
      </x:c>
      <x:c r="T154" s="36" t="str">
        <x:v>2026-03-02</x:v>
      </x:c>
      <x:c r="U154" t="str">
        <x:v>940481400</x:v>
      </x:c>
    </x:row>
    <x:row r="155">
      <x:c r="A155" t="str">
        <x:v>EST-0154</x:v>
      </x:c>
      <x:c r="B155" t="str">
        <x:v>Bruno</x:v>
      </x:c>
      <x:c r="C155" t="str">
        <x:v>Velásquez Paredes</x:v>
      </x:c>
      <x:c r="D155" t="str">
        <x:v>77560023</x:v>
      </x:c>
      <x:c r="E155" t="str">
        <x:v>est0154@alumnos.blenkir.edu.pe</x:v>
      </x:c>
      <x:c r="F155" t="n">
        <x:v>4</x:v>
      </x:c>
      <x:c r="G155" t="str">
        <x:v>B</x:v>
      </x:c>
      <x:c r="H155" t="str">
        <x:v>4B</x:v>
      </x:c>
      <x:c r="I155" t="str">
        <x:v>activo</x:v>
      </x:c>
      <x:c r="J155" t="str">
        <x:v>activa</x:v>
      </x:c>
      <x:c r="K155" t="n">
        <x:v>16.11</x:v>
      </x:c>
      <x:c r="L155" t="n">
        <x:v>0</x:v>
      </x:c>
      <x:c r="M155" t="n">
        <x:v>97.51</x:v>
      </x:c>
      <x:c r="N155" t="n">
        <x:v>8.89</x:v>
      </x:c>
      <x:c r="O155" t="n">
        <x:v>19.21</x:v>
      </x:c>
      <x:c r="P155" t="n">
        <x:v>16</x:v>
      </x:c>
      <x:c r="Q155" t="n">
        <x:v>12</x:v>
      </x:c>
      <x:c r="R155" t="str">
        <x:v>continua</x:v>
      </x:c>
      <x:c r="S155" s="24" t="b">
        <x:v>1</x:v>
      </x:c>
      <x:c r="T155" s="36" t="str">
        <x:v>2026-03-02</x:v>
      </x:c>
      <x:c r="U155" t="str">
        <x:v>934441746</x:v>
      </x:c>
    </x:row>
    <x:row r="156">
      <x:c r="A156" t="str">
        <x:v>EST-0155</x:v>
      </x:c>
      <x:c r="B156" t="str">
        <x:v>Emilio</x:v>
      </x:c>
      <x:c r="C156" t="str">
        <x:v>Carrasco Yupanqui</x:v>
      </x:c>
      <x:c r="D156" t="str">
        <x:v>78017422</x:v>
      </x:c>
      <x:c r="E156" t="str">
        <x:v>est0155@alumnos.blenkir.edu.pe</x:v>
      </x:c>
      <x:c r="F156" t="n">
        <x:v>4</x:v>
      </x:c>
      <x:c r="G156" t="str">
        <x:v>B</x:v>
      </x:c>
      <x:c r="H156" t="str">
        <x:v>4B</x:v>
      </x:c>
      <x:c r="I156" t="str">
        <x:v>activo</x:v>
      </x:c>
      <x:c r="J156" t="str">
        <x:v>activa</x:v>
      </x:c>
      <x:c r="K156" t="n">
        <x:v>12.84</x:v>
      </x:c>
      <x:c r="L156" t="n">
        <x:v>0</x:v>
      </x:c>
      <x:c r="M156" t="n">
        <x:v>88.23</x:v>
      </x:c>
      <x:c r="N156" t="n">
        <x:v>10.46</x:v>
      </x:c>
      <x:c r="O156" t="n">
        <x:v>19.2</x:v>
      </x:c>
      <x:c r="P156" t="n">
        <x:v>18</x:v>
      </x:c>
      <x:c r="Q156" t="n">
        <x:v>14</x:v>
      </x:c>
      <x:c r="R156" t="str">
        <x:v>continua</x:v>
      </x:c>
      <x:c r="S156" s="24" t="b">
        <x:v>1</x:v>
      </x:c>
      <x:c r="T156" s="36" t="str">
        <x:v>2026-03-02</x:v>
      </x:c>
      <x:c r="U156" t="str">
        <x:v>929615546</x:v>
      </x:c>
    </x:row>
    <x:row r="157">
      <x:c r="A157" t="str">
        <x:v>EST-0156</x:v>
      </x:c>
      <x:c r="B157" t="str">
        <x:v>Javier</x:v>
      </x:c>
      <x:c r="C157" t="str">
        <x:v>García Dávila</x:v>
      </x:c>
      <x:c r="D157" t="str">
        <x:v>87741784</x:v>
      </x:c>
      <x:c r="E157" t="str">
        <x:v>est0156@alumnos.blenkir.edu.pe</x:v>
      </x:c>
      <x:c r="F157" t="n">
        <x:v>4</x:v>
      </x:c>
      <x:c r="G157" t="str">
        <x:v>B</x:v>
      </x:c>
      <x:c r="H157" t="str">
        <x:v>4B</x:v>
      </x:c>
      <x:c r="I157" t="str">
        <x:v>activo</x:v>
      </x:c>
      <x:c r="J157" t="str">
        <x:v>activa</x:v>
      </x:c>
      <x:c r="K157" t="n">
        <x:v>16.08</x:v>
      </x:c>
      <x:c r="L157" t="n">
        <x:v>0</x:v>
      </x:c>
      <x:c r="M157" t="n">
        <x:v>93.79</x:v>
      </x:c>
      <x:c r="N157" t="n">
        <x:v>10.72</x:v>
      </x:c>
      <x:c r="O157" t="n">
        <x:v>21.31</x:v>
      </x:c>
      <x:c r="P157" t="n">
        <x:v>19</x:v>
      </x:c>
      <x:c r="Q157" t="n">
        <x:v>13</x:v>
      </x:c>
      <x:c r="R157" t="str">
        <x:v>continua</x:v>
      </x:c>
      <x:c r="S157" s="24" t="b">
        <x:v>1</x:v>
      </x:c>
      <x:c r="T157" s="36" t="str">
        <x:v>2026-03-02</x:v>
      </x:c>
      <x:c r="U157" t="str">
        <x:v>959487244</x:v>
      </x:c>
    </x:row>
    <x:row r="158">
      <x:c r="A158" t="str">
        <x:v>EST-0157</x:v>
      </x:c>
      <x:c r="B158" t="str">
        <x:v>Mateo</x:v>
      </x:c>
      <x:c r="C158" t="str">
        <x:v>Navarro Pérez</x:v>
      </x:c>
      <x:c r="D158" t="str">
        <x:v>87925658</x:v>
      </x:c>
      <x:c r="E158" t="str">
        <x:v>est0157@alumnos.blenkir.edu.pe</x:v>
      </x:c>
      <x:c r="F158" t="n">
        <x:v>4</x:v>
      </x:c>
      <x:c r="G158" t="str">
        <x:v>B</x:v>
      </x:c>
      <x:c r="H158" t="str">
        <x:v>4B</x:v>
      </x:c>
      <x:c r="I158" t="str">
        <x:v>activo</x:v>
      </x:c>
      <x:c r="J158" t="str">
        <x:v>activa</x:v>
      </x:c>
      <x:c r="K158" t="n">
        <x:v>16.57</x:v>
      </x:c>
      <x:c r="L158" t="n">
        <x:v>0</x:v>
      </x:c>
      <x:c r="M158" t="n">
        <x:v>99.5</x:v>
      </x:c>
      <x:c r="N158" t="n">
        <x:v>6.78</x:v>
      </x:c>
      <x:c r="O158" t="n">
        <x:v>14.17</x:v>
      </x:c>
      <x:c r="P158" t="n">
        <x:v>14</x:v>
      </x:c>
      <x:c r="Q158" t="n">
        <x:v>12</x:v>
      </x:c>
      <x:c r="R158" t="str">
        <x:v>continua</x:v>
      </x:c>
      <x:c r="S158" s="24" t="b">
        <x:v>1</x:v>
      </x:c>
      <x:c r="T158" s="36" t="str">
        <x:v>2026-03-02</x:v>
      </x:c>
      <x:c r="U158" t="str">
        <x:v>986381632</x:v>
      </x:c>
    </x:row>
    <x:row r="159">
      <x:c r="A159" t="str">
        <x:v>EST-0158</x:v>
      </x:c>
      <x:c r="B159" t="str">
        <x:v>Rodrigo</x:v>
      </x:c>
      <x:c r="C159" t="str">
        <x:v>Soto Zúñiga</x:v>
      </x:c>
      <x:c r="D159" t="str">
        <x:v>87938980</x:v>
      </x:c>
      <x:c r="E159" t="str">
        <x:v>est0158@alumnos.blenkir.edu.pe</x:v>
      </x:c>
      <x:c r="F159" t="n">
        <x:v>4</x:v>
      </x:c>
      <x:c r="G159" t="str">
        <x:v>B</x:v>
      </x:c>
      <x:c r="H159" t="str">
        <x:v>4B</x:v>
      </x:c>
      <x:c r="I159" t="str">
        <x:v>activo</x:v>
      </x:c>
      <x:c r="J159" t="str">
        <x:v>activa</x:v>
      </x:c>
      <x:c r="K159" t="n">
        <x:v>17.44</x:v>
      </x:c>
      <x:c r="L159" t="n">
        <x:v>0</x:v>
      </x:c>
      <x:c r="M159" t="n">
        <x:v>93.02</x:v>
      </x:c>
      <x:c r="N159" t="n">
        <x:v>8.33</x:v>
      </x:c>
      <x:c r="O159" t="n">
        <x:v>15.78</x:v>
      </x:c>
      <x:c r="P159" t="n">
        <x:v>17</x:v>
      </x:c>
      <x:c r="Q159" t="n">
        <x:v>14</x:v>
      </x:c>
      <x:c r="R159" t="str">
        <x:v>continua</x:v>
      </x:c>
      <x:c r="S159" s="24" t="b">
        <x:v>1</x:v>
      </x:c>
      <x:c r="T159" s="36" t="str">
        <x:v>2026-03-02</x:v>
      </x:c>
      <x:c r="U159" t="str">
        <x:v>956658308</x:v>
      </x:c>
    </x:row>
    <x:row r="160">
      <x:c r="A160" t="str">
        <x:v>EST-0159</x:v>
      </x:c>
      <x:c r="B160" t="str">
        <x:v>Carla</x:v>
      </x:c>
      <x:c r="C160" t="str">
        <x:v>Alvarado De la Cruz</x:v>
      </x:c>
      <x:c r="D160" t="str">
        <x:v>86406666</x:v>
      </x:c>
      <x:c r="E160" t="str">
        <x:v>est0159@alumnos.blenkir.edu.pe</x:v>
      </x:c>
      <x:c r="F160" t="n">
        <x:v>4</x:v>
      </x:c>
      <x:c r="G160" t="str">
        <x:v>B</x:v>
      </x:c>
      <x:c r="H160" t="str">
        <x:v>4B</x:v>
      </x:c>
      <x:c r="I160" t="str">
        <x:v>retirado</x:v>
      </x:c>
      <x:c r="J160" t="str">
        <x:v>trasladada</x:v>
      </x:c>
      <x:c r="K160" t="n">
        <x:v>16.77</x:v>
      </x:c>
      <x:c r="L160" t="n">
        <x:v>0</x:v>
      </x:c>
      <x:c r="M160" t="n">
        <x:v>94.18</x:v>
      </x:c>
      <x:c r="N160" t="n">
        <x:v>7.71</x:v>
      </x:c>
      <x:c r="O160" t="n">
        <x:v>16.09</x:v>
      </x:c>
      <x:c r="P160" t="n">
        <x:v>15</x:v>
      </x:c>
      <x:c r="Q160" t="n">
        <x:v>12</x:v>
      </x:c>
      <x:c r="R160" t="str">
        <x:v>trasladada</x:v>
      </x:c>
      <x:c r="S160" s="24" t="b">
        <x:v>1</x:v>
      </x:c>
      <x:c r="T160" s="36" t="str">
        <x:v>2026-03-02</x:v>
      </x:c>
      <x:c r="U160" t="str">
        <x:v>985284094</x:v>
      </x:c>
    </x:row>
    <x:row r="161">
      <x:c r="A161" t="str">
        <x:v>EST-0160</x:v>
      </x:c>
      <x:c r="B161" t="str">
        <x:v>Jimena</x:v>
      </x:c>
      <x:c r="C161" t="str">
        <x:v>Contreras Quispe</x:v>
      </x:c>
      <x:c r="D161" t="str">
        <x:v>87103658</x:v>
      </x:c>
      <x:c r="E161" t="str">
        <x:v>est0160@alumnos.blenkir.edu.pe</x:v>
      </x:c>
      <x:c r="F161" t="n">
        <x:v>4</x:v>
      </x:c>
      <x:c r="G161" t="str">
        <x:v>B</x:v>
      </x:c>
      <x:c r="H161" t="str">
        <x:v>4B</x:v>
      </x:c>
      <x:c r="I161" t="str">
        <x:v>activo</x:v>
      </x:c>
      <x:c r="J161" t="str">
        <x:v>activa</x:v>
      </x:c>
      <x:c r="K161" t="n">
        <x:v>12.04</x:v>
      </x:c>
      <x:c r="L161" t="n">
        <x:v>0</x:v>
      </x:c>
      <x:c r="M161" t="n">
        <x:v>92.87</x:v>
      </x:c>
      <x:c r="N161" t="n">
        <x:v>8.45</x:v>
      </x:c>
      <x:c r="O161" t="n">
        <x:v>14.94</x:v>
      </x:c>
      <x:c r="P161" t="n">
        <x:v>17</x:v>
      </x:c>
      <x:c r="Q161" t="n">
        <x:v>13</x:v>
      </x:c>
      <x:c r="R161" t="str">
        <x:v>continua</x:v>
      </x:c>
      <x:c r="S161" s="24" t="b">
        <x:v>1</x:v>
      </x:c>
      <x:c r="T161" s="36" t="str">
        <x:v>2026-03-02</x:v>
      </x:c>
      <x:c r="U161" t="str">
        <x:v>974896504</x:v>
      </x:c>
    </x:row>
    <x:row r="162">
      <x:c r="A162" t="str">
        <x:v>EST-0161</x:v>
      </x:c>
      <x:c r="B162" t="str">
        <x:v>Renata</x:v>
      </x:c>
      <x:c r="C162" t="str">
        <x:v>Huamán Aguilar</x:v>
      </x:c>
      <x:c r="D162" t="str">
        <x:v>87815131</x:v>
      </x:c>
      <x:c r="E162" t="str">
        <x:v>est0161@alumnos.blenkir.edu.pe</x:v>
      </x:c>
      <x:c r="F162" t="n">
        <x:v>4</x:v>
      </x:c>
      <x:c r="G162" t="str">
        <x:v>B</x:v>
      </x:c>
      <x:c r="H162" t="str">
        <x:v>4B</x:v>
      </x:c>
      <x:c r="I162" t="str">
        <x:v>activo</x:v>
      </x:c>
      <x:c r="J162" t="str">
        <x:v>activa</x:v>
      </x:c>
      <x:c r="K162" t="n">
        <x:v>16.5</x:v>
      </x:c>
      <x:c r="L162" t="n">
        <x:v>0</x:v>
      </x:c>
      <x:c r="M162" t="n">
        <x:v>91.07</x:v>
      </x:c>
      <x:c r="N162" t="n">
        <x:v>6.58</x:v>
      </x:c>
      <x:c r="O162" t="n">
        <x:v>13.74</x:v>
      </x:c>
      <x:c r="P162" t="n">
        <x:v>12</x:v>
      </x:c>
      <x:c r="Q162" t="n">
        <x:v>9</x:v>
      </x:c>
      <x:c r="R162" t="str">
        <x:v>continua</x:v>
      </x:c>
      <x:c r="S162" s="24" t="b">
        <x:v>1</x:v>
      </x:c>
      <x:c r="T162" s="36" t="str">
        <x:v>2026-03-02</x:v>
      </x:c>
      <x:c r="U162" t="str">
        <x:v>915667606</x:v>
      </x:c>
    </x:row>
    <x:row r="163">
      <x:c r="A163" t="str">
        <x:v>EST-0162</x:v>
      </x:c>
      <x:c r="B163" t="str">
        <x:v>Alejandra</x:v>
      </x:c>
      <x:c r="C163" t="str">
        <x:v>Ramos Espinoza</x:v>
      </x:c>
      <x:c r="D163" t="str">
        <x:v>73959845</x:v>
      </x:c>
      <x:c r="E163" t="str">
        <x:v>est0162@alumnos.blenkir.edu.pe</x:v>
      </x:c>
      <x:c r="F163" t="n">
        <x:v>4</x:v>
      </x:c>
      <x:c r="G163" t="str">
        <x:v>B</x:v>
      </x:c>
      <x:c r="H163" t="str">
        <x:v>4B</x:v>
      </x:c>
      <x:c r="I163" t="str">
        <x:v>activo</x:v>
      </x:c>
      <x:c r="J163" t="str">
        <x:v>activa</x:v>
      </x:c>
      <x:c r="K163" t="n">
        <x:v>10.85</x:v>
      </x:c>
      <x:c r="L163" t="n">
        <x:v>1</x:v>
      </x:c>
      <x:c r="M163" t="n">
        <x:v>87.71</x:v>
      </x:c>
      <x:c r="N163" t="n">
        <x:v>4.31</x:v>
      </x:c>
      <x:c r="O163" t="n">
        <x:v>9.66</x:v>
      </x:c>
      <x:c r="P163" t="n">
        <x:v>9</x:v>
      </x:c>
      <x:c r="Q163" t="n">
        <x:v>7</x:v>
      </x:c>
      <x:c r="R163" t="str">
        <x:v>continua</x:v>
      </x:c>
      <x:c r="S163" s="24" t="b">
        <x:v>1</x:v>
      </x:c>
      <x:c r="T163" s="36" t="str">
        <x:v>2026-03-02</x:v>
      </x:c>
      <x:c r="U163" t="str">
        <x:v>987806861</x:v>
      </x:c>
    </x:row>
    <x:row r="164">
      <x:c r="A164" t="str">
        <x:v>EST-0163</x:v>
      </x:c>
      <x:c r="B164" t="str">
        <x:v>Daniel</x:v>
      </x:c>
      <x:c r="C164" t="str">
        <x:v>Vega Ramírez</x:v>
      </x:c>
      <x:c r="D164" t="str">
        <x:v>86842933</x:v>
      </x:c>
      <x:c r="E164" t="str">
        <x:v>est0163@alumnos.blenkir.edu.pe</x:v>
      </x:c>
      <x:c r="F164" t="n">
        <x:v>4</x:v>
      </x:c>
      <x:c r="G164" t="str">
        <x:v>C</x:v>
      </x:c>
      <x:c r="H164" t="str">
        <x:v>4C</x:v>
      </x:c>
      <x:c r="I164" t="str">
        <x:v>activo</x:v>
      </x:c>
      <x:c r="J164" t="str">
        <x:v>activa</x:v>
      </x:c>
      <x:c r="K164" t="n">
        <x:v>15.18</x:v>
      </x:c>
      <x:c r="L164" t="n">
        <x:v>0</x:v>
      </x:c>
      <x:c r="M164" t="n">
        <x:v>96.48</x:v>
      </x:c>
      <x:c r="N164" t="n">
        <x:v>6.83</x:v>
      </x:c>
      <x:c r="O164" t="n">
        <x:v>14.85</x:v>
      </x:c>
      <x:c r="P164" t="n">
        <x:v>15</x:v>
      </x:c>
      <x:c r="Q164" t="n">
        <x:v>11</x:v>
      </x:c>
      <x:c r="R164" t="str">
        <x:v>continua</x:v>
      </x:c>
      <x:c r="S164" s="24" t="b">
        <x:v>1</x:v>
      </x:c>
      <x:c r="T164" s="36" t="str">
        <x:v>2026-03-02</x:v>
      </x:c>
      <x:c r="U164" t="str">
        <x:v>900634944</x:v>
      </x:c>
    </x:row>
    <x:row r="165">
      <x:c r="A165" t="str">
        <x:v>EST-0164</x:v>
      </x:c>
      <x:c r="B165" t="str">
        <x:v>Gael</x:v>
      </x:c>
      <x:c r="C165" t="str">
        <x:v>Campos Alarcón</x:v>
      </x:c>
      <x:c r="D165" t="str">
        <x:v>71520707</x:v>
      </x:c>
      <x:c r="E165" t="str">
        <x:v>est0164@alumnos.blenkir.edu.pe</x:v>
      </x:c>
      <x:c r="F165" t="n">
        <x:v>4</x:v>
      </x:c>
      <x:c r="G165" t="str">
        <x:v>C</x:v>
      </x:c>
      <x:c r="H165" t="str">
        <x:v>4C</x:v>
      </x:c>
      <x:c r="I165" t="str">
        <x:v>activo</x:v>
      </x:c>
      <x:c r="J165" t="str">
        <x:v>activa</x:v>
      </x:c>
      <x:c r="K165" t="n">
        <x:v>16.4</x:v>
      </x:c>
      <x:c r="L165" t="n">
        <x:v>0</x:v>
      </x:c>
      <x:c r="M165" t="n">
        <x:v>88.47</x:v>
      </x:c>
      <x:c r="N165" t="n">
        <x:v>7.55</x:v>
      </x:c>
      <x:c r="O165" t="n">
        <x:v>10.72</x:v>
      </x:c>
      <x:c r="P165" t="n">
        <x:v>15</x:v>
      </x:c>
      <x:c r="Q165" t="n">
        <x:v>12</x:v>
      </x:c>
      <x:c r="R165" t="str">
        <x:v>continua</x:v>
      </x:c>
      <x:c r="S165" s="24" t="b">
        <x:v>1</x:v>
      </x:c>
      <x:c r="T165" s="36" t="str">
        <x:v>2026-03-02</x:v>
      </x:c>
      <x:c r="U165" t="str">
        <x:v>933288914</x:v>
      </x:c>
    </x:row>
    <x:row r="166">
      <x:c r="A166" t="str">
        <x:v>EST-0165</x:v>
      </x:c>
      <x:c r="B166" t="str">
        <x:v>José</x:v>
      </x:c>
      <x:c r="C166" t="str">
        <x:v>Flores García</x:v>
      </x:c>
      <x:c r="D166" t="str">
        <x:v>72244913</x:v>
      </x:c>
      <x:c r="E166" t="str">
        <x:v>est0165@alumnos.blenkir.edu.pe</x:v>
      </x:c>
      <x:c r="F166" t="n">
        <x:v>4</x:v>
      </x:c>
      <x:c r="G166" t="str">
        <x:v>C</x:v>
      </x:c>
      <x:c r="H166" t="str">
        <x:v>4C</x:v>
      </x:c>
      <x:c r="I166" t="str">
        <x:v>activo</x:v>
      </x:c>
      <x:c r="J166" t="str">
        <x:v>activa</x:v>
      </x:c>
      <x:c r="K166" t="n">
        <x:v>14.99</x:v>
      </x:c>
      <x:c r="L166" t="n">
        <x:v>0</x:v>
      </x:c>
      <x:c r="M166" t="n">
        <x:v>98.06</x:v>
      </x:c>
      <x:c r="N166" t="n">
        <x:v>9.05</x:v>
      </x:c>
      <x:c r="O166" t="n">
        <x:v>17.21</x:v>
      </x:c>
      <x:c r="P166" t="n">
        <x:v>16</x:v>
      </x:c>
      <x:c r="Q166" t="n">
        <x:v>12</x:v>
      </x:c>
      <x:c r="R166" t="str">
        <x:v>continua</x:v>
      </x:c>
      <x:c r="S166" s="24" t="b">
        <x:v>1</x:v>
      </x:c>
      <x:c r="T166" s="36" t="str">
        <x:v>2026-03-02</x:v>
      </x:c>
      <x:c r="U166" t="str">
        <x:v>976773537</x:v>
      </x:c>
    </x:row>
    <x:row r="167">
      <x:c r="A167" t="str">
        <x:v>EST-0166</x:v>
      </x:c>
      <x:c r="B167" t="str">
        <x:v>Nicolás</x:v>
      </x:c>
      <x:c r="C167" t="str">
        <x:v>Morales Ramos</x:v>
      </x:c>
      <x:c r="D167" t="str">
        <x:v>70496681</x:v>
      </x:c>
      <x:c r="E167" t="str">
        <x:v>est0166@alumnos.blenkir.edu.pe</x:v>
      </x:c>
      <x:c r="F167" t="n">
        <x:v>4</x:v>
      </x:c>
      <x:c r="G167" t="str">
        <x:v>C</x:v>
      </x:c>
      <x:c r="H167" t="str">
        <x:v>4C</x:v>
      </x:c>
      <x:c r="I167" t="str">
        <x:v>activo</x:v>
      </x:c>
      <x:c r="J167" t="str">
        <x:v>activa</x:v>
      </x:c>
      <x:c r="K167" t="n">
        <x:v>16.97</x:v>
      </x:c>
      <x:c r="L167" t="n">
        <x:v>0</x:v>
      </x:c>
      <x:c r="M167" t="n">
        <x:v>93.48</x:v>
      </x:c>
      <x:c r="N167" t="n">
        <x:v>7.51</x:v>
      </x:c>
      <x:c r="O167" t="n">
        <x:v>14.47</x:v>
      </x:c>
      <x:c r="P167" t="n">
        <x:v>17</x:v>
      </x:c>
      <x:c r="Q167" t="n">
        <x:v>12</x:v>
      </x:c>
      <x:c r="R167" t="str">
        <x:v>continua</x:v>
      </x:c>
      <x:c r="S167" s="24" t="b">
        <x:v>1</x:v>
      </x:c>
      <x:c r="T167" s="36" t="str">
        <x:v>2026-03-02</x:v>
      </x:c>
      <x:c r="U167" t="str">
        <x:v>958937473</x:v>
      </x:c>
    </x:row>
    <x:row r="168">
      <x:c r="A168" t="str">
        <x:v>EST-0167</x:v>
      </x:c>
      <x:c r="B168" t="str">
        <x:v>Thiago</x:v>
      </x:c>
      <x:c r="C168" t="str">
        <x:v>Silva Alvarado</x:v>
      </x:c>
      <x:c r="D168" t="str">
        <x:v>73549145</x:v>
      </x:c>
      <x:c r="E168" t="str">
        <x:v>est0167@alumnos.blenkir.edu.pe</x:v>
      </x:c>
      <x:c r="F168" t="n">
        <x:v>4</x:v>
      </x:c>
      <x:c r="G168" t="str">
        <x:v>C</x:v>
      </x:c>
      <x:c r="H168" t="str">
        <x:v>4C</x:v>
      </x:c>
      <x:c r="I168" t="str">
        <x:v>activo</x:v>
      </x:c>
      <x:c r="J168" t="str">
        <x:v>activa</x:v>
      </x:c>
      <x:c r="K168" t="n">
        <x:v>14.63</x:v>
      </x:c>
      <x:c r="L168" t="n">
        <x:v>0</x:v>
      </x:c>
      <x:c r="M168" t="n">
        <x:v>88.56</x:v>
      </x:c>
      <x:c r="N168" t="n">
        <x:v>4.36</x:v>
      </x:c>
      <x:c r="O168" t="n">
        <x:v>9.29</x:v>
      </x:c>
      <x:c r="P168" t="n">
        <x:v>11</x:v>
      </x:c>
      <x:c r="Q168" t="n">
        <x:v>9</x:v>
      </x:c>
      <x:c r="R168" t="str">
        <x:v>continua</x:v>
      </x:c>
      <x:c r="S168" s="24" t="b">
        <x:v>1</x:v>
      </x:c>
      <x:c r="T168" s="36" t="str">
        <x:v>2026-03-02</x:v>
      </x:c>
      <x:c r="U168" t="str">
        <x:v>910542560</x:v>
      </x:c>
    </x:row>
    <x:row r="169">
      <x:c r="A169" t="str">
        <x:v>EST-0168</x:v>
      </x:c>
      <x:c r="B169" t="str">
        <x:v>Fabiana</x:v>
      </x:c>
      <x:c r="C169" t="str">
        <x:v>Alarcón García</x:v>
      </x:c>
      <x:c r="D169" t="str">
        <x:v>70158063</x:v>
      </x:c>
      <x:c r="E169" t="str">
        <x:v>est0168@alumnos.blenkir.edu.pe</x:v>
      </x:c>
      <x:c r="F169" t="n">
        <x:v>4</x:v>
      </x:c>
      <x:c r="G169" t="str">
        <x:v>C</x:v>
      </x:c>
      <x:c r="H169" t="str">
        <x:v>4C</x:v>
      </x:c>
      <x:c r="I169" t="str">
        <x:v>activo</x:v>
      </x:c>
      <x:c r="J169" t="str">
        <x:v>activa</x:v>
      </x:c>
      <x:c r="K169" t="n">
        <x:v>14.33</x:v>
      </x:c>
      <x:c r="L169" t="n">
        <x:v>0</x:v>
      </x:c>
      <x:c r="M169" t="n">
        <x:v>99.5</x:v>
      </x:c>
      <x:c r="N169" t="n">
        <x:v>8.38</x:v>
      </x:c>
      <x:c r="O169" t="n">
        <x:v>17.46</x:v>
      </x:c>
      <x:c r="P169" t="n">
        <x:v>16</x:v>
      </x:c>
      <x:c r="Q169" t="n">
        <x:v>11</x:v>
      </x:c>
      <x:c r="R169" t="str">
        <x:v>continua</x:v>
      </x:c>
      <x:c r="S169" s="24" t="b">
        <x:v>1</x:v>
      </x:c>
      <x:c r="T169" s="36" t="str">
        <x:v>2026-03-02</x:v>
      </x:c>
      <x:c r="U169" t="str">
        <x:v>903060228</x:v>
      </x:c>
    </x:row>
    <x:row r="170">
      <x:c r="A170" t="str">
        <x:v>EST-0169</x:v>
      </x:c>
      <x:c r="B170" t="str">
        <x:v>Mía</x:v>
      </x:c>
      <x:c r="C170" t="str">
        <x:v>Condori Rojas</x:v>
      </x:c>
      <x:c r="D170" t="str">
        <x:v>80042765</x:v>
      </x:c>
      <x:c r="E170" t="str">
        <x:v>est0169@alumnos.blenkir.edu.pe</x:v>
      </x:c>
      <x:c r="F170" t="n">
        <x:v>4</x:v>
      </x:c>
      <x:c r="G170" t="str">
        <x:v>C</x:v>
      </x:c>
      <x:c r="H170" t="str">
        <x:v>4C</x:v>
      </x:c>
      <x:c r="I170" t="str">
        <x:v>activo</x:v>
      </x:c>
      <x:c r="J170" t="str">
        <x:v>activa</x:v>
      </x:c>
      <x:c r="K170" t="n">
        <x:v>19.5</x:v>
      </x:c>
      <x:c r="L170" t="n">
        <x:v>0</x:v>
      </x:c>
      <x:c r="M170" t="n">
        <x:v>99.44</x:v>
      </x:c>
      <x:c r="N170" t="n">
        <x:v>9.77</x:v>
      </x:c>
      <x:c r="O170" t="n">
        <x:v>18.98</x:v>
      </x:c>
      <x:c r="P170" t="n">
        <x:v>19</x:v>
      </x:c>
      <x:c r="Q170" t="n">
        <x:v>14</x:v>
      </x:c>
      <x:c r="R170" t="str">
        <x:v>continua</x:v>
      </x:c>
      <x:c r="S170" s="24" t="b">
        <x:v>1</x:v>
      </x:c>
      <x:c r="T170" s="36" t="str">
        <x:v>2026-03-02</x:v>
      </x:c>
      <x:c r="U170" t="str">
        <x:v>969554081</x:v>
      </x:c>
    </x:row>
    <x:row r="171">
      <x:c r="A171" t="str">
        <x:v>EST-0170</x:v>
      </x:c>
      <x:c r="B171" t="str">
        <x:v>Valentina</x:v>
      </x:c>
      <x:c r="C171" t="str">
        <x:v>Gutiérrez Arias</x:v>
      </x:c>
      <x:c r="D171" t="str">
        <x:v>75094789</x:v>
      </x:c>
      <x:c r="E171" t="str">
        <x:v>est0170@alumnos.blenkir.edu.pe</x:v>
      </x:c>
      <x:c r="F171" t="n">
        <x:v>4</x:v>
      </x:c>
      <x:c r="G171" t="str">
        <x:v>C</x:v>
      </x:c>
      <x:c r="H171" t="str">
        <x:v>4C</x:v>
      </x:c>
      <x:c r="I171" t="str">
        <x:v>retirado</x:v>
      </x:c>
      <x:c r="J171" t="str">
        <x:v>trasladada</x:v>
      </x:c>
      <x:c r="K171" t="n">
        <x:v>13.4</x:v>
      </x:c>
      <x:c r="L171" t="n">
        <x:v>0</x:v>
      </x:c>
      <x:c r="M171" t="n">
        <x:v>89.69</x:v>
      </x:c>
      <x:c r="N171" t="n">
        <x:v>6.08</x:v>
      </x:c>
      <x:c r="O171" t="n">
        <x:v>10.8</x:v>
      </x:c>
      <x:c r="P171" t="n">
        <x:v>10</x:v>
      </x:c>
      <x:c r="Q171" t="n">
        <x:v>10</x:v>
      </x:c>
      <x:c r="R171" t="str">
        <x:v>trasladada</x:v>
      </x:c>
      <x:c r="S171" s="24" t="b">
        <x:v>1</x:v>
      </x:c>
      <x:c r="T171" s="36" t="str">
        <x:v>2026-03-02</x:v>
      </x:c>
      <x:c r="U171" t="str">
        <x:v>986525663</x:v>
      </x:c>
    </x:row>
    <x:row r="172">
      <x:c r="A172" t="str">
        <x:v>EST-0171</x:v>
      </x:c>
      <x:c r="B172" t="str">
        <x:v>Andrés</x:v>
      </x:c>
      <x:c r="C172" t="str">
        <x:v>Ramírez Gómez</x:v>
      </x:c>
      <x:c r="D172" t="str">
        <x:v>86537718</x:v>
      </x:c>
      <x:c r="E172" t="str">
        <x:v>est0171@alumnos.blenkir.edu.pe</x:v>
      </x:c>
      <x:c r="F172" t="n">
        <x:v>4</x:v>
      </x:c>
      <x:c r="G172" t="str">
        <x:v>C</x:v>
      </x:c>
      <x:c r="H172" t="str">
        <x:v>4C</x:v>
      </x:c>
      <x:c r="I172" t="str">
        <x:v>activo</x:v>
      </x:c>
      <x:c r="J172" t="str">
        <x:v>activa</x:v>
      </x:c>
      <x:c r="K172" t="n">
        <x:v>14.05</x:v>
      </x:c>
      <x:c r="L172" t="n">
        <x:v>0</x:v>
      </x:c>
      <x:c r="M172" t="n">
        <x:v>94.71</x:v>
      </x:c>
      <x:c r="N172" t="n">
        <x:v>6.96</x:v>
      </x:c>
      <x:c r="O172" t="n">
        <x:v>12.97</x:v>
      </x:c>
      <x:c r="P172" t="n">
        <x:v>16</x:v>
      </x:c>
      <x:c r="Q172" t="n">
        <x:v>11</x:v>
      </x:c>
      <x:c r="R172" t="str">
        <x:v>continua</x:v>
      </x:c>
      <x:c r="S172" s="24" t="b">
        <x:v>1</x:v>
      </x:c>
      <x:c r="T172" s="36" t="str">
        <x:v>2026-03-02</x:v>
      </x:c>
      <x:c r="U172" t="str">
        <x:v>906116036</x:v>
      </x:c>
    </x:row>
    <x:row r="173">
      <x:c r="A173" t="str">
        <x:v>EST-0172</x:v>
      </x:c>
      <x:c r="B173" t="str">
        <x:v>Eduardo</x:v>
      </x:c>
      <x:c r="C173" t="str">
        <x:v>Vásquez Romero</x:v>
      </x:c>
      <x:c r="D173" t="str">
        <x:v>87201620</x:v>
      </x:c>
      <x:c r="E173" t="str">
        <x:v>est0172@alumnos.blenkir.edu.pe</x:v>
      </x:c>
      <x:c r="F173" t="n">
        <x:v>4</x:v>
      </x:c>
      <x:c r="G173" t="str">
        <x:v>C</x:v>
      </x:c>
      <x:c r="H173" t="str">
        <x:v>4C</x:v>
      </x:c>
      <x:c r="I173" t="str">
        <x:v>activo</x:v>
      </x:c>
      <x:c r="J173" t="str">
        <x:v>activa</x:v>
      </x:c>
      <x:c r="K173" t="n">
        <x:v>14.73</x:v>
      </x:c>
      <x:c r="L173" t="n">
        <x:v>0</x:v>
      </x:c>
      <x:c r="M173" t="n">
        <x:v>91.97</x:v>
      </x:c>
      <x:c r="N173" t="n">
        <x:v>6.8</x:v>
      </x:c>
      <x:c r="O173" t="n">
        <x:v>12.93</x:v>
      </x:c>
      <x:c r="P173" t="n">
        <x:v>13</x:v>
      </x:c>
      <x:c r="Q173" t="n">
        <x:v>11</x:v>
      </x:c>
      <x:c r="R173" t="str">
        <x:v>continua</x:v>
      </x:c>
      <x:c r="S173" s="24" t="b">
        <x:v>1</x:v>
      </x:c>
      <x:c r="T173" s="36" t="str">
        <x:v>2026-03-02</x:v>
      </x:c>
      <x:c r="U173" t="str">
        <x:v>934380232</x:v>
      </x:c>
    </x:row>
    <x:row r="174">
      <x:c r="A174" t="str">
        <x:v>EST-0173</x:v>
      </x:c>
      <x:c r="B174" t="str">
        <x:v>Iván</x:v>
      </x:c>
      <x:c r="C174" t="str">
        <x:v>Cáceres Bendezú</x:v>
      </x:c>
      <x:c r="D174" t="str">
        <x:v>75913270</x:v>
      </x:c>
      <x:c r="E174" t="str">
        <x:v>est0173@alumnos.blenkir.edu.pe</x:v>
      </x:c>
      <x:c r="F174" t="n">
        <x:v>4</x:v>
      </x:c>
      <x:c r="G174" t="str">
        <x:v>C</x:v>
      </x:c>
      <x:c r="H174" t="str">
        <x:v>4C</x:v>
      </x:c>
      <x:c r="I174" t="str">
        <x:v>activo</x:v>
      </x:c>
      <x:c r="J174" t="str">
        <x:v>activa</x:v>
      </x:c>
      <x:c r="K174" t="n">
        <x:v>15.24</x:v>
      </x:c>
      <x:c r="L174" t="n">
        <x:v>0</x:v>
      </x:c>
      <x:c r="M174" t="n">
        <x:v>89</x:v>
      </x:c>
      <x:c r="N174" t="n">
        <x:v>9.31</x:v>
      </x:c>
      <x:c r="O174" t="n">
        <x:v>18.41</x:v>
      </x:c>
      <x:c r="P174" t="n">
        <x:v>17</x:v>
      </x:c>
      <x:c r="Q174" t="n">
        <x:v>11</x:v>
      </x:c>
      <x:c r="R174" t="str">
        <x:v>continua</x:v>
      </x:c>
      <x:c r="S174" s="24" t="b">
        <x:v>1</x:v>
      </x:c>
      <x:c r="T174" s="36" t="str">
        <x:v>2026-03-02</x:v>
      </x:c>
      <x:c r="U174" t="str">
        <x:v>914062261</x:v>
      </x:c>
    </x:row>
    <x:row r="175">
      <x:c r="A175" t="str">
        <x:v>EST-0174</x:v>
      </x:c>
      <x:c r="B175" t="str">
        <x:v>Luis</x:v>
      </x:c>
      <x:c r="C175" t="str">
        <x:v>Espinoza Gonzales</x:v>
      </x:c>
      <x:c r="D175" t="str">
        <x:v>85066159</x:v>
      </x:c>
      <x:c r="E175" t="str">
        <x:v>est0174@alumnos.blenkir.edu.pe</x:v>
      </x:c>
      <x:c r="F175" t="n">
        <x:v>4</x:v>
      </x:c>
      <x:c r="G175" t="str">
        <x:v>D</x:v>
      </x:c>
      <x:c r="H175" t="str">
        <x:v>4D</x:v>
      </x:c>
      <x:c r="I175" t="str">
        <x:v>activo</x:v>
      </x:c>
      <x:c r="J175" t="str">
        <x:v>activa</x:v>
      </x:c>
      <x:c r="K175" t="n">
        <x:v>13.45</x:v>
      </x:c>
      <x:c r="L175" t="n">
        <x:v>0</x:v>
      </x:c>
      <x:c r="M175" t="n">
        <x:v>88.1</x:v>
      </x:c>
      <x:c r="N175" t="n">
        <x:v>6.85</x:v>
      </x:c>
      <x:c r="O175" t="n">
        <x:v>11.31</x:v>
      </x:c>
      <x:c r="P175" t="n">
        <x:v>13</x:v>
      </x:c>
      <x:c r="Q175" t="n">
        <x:v>9</x:v>
      </x:c>
      <x:c r="R175" t="str">
        <x:v>continua</x:v>
      </x:c>
      <x:c r="S175" s="24" t="b">
        <x:v>1</x:v>
      </x:c>
      <x:c r="T175" s="36" t="str">
        <x:v>2026-03-02</x:v>
      </x:c>
      <x:c r="U175" t="str">
        <x:v>952409029</x:v>
      </x:c>
    </x:row>
    <x:row r="176">
      <x:c r="A176" t="str">
        <x:v>EST-0175</x:v>
      </x:c>
      <x:c r="B176" t="str">
        <x:v>Renato</x:v>
      </x:c>
      <x:c r="C176" t="str">
        <x:v>Mendoza Salazar</x:v>
      </x:c>
      <x:c r="D176" t="str">
        <x:v>75327830</x:v>
      </x:c>
      <x:c r="E176" t="str">
        <x:v>est0175@alumnos.blenkir.edu.pe</x:v>
      </x:c>
      <x:c r="F176" t="n">
        <x:v>4</x:v>
      </x:c>
      <x:c r="G176" t="str">
        <x:v>D</x:v>
      </x:c>
      <x:c r="H176" t="str">
        <x:v>4D</x:v>
      </x:c>
      <x:c r="I176" t="str">
        <x:v>activo</x:v>
      </x:c>
      <x:c r="J176" t="str">
        <x:v>activa</x:v>
      </x:c>
      <x:c r="K176" t="n">
        <x:v>13.55</x:v>
      </x:c>
      <x:c r="L176" t="n">
        <x:v>0</x:v>
      </x:c>
      <x:c r="M176" t="n">
        <x:v>89.97</x:v>
      </x:c>
      <x:c r="N176" t="n">
        <x:v>6.78</x:v>
      </x:c>
      <x:c r="O176" t="n">
        <x:v>15.73</x:v>
      </x:c>
      <x:c r="P176" t="n">
        <x:v>13</x:v>
      </x:c>
      <x:c r="Q176" t="n">
        <x:v>11</x:v>
      </x:c>
      <x:c r="R176" t="str">
        <x:v>continua</x:v>
      </x:c>
      <x:c r="S176" s="24" t="b">
        <x:v>1</x:v>
      </x:c>
      <x:c r="T176" s="36" t="str">
        <x:v>2026-03-02</x:v>
      </x:c>
      <x:c r="U176" t="str">
        <x:v>968153659</x:v>
      </x:c>
    </x:row>
    <x:row r="177">
      <x:c r="A177" t="str">
        <x:v>EST-0176</x:v>
      </x:c>
      <x:c r="B177" t="str">
        <x:v>Camila</x:v>
      </x:c>
      <x:c r="C177" t="str">
        <x:v>Sánchez Cabrera</x:v>
      </x:c>
      <x:c r="D177" t="str">
        <x:v>79227993</x:v>
      </x:c>
      <x:c r="E177" t="str">
        <x:v>est0176@alumnos.blenkir.edu.pe</x:v>
      </x:c>
      <x:c r="F177" t="n">
        <x:v>4</x:v>
      </x:c>
      <x:c r="G177" t="str">
        <x:v>D</x:v>
      </x:c>
      <x:c r="H177" t="str">
        <x:v>4D</x:v>
      </x:c>
      <x:c r="I177" t="str">
        <x:v>activo</x:v>
      </x:c>
      <x:c r="J177" t="str">
        <x:v>activa</x:v>
      </x:c>
      <x:c r="K177" t="n">
        <x:v>15.61</x:v>
      </x:c>
      <x:c r="L177" t="n">
        <x:v>0</x:v>
      </x:c>
      <x:c r="M177" t="n">
        <x:v>98.36</x:v>
      </x:c>
      <x:c r="N177" t="n">
        <x:v>10.77</x:v>
      </x:c>
      <x:c r="O177" t="n">
        <x:v>20.95</x:v>
      </x:c>
      <x:c r="P177" t="n">
        <x:v>18</x:v>
      </x:c>
      <x:c r="Q177" t="n">
        <x:v>14</x:v>
      </x:c>
      <x:c r="R177" t="str">
        <x:v>continua</x:v>
      </x:c>
      <x:c r="S177" s="24" t="b">
        <x:v>1</x:v>
      </x:c>
      <x:c r="T177" s="36" t="str">
        <x:v>2026-03-02</x:v>
      </x:c>
      <x:c r="U177" t="str">
        <x:v>982011817</x:v>
      </x:c>
    </x:row>
    <x:row r="178">
      <x:c r="A178" t="str">
        <x:v>EST-0177</x:v>
      </x:c>
      <x:c r="B178" t="str">
        <x:v>Isabella</x:v>
      </x:c>
      <x:c r="C178" t="str">
        <x:v>Aguilar Guerrero</x:v>
      </x:c>
      <x:c r="D178" t="str">
        <x:v>75291559</x:v>
      </x:c>
      <x:c r="E178" t="str">
        <x:v>est0177@alumnos.blenkir.edu.pe</x:v>
      </x:c>
      <x:c r="F178" t="n">
        <x:v>4</x:v>
      </x:c>
      <x:c r="G178" t="str">
        <x:v>D</x:v>
      </x:c>
      <x:c r="H178" t="str">
        <x:v>4D</x:v>
      </x:c>
      <x:c r="I178" t="str">
        <x:v>activo</x:v>
      </x:c>
      <x:c r="J178" t="str">
        <x:v>activa</x:v>
      </x:c>
      <x:c r="K178" t="n">
        <x:v>13.6</x:v>
      </x:c>
      <x:c r="L178" t="n">
        <x:v>0</x:v>
      </x:c>
      <x:c r="M178" t="n">
        <x:v>95.42</x:v>
      </x:c>
      <x:c r="N178" t="n">
        <x:v>7.55</x:v>
      </x:c>
      <x:c r="O178" t="n">
        <x:v>16.74</x:v>
      </x:c>
      <x:c r="P178" t="n">
        <x:v>16</x:v>
      </x:c>
      <x:c r="Q178" t="n">
        <x:v>11</x:v>
      </x:c>
      <x:c r="R178" t="str">
        <x:v>continua</x:v>
      </x:c>
      <x:c r="S178" s="24" t="b">
        <x:v>1</x:v>
      </x:c>
      <x:c r="T178" s="36" t="str">
        <x:v>2026-03-02</x:v>
      </x:c>
      <x:c r="U178" t="str">
        <x:v>910374361</x:v>
      </x:c>
    </x:row>
    <x:row r="179">
      <x:c r="A179" t="str">
        <x:v>EST-0178</x:v>
      </x:c>
      <x:c r="B179" t="str">
        <x:v>Paula</x:v>
      </x:c>
      <x:c r="C179" t="str">
        <x:v>Chávez Sánchez</x:v>
      </x:c>
      <x:c r="D179" t="str">
        <x:v>81432098</x:v>
      </x:c>
      <x:c r="E179" t="str">
        <x:v>est0178@alumnos.blenkir.edu.pe</x:v>
      </x:c>
      <x:c r="F179" t="n">
        <x:v>4</x:v>
      </x:c>
      <x:c r="G179" t="str">
        <x:v>D</x:v>
      </x:c>
      <x:c r="H179" t="str">
        <x:v>4D</x:v>
      </x:c>
      <x:c r="I179" t="str">
        <x:v>activo</x:v>
      </x:c>
      <x:c r="J179" t="str">
        <x:v>activa</x:v>
      </x:c>
      <x:c r="K179" t="n">
        <x:v>16.53</x:v>
      </x:c>
      <x:c r="L179" t="n">
        <x:v>0</x:v>
      </x:c>
      <x:c r="M179" t="n">
        <x:v>93.25</x:v>
      </x:c>
      <x:c r="N179" t="n">
        <x:v>5.1</x:v>
      </x:c>
      <x:c r="O179" t="n">
        <x:v>12.42</x:v>
      </x:c>
      <x:c r="P179" t="n">
        <x:v>12</x:v>
      </x:c>
      <x:c r="Q179" t="n">
        <x:v>10</x:v>
      </x:c>
      <x:c r="R179" t="str">
        <x:v>continua</x:v>
      </x:c>
      <x:c r="S179" s="24" t="b">
        <x:v>1</x:v>
      </x:c>
      <x:c r="T179" s="36" t="str">
        <x:v>2026-03-02</x:v>
      </x:c>
      <x:c r="U179" t="str">
        <x:v>971120475</x:v>
      </x:c>
    </x:row>
    <x:row r="180">
      <x:c r="A180" t="str">
        <x:v>EST-0179</x:v>
      </x:c>
      <x:c r="B180" t="str">
        <x:v>Andrea</x:v>
      </x:c>
      <x:c r="C180" t="str">
        <x:v>Guerrero Cáceres</x:v>
      </x:c>
      <x:c r="D180" t="str">
        <x:v>71292863</x:v>
      </x:c>
      <x:c r="E180" t="str">
        <x:v>est0179@alumnos.blenkir.edu.pe</x:v>
      </x:c>
      <x:c r="F180" t="n">
        <x:v>4</x:v>
      </x:c>
      <x:c r="G180" t="str">
        <x:v>D</x:v>
      </x:c>
      <x:c r="H180" t="str">
        <x:v>4D</x:v>
      </x:c>
      <x:c r="I180" t="str">
        <x:v>activo</x:v>
      </x:c>
      <x:c r="J180" t="str">
        <x:v>activa</x:v>
      </x:c>
      <x:c r="K180" t="n">
        <x:v>13.71</x:v>
      </x:c>
      <x:c r="L180" t="n">
        <x:v>0</x:v>
      </x:c>
      <x:c r="M180" t="n">
        <x:v>90.77</x:v>
      </x:c>
      <x:c r="N180" t="n">
        <x:v>7.88</x:v>
      </x:c>
      <x:c r="O180" t="n">
        <x:v>12.16</x:v>
      </x:c>
      <x:c r="P180" t="n">
        <x:v>12</x:v>
      </x:c>
      <x:c r="Q180" t="n">
        <x:v>9</x:v>
      </x:c>
      <x:c r="R180" t="str">
        <x:v>continua</x:v>
      </x:c>
      <x:c r="S180" s="24" t="b">
        <x:v>1</x:v>
      </x:c>
      <x:c r="T180" s="36" t="str">
        <x:v>2026-03-02</x:v>
      </x:c>
      <x:c r="U180" t="str">
        <x:v>931982042</x:v>
      </x:c>
    </x:row>
    <x:row r="181">
      <x:c r="A181" t="str">
        <x:v>EST-0180</x:v>
      </x:c>
      <x:c r="B181" t="str">
        <x:v>Cristian</x:v>
      </x:c>
      <x:c r="C181" t="str">
        <x:v>Quispe Gutiérrez</x:v>
      </x:c>
      <x:c r="D181" t="str">
        <x:v>75977827</x:v>
      </x:c>
      <x:c r="E181" t="str">
        <x:v>est0180@alumnos.blenkir.edu.pe</x:v>
      </x:c>
      <x:c r="F181" t="n">
        <x:v>4</x:v>
      </x:c>
      <x:c r="G181" t="str">
        <x:v>D</x:v>
      </x:c>
      <x:c r="H181" t="str">
        <x:v>4D</x:v>
      </x:c>
      <x:c r="I181" t="str">
        <x:v>activo</x:v>
      </x:c>
      <x:c r="J181" t="str">
        <x:v>activa</x:v>
      </x:c>
      <x:c r="K181" t="n">
        <x:v>13.71</x:v>
      </x:c>
      <x:c r="L181" t="n">
        <x:v>0</x:v>
      </x:c>
      <x:c r="M181" t="n">
        <x:v>88.02</x:v>
      </x:c>
      <x:c r="N181" t="n">
        <x:v>6.36</x:v>
      </x:c>
      <x:c r="O181" t="n">
        <x:v>13.72</x:v>
      </x:c>
      <x:c r="P181" t="n">
        <x:v>14</x:v>
      </x:c>
      <x:c r="Q181" t="n">
        <x:v>9</x:v>
      </x:c>
      <x:c r="R181" t="str">
        <x:v>continua</x:v>
      </x:c>
      <x:c r="S181" s="24" t="b">
        <x:v>1</x:v>
      </x:c>
      <x:c r="T181" s="36" t="str">
        <x:v>2026-03-02</x:v>
      </x:c>
      <x:c r="U181" t="str">
        <x:v>963423159</x:v>
      </x:c>
    </x:row>
    <x:row r="182">
      <x:c r="A182" t="str">
        <x:v>EST-0181</x:v>
      </x:c>
      <x:c r="B182" t="str">
        <x:v>Gabriel</x:v>
      </x:c>
      <x:c r="C182" t="str">
        <x:v>Vargas Silva</x:v>
      </x:c>
      <x:c r="D182" t="str">
        <x:v>70323741</x:v>
      </x:c>
      <x:c r="E182" t="str">
        <x:v>est0181@alumnos.blenkir.edu.pe</x:v>
      </x:c>
      <x:c r="F182" t="n">
        <x:v>4</x:v>
      </x:c>
      <x:c r="G182" t="str">
        <x:v>D</x:v>
      </x:c>
      <x:c r="H182" t="str">
        <x:v>4D</x:v>
      </x:c>
      <x:c r="I182" t="str">
        <x:v>retirado</x:v>
      </x:c>
      <x:c r="J182" t="str">
        <x:v>trasladada</x:v>
      </x:c>
      <x:c r="K182" t="n">
        <x:v>16.44</x:v>
      </x:c>
      <x:c r="L182" t="n">
        <x:v>0</x:v>
      </x:c>
      <x:c r="M182" t="n">
        <x:v>90.23</x:v>
      </x:c>
      <x:c r="N182" t="n">
        <x:v>7.93</x:v>
      </x:c>
      <x:c r="O182" t="n">
        <x:v>15.53</x:v>
      </x:c>
      <x:c r="P182" t="n">
        <x:v>15</x:v>
      </x:c>
      <x:c r="Q182" t="n">
        <x:v>12</x:v>
      </x:c>
      <x:c r="R182" t="str">
        <x:v>trasladada</x:v>
      </x:c>
      <x:c r="S182" s="24" t="b">
        <x:v>1</x:v>
      </x:c>
      <x:c r="T182" s="36" t="str">
        <x:v>2026-03-02</x:v>
      </x:c>
      <x:c r="U182" t="str">
        <x:v>965590841</x:v>
      </x:c>
    </x:row>
    <x:row r="183">
      <x:c r="A183" t="str">
        <x:v>EST-0182</x:v>
      </x:c>
      <x:c r="B183" t="str">
        <x:v>Jorge</x:v>
      </x:c>
      <x:c r="C183" t="str">
        <x:v>Cabrera Campos</x:v>
      </x:c>
      <x:c r="D183" t="str">
        <x:v>80276948</x:v>
      </x:c>
      <x:c r="E183" t="str">
        <x:v>est0182@alumnos.blenkir.edu.pe</x:v>
      </x:c>
      <x:c r="F183" t="n">
        <x:v>4</x:v>
      </x:c>
      <x:c r="G183" t="str">
        <x:v>D</x:v>
      </x:c>
      <x:c r="H183" t="str">
        <x:v>4D</x:v>
      </x:c>
      <x:c r="I183" t="str">
        <x:v>activo</x:v>
      </x:c>
      <x:c r="J183" t="str">
        <x:v>activa</x:v>
      </x:c>
      <x:c r="K183" t="n">
        <x:v>13.36</x:v>
      </x:c>
      <x:c r="L183" t="n">
        <x:v>0</x:v>
      </x:c>
      <x:c r="M183" t="n">
        <x:v>88.43</x:v>
      </x:c>
      <x:c r="N183" t="n">
        <x:v>8.26</x:v>
      </x:c>
      <x:c r="O183" t="n">
        <x:v>17.53</x:v>
      </x:c>
      <x:c r="P183" t="n">
        <x:v>14</x:v>
      </x:c>
      <x:c r="Q183" t="n">
        <x:v>12</x:v>
      </x:c>
      <x:c r="R183" t="str">
        <x:v>continua</x:v>
      </x:c>
      <x:c r="S183" s="24" t="b">
        <x:v>1</x:v>
      </x:c>
      <x:c r="T183" s="36" t="str">
        <x:v>2026-03-02</x:v>
      </x:c>
      <x:c r="U183" t="str">
        <x:v>956121858</x:v>
      </x:c>
    </x:row>
    <x:row r="184">
      <x:c r="A184" t="str">
        <x:v>EST-0183</x:v>
      </x:c>
      <x:c r="B184" t="str">
        <x:v>Miguel</x:v>
      </x:c>
      <x:c r="C184" t="str">
        <x:v>De la Cruz Huamán</x:v>
      </x:c>
      <x:c r="D184" t="str">
        <x:v>80542628</x:v>
      </x:c>
      <x:c r="E184" t="str">
        <x:v>est0183@alumnos.blenkir.edu.pe</x:v>
      </x:c>
      <x:c r="F184" t="n">
        <x:v>4</x:v>
      </x:c>
      <x:c r="G184" t="str">
        <x:v>D</x:v>
      </x:c>
      <x:c r="H184" t="str">
        <x:v>4D</x:v>
      </x:c>
      <x:c r="I184" t="str">
        <x:v>activo</x:v>
      </x:c>
      <x:c r="J184" t="str">
        <x:v>activa</x:v>
      </x:c>
      <x:c r="K184" t="n">
        <x:v>14.97</x:v>
      </x:c>
      <x:c r="L184" t="n">
        <x:v>0</x:v>
      </x:c>
      <x:c r="M184" t="n">
        <x:v>94.36</x:v>
      </x:c>
      <x:c r="N184" t="n">
        <x:v>9.85</x:v>
      </x:c>
      <x:c r="O184" t="n">
        <x:v>17.68</x:v>
      </x:c>
      <x:c r="P184" t="n">
        <x:v>16</x:v>
      </x:c>
      <x:c r="Q184" t="n">
        <x:v>15</x:v>
      </x:c>
      <x:c r="R184" t="str">
        <x:v>continua</x:v>
      </x:c>
      <x:c r="S184" s="24" t="b">
        <x:v>1</x:v>
      </x:c>
      <x:c r="T184" s="36" t="str">
        <x:v>2026-03-02</x:v>
      </x:c>
      <x:c r="U184" t="str">
        <x:v>914212569</x:v>
      </x:c>
    </x:row>
    <x:row r="185">
      <x:c r="A185" t="str">
        <x:v>EST-0184</x:v>
      </x:c>
      <x:c r="B185" t="str">
        <x:v>Sergio</x:v>
      </x:c>
      <x:c r="C185" t="str">
        <x:v>Medina Soto</x:v>
      </x:c>
      <x:c r="D185" t="str">
        <x:v>82886239</x:v>
      </x:c>
      <x:c r="E185" t="str">
        <x:v>est0184@alumnos.blenkir.edu.pe</x:v>
      </x:c>
      <x:c r="F185" t="n">
        <x:v>4</x:v>
      </x:c>
      <x:c r="G185" t="str">
        <x:v>D</x:v>
      </x:c>
      <x:c r="H185" t="str">
        <x:v>4D</x:v>
      </x:c>
      <x:c r="I185" t="str">
        <x:v>activo</x:v>
      </x:c>
      <x:c r="J185" t="str">
        <x:v>activa</x:v>
      </x:c>
      <x:c r="K185" t="n">
        <x:v>14.98</x:v>
      </x:c>
      <x:c r="L185" t="n">
        <x:v>0</x:v>
      </x:c>
      <x:c r="M185" t="n">
        <x:v>99.09</x:v>
      </x:c>
      <x:c r="N185" t="n">
        <x:v>7.49</x:v>
      </x:c>
      <x:c r="O185" t="n">
        <x:v>15.2</x:v>
      </x:c>
      <x:c r="P185" t="n">
        <x:v>13</x:v>
      </x:c>
      <x:c r="Q185" t="n">
        <x:v>11</x:v>
      </x:c>
      <x:c r="R185" t="str">
        <x:v>continua</x:v>
      </x:c>
      <x:c r="S185" s="24" t="b">
        <x:v>1</x:v>
      </x:c>
      <x:c r="T185" s="36" t="str">
        <x:v>2026-03-02</x:v>
      </x:c>
      <x:c r="U185" t="str">
        <x:v>973115857</x:v>
      </x:c>
    </x:row>
    <x:row r="186">
      <x:c r="A186" t="str">
        <x:v>EST-0185</x:v>
      </x:c>
      <x:c r="B186" t="str">
        <x:v>Elena</x:v>
      </x:c>
      <x:c r="C186" t="str">
        <x:v>Salazar Carrasco</x:v>
      </x:c>
      <x:c r="D186" t="str">
        <x:v>83447111</x:v>
      </x:c>
      <x:c r="E186" t="str">
        <x:v>est0185@alumnos.blenkir.edu.pe</x:v>
      </x:c>
      <x:c r="F186" t="n">
        <x:v>5</x:v>
      </x:c>
      <x:c r="G186" t="str">
        <x:v>A</x:v>
      </x:c>
      <x:c r="H186" t="str">
        <x:v>5A</x:v>
      </x:c>
      <x:c r="I186" t="str">
        <x:v>activo</x:v>
      </x:c>
      <x:c r="J186" t="str">
        <x:v>activa</x:v>
      </x:c>
      <x:c r="K186" t="n">
        <x:v>14.34</x:v>
      </x:c>
      <x:c r="L186" t="n">
        <x:v>0</x:v>
      </x:c>
      <x:c r="M186" t="n">
        <x:v>88.29</x:v>
      </x:c>
      <x:c r="N186" t="n">
        <x:v>7.86</x:v>
      </x:c>
      <x:c r="O186" t="n">
        <x:v>14.64</x:v>
      </x:c>
      <x:c r="P186" t="n">
        <x:v>12</x:v>
      </x:c>
      <x:c r="Q186" t="n">
        <x:v>10</x:v>
      </x:c>
      <x:c r="R186" t="str">
        <x:v>continua</x:v>
      </x:c>
      <x:c r="S186" s="24" t="b">
        <x:v>1</x:v>
      </x:c>
      <x:c r="T186" s="36" t="str">
        <x:v>2026-03-02</x:v>
      </x:c>
      <x:c r="U186" t="str">
        <x:v>968567832</x:v>
      </x:c>
    </x:row>
    <x:row r="187">
      <x:c r="A187" t="str">
        <x:v>EST-0186</x:v>
      </x:c>
      <x:c r="B187" t="str">
        <x:v>Mariana</x:v>
      </x:c>
      <x:c r="C187" t="str">
        <x:v>Zúñiga López</x:v>
      </x:c>
      <x:c r="D187" t="str">
        <x:v>80536000</x:v>
      </x:c>
      <x:c r="E187" t="str">
        <x:v>est0186@alumnos.blenkir.edu.pe</x:v>
      </x:c>
      <x:c r="F187" t="n">
        <x:v>5</x:v>
      </x:c>
      <x:c r="G187" t="str">
        <x:v>A</x:v>
      </x:c>
      <x:c r="H187" t="str">
        <x:v>5A</x:v>
      </x:c>
      <x:c r="I187" t="str">
        <x:v>activo</x:v>
      </x:c>
      <x:c r="J187" t="str">
        <x:v>activa</x:v>
      </x:c>
      <x:c r="K187" t="n">
        <x:v>14.71</x:v>
      </x:c>
      <x:c r="L187" t="n">
        <x:v>0</x:v>
      </x:c>
      <x:c r="M187" t="n">
        <x:v>90.14</x:v>
      </x:c>
      <x:c r="N187" t="n">
        <x:v>7.19</x:v>
      </x:c>
      <x:c r="O187" t="n">
        <x:v>11.16</x:v>
      </x:c>
      <x:c r="P187" t="n">
        <x:v>12</x:v>
      </x:c>
      <x:c r="Q187" t="n">
        <x:v>10</x:v>
      </x:c>
      <x:c r="R187" t="str">
        <x:v>continua</x:v>
      </x:c>
      <x:c r="S187" s="24" t="b">
        <x:v>1</x:v>
      </x:c>
      <x:c r="T187" s="36" t="str">
        <x:v>2026-03-02</x:v>
      </x:c>
      <x:c r="U187" t="str">
        <x:v>922114734</x:v>
      </x:c>
    </x:row>
    <x:row r="188">
      <x:c r="A188" t="str">
        <x:v>EST-0187</x:v>
      </x:c>
      <x:c r="B188" t="str">
        <x:v>Sofía</x:v>
      </x:c>
      <x:c r="C188" t="str">
        <x:v>Castro Torres</x:v>
      </x:c>
      <x:c r="D188" t="str">
        <x:v>89599977</x:v>
      </x:c>
      <x:c r="E188" t="str">
        <x:v>est0187@alumnos.blenkir.edu.pe</x:v>
      </x:c>
      <x:c r="F188" t="n">
        <x:v>5</x:v>
      </x:c>
      <x:c r="G188" t="str">
        <x:v>A</x:v>
      </x:c>
      <x:c r="H188" t="str">
        <x:v>5A</x:v>
      </x:c>
      <x:c r="I188" t="str">
        <x:v>activo</x:v>
      </x:c>
      <x:c r="J188" t="str">
        <x:v>activa</x:v>
      </x:c>
      <x:c r="K188" t="n">
        <x:v>12.48</x:v>
      </x:c>
      <x:c r="L188" t="n">
        <x:v>0</x:v>
      </x:c>
      <x:c r="M188" t="n">
        <x:v>91.39</x:v>
      </x:c>
      <x:c r="N188" t="n">
        <x:v>6.44</x:v>
      </x:c>
      <x:c r="O188" t="n">
        <x:v>11.07</x:v>
      </x:c>
      <x:c r="P188" t="n">
        <x:v>13</x:v>
      </x:c>
      <x:c r="Q188" t="n">
        <x:v>9</x:v>
      </x:c>
      <x:c r="R188" t="str">
        <x:v>continua</x:v>
      </x:c>
      <x:c r="S188" s="24" t="b">
        <x:v>1</x:v>
      </x:c>
      <x:c r="T188" s="36" t="str">
        <x:v>2026-03-02</x:v>
      </x:c>
      <x:c r="U188" t="str">
        <x:v>979458324</x:v>
      </x:c>
    </x:row>
    <x:row r="189">
      <x:c r="A189" t="str">
        <x:v>EST-0188</x:v>
      </x:c>
      <x:c r="B189" t="str">
        <x:v>Alejandro</x:v>
      </x:c>
      <x:c r="C189" t="str">
        <x:v>Gonzales Castillo</x:v>
      </x:c>
      <x:c r="D189" t="str">
        <x:v>85366929</x:v>
      </x:c>
      <x:c r="E189" t="str">
        <x:v>est0188@alumnos.blenkir.edu.pe</x:v>
      </x:c>
      <x:c r="F189" t="n">
        <x:v>5</x:v>
      </x:c>
      <x:c r="G189" t="str">
        <x:v>A</x:v>
      </x:c>
      <x:c r="H189" t="str">
        <x:v>5A</x:v>
      </x:c>
      <x:c r="I189" t="str">
        <x:v>activo</x:v>
      </x:c>
      <x:c r="J189" t="str">
        <x:v>activa</x:v>
      </x:c>
      <x:c r="K189" t="n">
        <x:v>11.89</x:v>
      </x:c>
      <x:c r="L189" t="n">
        <x:v>0</x:v>
      </x:c>
      <x:c r="M189" t="n">
        <x:v>84.29</x:v>
      </x:c>
      <x:c r="N189" t="n">
        <x:v>6.59</x:v>
      </x:c>
      <x:c r="O189" t="n">
        <x:v>13.05</x:v>
      </x:c>
      <x:c r="P189" t="n">
        <x:v>12</x:v>
      </x:c>
      <x:c r="Q189" t="n">
        <x:v>11</x:v>
      </x:c>
      <x:c r="R189" t="str">
        <x:v>continua</x:v>
      </x:c>
      <x:c r="S189" s="24" t="b">
        <x:v>1</x:v>
      </x:c>
      <x:c r="T189" s="36" t="str">
        <x:v>2026-03-02</x:v>
      </x:c>
      <x:c r="U189" t="str">
        <x:v>994286349</x:v>
      </x:c>
    </x:row>
    <x:row r="190">
      <x:c r="A190" t="str">
        <x:v>EST-0189</x:v>
      </x:c>
      <x:c r="B190" t="str">
        <x:v>Diego</x:v>
      </x:c>
      <x:c r="C190" t="str">
        <x:v>Pérez Mamani</x:v>
      </x:c>
      <x:c r="D190" t="str">
        <x:v>84052094</x:v>
      </x:c>
      <x:c r="E190" t="str">
        <x:v>est0189@alumnos.blenkir.edu.pe</x:v>
      </x:c>
      <x:c r="F190" t="n">
        <x:v>5</x:v>
      </x:c>
      <x:c r="G190" t="str">
        <x:v>A</x:v>
      </x:c>
      <x:c r="H190" t="str">
        <x:v>5A</x:v>
      </x:c>
      <x:c r="I190" t="str">
        <x:v>activo</x:v>
      </x:c>
      <x:c r="J190" t="str">
        <x:v>activa</x:v>
      </x:c>
      <x:c r="K190" t="n">
        <x:v>13.6</x:v>
      </x:c>
      <x:c r="L190" t="n">
        <x:v>0</x:v>
      </x:c>
      <x:c r="M190" t="n">
        <x:v>91.71</x:v>
      </x:c>
      <x:c r="N190" t="n">
        <x:v>8.42</x:v>
      </x:c>
      <x:c r="O190" t="n">
        <x:v>16.24</x:v>
      </x:c>
      <x:c r="P190" t="n">
        <x:v>16</x:v>
      </x:c>
      <x:c r="Q190" t="n">
        <x:v>10</x:v>
      </x:c>
      <x:c r="R190" t="str">
        <x:v>continua</x:v>
      </x:c>
      <x:c r="S190" s="24" t="b">
        <x:v>1</x:v>
      </x:c>
      <x:c r="T190" s="36" t="str">
        <x:v>2026-03-02</x:v>
      </x:c>
      <x:c r="U190" t="str">
        <x:v>922654374</x:v>
      </x:c>
    </x:row>
    <x:row r="191">
      <x:c r="A191" t="str">
        <x:v>EST-0190</x:v>
      </x:c>
      <x:c r="B191" t="str">
        <x:v>Héctor</x:v>
      </x:c>
      <x:c r="C191" t="str">
        <x:v>Valdivia Vargas</x:v>
      </x:c>
      <x:c r="D191" t="str">
        <x:v>85557467</x:v>
      </x:c>
      <x:c r="E191" t="str">
        <x:v>est0190@alumnos.blenkir.edu.pe</x:v>
      </x:c>
      <x:c r="F191" t="n">
        <x:v>5</x:v>
      </x:c>
      <x:c r="G191" t="str">
        <x:v>A</x:v>
      </x:c>
      <x:c r="H191" t="str">
        <x:v>5A</x:v>
      </x:c>
      <x:c r="I191" t="str">
        <x:v>activo</x:v>
      </x:c>
      <x:c r="J191" t="str">
        <x:v>activa</x:v>
      </x:c>
      <x:c r="K191" t="n">
        <x:v>14.55</x:v>
      </x:c>
      <x:c r="L191" t="n">
        <x:v>0</x:v>
      </x:c>
      <x:c r="M191" t="n">
        <x:v>97.69</x:v>
      </x:c>
      <x:c r="N191" t="n">
        <x:v>9.25</x:v>
      </x:c>
      <x:c r="O191" t="n">
        <x:v>18.42</x:v>
      </x:c>
      <x:c r="P191" t="n">
        <x:v>16</x:v>
      </x:c>
      <x:c r="Q191" t="n">
        <x:v>13</x:v>
      </x:c>
      <x:c r="R191" t="str">
        <x:v>continua</x:v>
      </x:c>
      <x:c r="S191" s="24" t="b">
        <x:v>1</x:v>
      </x:c>
      <x:c r="T191" s="36" t="str">
        <x:v>2026-03-02</x:v>
      </x:c>
      <x:c r="U191" t="str">
        <x:v>986947292</x:v>
      </x:c>
    </x:row>
    <x:row r="192">
      <x:c r="A192" t="str">
        <x:v>EST-0191</x:v>
      </x:c>
      <x:c r="B192" t="str">
        <x:v>Leonardo</x:v>
      </x:c>
      <x:c r="C192" t="str">
        <x:v>Bendezú Castro</x:v>
      </x:c>
      <x:c r="D192" t="str">
        <x:v>88774055</x:v>
      </x:c>
      <x:c r="E192" t="str">
        <x:v>est0191@alumnos.blenkir.edu.pe</x:v>
      </x:c>
      <x:c r="F192" t="n">
        <x:v>5</x:v>
      </x:c>
      <x:c r="G192" t="str">
        <x:v>A</x:v>
      </x:c>
      <x:c r="H192" t="str">
        <x:v>5A</x:v>
      </x:c>
      <x:c r="I192" t="str">
        <x:v>activo</x:v>
      </x:c>
      <x:c r="J192" t="str">
        <x:v>activa</x:v>
      </x:c>
      <x:c r="K192" t="n">
        <x:v>16.82</x:v>
      </x:c>
      <x:c r="L192" t="n">
        <x:v>0</x:v>
      </x:c>
      <x:c r="M192" t="n">
        <x:v>93.16</x:v>
      </x:c>
      <x:c r="N192" t="n">
        <x:v>8.23</x:v>
      </x:c>
      <x:c r="O192" t="n">
        <x:v>15.37</x:v>
      </x:c>
      <x:c r="P192" t="n">
        <x:v>16</x:v>
      </x:c>
      <x:c r="Q192" t="n">
        <x:v>12</x:v>
      </x:c>
      <x:c r="R192" t="str">
        <x:v>continua</x:v>
      </x:c>
      <x:c r="S192" s="24" t="b">
        <x:v>1</x:v>
      </x:c>
      <x:c r="T192" s="36" t="str">
        <x:v>2026-03-02</x:v>
      </x:c>
      <x:c r="U192" t="str">
        <x:v>910872331</x:v>
      </x:c>
    </x:row>
    <x:row r="193">
      <x:c r="A193" t="str">
        <x:v>EST-0192</x:v>
      </x:c>
      <x:c r="B193" t="str">
        <x:v>Rafael</x:v>
      </x:c>
      <x:c r="C193" t="str">
        <x:v>Dávila Medina</x:v>
      </x:c>
      <x:c r="D193" t="str">
        <x:v>70698100</x:v>
      </x:c>
      <x:c r="E193" t="str">
        <x:v>est0192@alumnos.blenkir.edu.pe</x:v>
      </x:c>
      <x:c r="F193" t="n">
        <x:v>5</x:v>
      </x:c>
      <x:c r="G193" t="str">
        <x:v>A</x:v>
      </x:c>
      <x:c r="H193" t="str">
        <x:v>5A</x:v>
      </x:c>
      <x:c r="I193" t="str">
        <x:v>retirado</x:v>
      </x:c>
      <x:c r="J193" t="str">
        <x:v>trasladada</x:v>
      </x:c>
      <x:c r="K193" t="n">
        <x:v>13.31</x:v>
      </x:c>
      <x:c r="L193" t="n">
        <x:v>0</x:v>
      </x:c>
      <x:c r="M193" t="n">
        <x:v>97.38</x:v>
      </x:c>
      <x:c r="N193" t="n">
        <x:v>7.36</x:v>
      </x:c>
      <x:c r="O193" t="n">
        <x:v>16.38</x:v>
      </x:c>
      <x:c r="P193" t="n">
        <x:v>15</x:v>
      </x:c>
      <x:c r="Q193" t="n">
        <x:v>12</x:v>
      </x:c>
      <x:c r="R193" t="str">
        <x:v>trasladada</x:v>
      </x:c>
      <x:c r="S193" s="24" t="b">
        <x:v>1</x:v>
      </x:c>
      <x:c r="T193" s="36" t="str">
        <x:v>2026-03-02</x:v>
      </x:c>
      <x:c r="U193" t="str">
        <x:v>989889979</x:v>
      </x:c>
    </x:row>
    <x:row r="194">
      <x:c r="A194" t="str">
        <x:v>EST-0193</x:v>
      </x:c>
      <x:c r="B194" t="str">
        <x:v>Ariana</x:v>
      </x:c>
      <x:c r="C194" t="str">
        <x:v>Mamani Vargas</x:v>
      </x:c>
      <x:c r="D194" t="str">
        <x:v>79477097</x:v>
      </x:c>
      <x:c r="E194" t="str">
        <x:v>est0193@alumnos.blenkir.edu.pe</x:v>
      </x:c>
      <x:c r="F194" t="n">
        <x:v>5</x:v>
      </x:c>
      <x:c r="G194" t="str">
        <x:v>A</x:v>
      </x:c>
      <x:c r="H194" t="str">
        <x:v>5A</x:v>
      </x:c>
      <x:c r="I194" t="str">
        <x:v>activo</x:v>
      </x:c>
      <x:c r="J194" t="str">
        <x:v>activa</x:v>
      </x:c>
      <x:c r="K194" t="n">
        <x:v>14.84</x:v>
      </x:c>
      <x:c r="L194" t="n">
        <x:v>0</x:v>
      </x:c>
      <x:c r="M194" t="n">
        <x:v>97.76</x:v>
      </x:c>
      <x:c r="N194" t="n">
        <x:v>7.9</x:v>
      </x:c>
      <x:c r="O194" t="n">
        <x:v>14.26</x:v>
      </x:c>
      <x:c r="P194" t="n">
        <x:v>16</x:v>
      </x:c>
      <x:c r="Q194" t="n">
        <x:v>10</x:v>
      </x:c>
      <x:c r="R194" t="str">
        <x:v>continua</x:v>
      </x:c>
      <x:c r="S194" s="24" t="b">
        <x:v>1</x:v>
      </x:c>
      <x:c r="T194" s="36" t="str">
        <x:v>2026-03-02</x:v>
      </x:c>
      <x:c r="U194" t="str">
        <x:v>931880866</x:v>
      </x:c>
    </x:row>
    <x:row r="195">
      <x:c r="A195" t="str">
        <x:v>EST-0194</x:v>
      </x:c>
      <x:c r="B195" t="str">
        <x:v>Gabriela</x:v>
      </x:c>
      <x:c r="C195" t="str">
        <x:v>Romero Chávez</x:v>
      </x:c>
      <x:c r="D195" t="str">
        <x:v>76622311</x:v>
      </x:c>
      <x:c r="E195" t="str">
        <x:v>est0194@alumnos.blenkir.edu.pe</x:v>
      </x:c>
      <x:c r="F195" t="n">
        <x:v>5</x:v>
      </x:c>
      <x:c r="G195" t="str">
        <x:v>A</x:v>
      </x:c>
      <x:c r="H195" t="str">
        <x:v>5A</x:v>
      </x:c>
      <x:c r="I195" t="str">
        <x:v>activo</x:v>
      </x:c>
      <x:c r="J195" t="str">
        <x:v>activa</x:v>
      </x:c>
      <x:c r="K195" t="n">
        <x:v>14.28</x:v>
      </x:c>
      <x:c r="L195" t="n">
        <x:v>0</x:v>
      </x:c>
      <x:c r="M195" t="n">
        <x:v>86.82</x:v>
      </x:c>
      <x:c r="N195" t="n">
        <x:v>9.48</x:v>
      </x:c>
      <x:c r="O195" t="n">
        <x:v>16.16</x:v>
      </x:c>
      <x:c r="P195" t="n">
        <x:v>15</x:v>
      </x:c>
      <x:c r="Q195" t="n">
        <x:v>11</x:v>
      </x:c>
      <x:c r="R195" t="str">
        <x:v>continua</x:v>
      </x:c>
      <x:c r="S195" s="24" t="b">
        <x:v>1</x:v>
      </x:c>
      <x:c r="T195" s="36" t="str">
        <x:v>2026-03-02</x:v>
      </x:c>
      <x:c r="U195" t="str">
        <x:v>968077488</x:v>
      </x:c>
    </x:row>
    <x:row r="196">
      <x:c r="A196" t="str">
        <x:v>EST-0195</x:v>
      </x:c>
      <x:c r="B196" t="str">
        <x:v>Nicole</x:v>
      </x:c>
      <x:c r="C196" t="str">
        <x:v>Yupanqui Mendoza</x:v>
      </x:c>
      <x:c r="D196" t="str">
        <x:v>89927149</x:v>
      </x:c>
      <x:c r="E196" t="str">
        <x:v>est0195@alumnos.blenkir.edu.pe</x:v>
      </x:c>
      <x:c r="F196" t="n">
        <x:v>5</x:v>
      </x:c>
      <x:c r="G196" t="str">
        <x:v>A</x:v>
      </x:c>
      <x:c r="H196" t="str">
        <x:v>5A</x:v>
      </x:c>
      <x:c r="I196" t="str">
        <x:v>activo</x:v>
      </x:c>
      <x:c r="J196" t="str">
        <x:v>activa</x:v>
      </x:c>
      <x:c r="K196" t="n">
        <x:v>14.75</x:v>
      </x:c>
      <x:c r="L196" t="n">
        <x:v>0</x:v>
      </x:c>
      <x:c r="M196" t="n">
        <x:v>92.96</x:v>
      </x:c>
      <x:c r="N196" t="n">
        <x:v>7.33</x:v>
      </x:c>
      <x:c r="O196" t="n">
        <x:v>14.35</x:v>
      </x:c>
      <x:c r="P196" t="n">
        <x:v>14</x:v>
      </x:c>
      <x:c r="Q196" t="n">
        <x:v>9</x:v>
      </x:c>
      <x:c r="R196" t="str">
        <x:v>continua</x:v>
      </x:c>
      <x:c r="S196" s="24" t="b">
        <x:v>1</x:v>
      </x:c>
      <x:c r="T196" s="36" t="str">
        <x:v>2026-03-02</x:v>
      </x:c>
      <x:c r="U196" t="str">
        <x:v>945582712</x:v>
      </x:c>
    </x:row>
    <x:row r="197">
      <x:c r="A197" t="str">
        <x:v>EST-0196</x:v>
      </x:c>
      <x:c r="B197" t="str">
        <x:v>Ximena</x:v>
      </x:c>
      <x:c r="C197" t="str">
        <x:v>Castillo Vásquez</x:v>
      </x:c>
      <x:c r="D197" t="str">
        <x:v>78947883</x:v>
      </x:c>
      <x:c r="E197" t="str">
        <x:v>est0196@alumnos.blenkir.edu.pe</x:v>
      </x:c>
      <x:c r="F197" t="n">
        <x:v>5</x:v>
      </x:c>
      <x:c r="G197" t="str">
        <x:v>B</x:v>
      </x:c>
      <x:c r="H197" t="str">
        <x:v>5B</x:v>
      </x:c>
      <x:c r="I197" t="str">
        <x:v>activo</x:v>
      </x:c>
      <x:c r="J197" t="str">
        <x:v>activa</x:v>
      </x:c>
      <x:c r="K197" t="n">
        <x:v>13.12</x:v>
      </x:c>
      <x:c r="L197" t="n">
        <x:v>0</x:v>
      </x:c>
      <x:c r="M197" t="n">
        <x:v>94.08</x:v>
      </x:c>
      <x:c r="N197" t="n">
        <x:v>6.45</x:v>
      </x:c>
      <x:c r="O197" t="n">
        <x:v>13.9</x:v>
      </x:c>
      <x:c r="P197" t="n">
        <x:v>14</x:v>
      </x:c>
      <x:c r="Q197" t="n">
        <x:v>13</x:v>
      </x:c>
      <x:c r="R197" t="str">
        <x:v>continua</x:v>
      </x:c>
      <x:c r="S197" s="24" t="b">
        <x:v>1</x:v>
      </x:c>
      <x:c r="T197" s="36" t="str">
        <x:v>2026-03-02</x:v>
      </x:c>
      <x:c r="U197" t="str">
        <x:v>990026952</x:v>
      </x:c>
    </x:row>
    <x:row r="198">
      <x:c r="A198" t="str">
        <x:v>EST-0197</x:v>
      </x:c>
      <x:c r="B198" t="str">
        <x:v>Carlos</x:v>
      </x:c>
      <x:c r="C198" t="str">
        <x:v>Gómez Condori</x:v>
      </x:c>
      <x:c r="D198" t="str">
        <x:v>83314631</x:v>
      </x:c>
      <x:c r="E198" t="str">
        <x:v>est0197@alumnos.blenkir.edu.pe</x:v>
      </x:c>
      <x:c r="F198" t="n">
        <x:v>5</x:v>
      </x:c>
      <x:c r="G198" t="str">
        <x:v>B</x:v>
      </x:c>
      <x:c r="H198" t="str">
        <x:v>5B</x:v>
      </x:c>
      <x:c r="I198" t="str">
        <x:v>activo</x:v>
      </x:c>
      <x:c r="J198" t="str">
        <x:v>activa</x:v>
      </x:c>
      <x:c r="K198" t="n">
        <x:v>14.32</x:v>
      </x:c>
      <x:c r="L198" t="n">
        <x:v>0</x:v>
      </x:c>
      <x:c r="M198" t="n">
        <x:v>90.5</x:v>
      </x:c>
      <x:c r="N198" t="n">
        <x:v>7.23</x:v>
      </x:c>
      <x:c r="O198" t="n">
        <x:v>14.19</x:v>
      </x:c>
      <x:c r="P198" t="n">
        <x:v>16</x:v>
      </x:c>
      <x:c r="Q198" t="n">
        <x:v>10</x:v>
      </x:c>
      <x:c r="R198" t="str">
        <x:v>continua</x:v>
      </x:c>
      <x:c r="S198" s="24" t="b">
        <x:v>1</x:v>
      </x:c>
      <x:c r="T198" s="36" t="str">
        <x:v>2026-03-02</x:v>
      </x:c>
      <x:c r="U198" t="str">
        <x:v>916182635</x:v>
      </x:c>
    </x:row>
    <x:row r="199">
      <x:c r="A199" t="str">
        <x:v>EST-0198</x:v>
      </x:c>
      <x:c r="B199" t="str">
        <x:v>Fernando</x:v>
      </x:c>
      <x:c r="C199" t="str">
        <x:v>Paredes Morales</x:v>
      </x:c>
      <x:c r="D199" t="str">
        <x:v>89770035</x:v>
      </x:c>
      <x:c r="E199" t="str">
        <x:v>est0198@alumnos.blenkir.edu.pe</x:v>
      </x:c>
      <x:c r="F199" t="n">
        <x:v>5</x:v>
      </x:c>
      <x:c r="G199" t="str">
        <x:v>B</x:v>
      </x:c>
      <x:c r="H199" t="str">
        <x:v>5B</x:v>
      </x:c>
      <x:c r="I199" t="str">
        <x:v>activo</x:v>
      </x:c>
      <x:c r="J199" t="str">
        <x:v>activa</x:v>
      </x:c>
      <x:c r="K199" t="n">
        <x:v>13.44</x:v>
      </x:c>
      <x:c r="L199" t="n">
        <x:v>0</x:v>
      </x:c>
      <x:c r="M199" t="n">
        <x:v>89.91</x:v>
      </x:c>
      <x:c r="N199" t="n">
        <x:v>4.18</x:v>
      </x:c>
      <x:c r="O199" t="n">
        <x:v>10.01</x:v>
      </x:c>
      <x:c r="P199" t="n">
        <x:v>10</x:v>
      </x:c>
      <x:c r="Q199" t="n">
        <x:v>8</x:v>
      </x:c>
      <x:c r="R199" t="str">
        <x:v>continua</x:v>
      </x:c>
      <x:c r="S199" s="24" t="b">
        <x:v>1</x:v>
      </x:c>
      <x:c r="T199" s="36" t="str">
        <x:v>2026-03-02</x:v>
      </x:c>
      <x:c r="U199" t="str">
        <x:v>939864229</x:v>
      </x:c>
    </x:row>
    <x:row r="200">
      <x:c r="A200" t="str">
        <x:v>EST-0199</x:v>
      </x:c>
      <x:c r="B200" t="str">
        <x:v>Joaquín</x:v>
      </x:c>
      <x:c r="C200" t="str">
        <x:v>Torres Vega</x:v>
      </x:c>
      <x:c r="D200" t="str">
        <x:v>74002505</x:v>
      </x:c>
      <x:c r="E200" t="str">
        <x:v>est0199@alumnos.blenkir.edu.pe</x:v>
      </x:c>
      <x:c r="F200" t="n">
        <x:v>5</x:v>
      </x:c>
      <x:c r="G200" t="str">
        <x:v>B</x:v>
      </x:c>
      <x:c r="H200" t="str">
        <x:v>5B</x:v>
      </x:c>
      <x:c r="I200" t="str">
        <x:v>activo</x:v>
      </x:c>
      <x:c r="J200" t="str">
        <x:v>activa</x:v>
      </x:c>
      <x:c r="K200" t="n">
        <x:v>14.24</x:v>
      </x:c>
      <x:c r="L200" t="n">
        <x:v>0</x:v>
      </x:c>
      <x:c r="M200" t="n">
        <x:v>93.53</x:v>
      </x:c>
      <x:c r="N200" t="n">
        <x:v>5.33</x:v>
      </x:c>
      <x:c r="O200" t="n">
        <x:v>12</x:v>
      </x:c>
      <x:c r="P200" t="n">
        <x:v>11</x:v>
      </x:c>
      <x:c r="Q200" t="n">
        <x:v>10</x:v>
      </x:c>
      <x:c r="R200" t="str">
        <x:v>continua</x:v>
      </x:c>
      <x:c r="S200" s="24" t="b">
        <x:v>1</x:v>
      </x:c>
      <x:c r="T200" s="36" t="str">
        <x:v>2026-03-02</x:v>
      </x:c>
      <x:c r="U200" t="str">
        <x:v>969306896</x:v>
      </x:c>
    </x:row>
    <x:row r="201">
      <x:c r="A201" t="str">
        <x:v>EST-0200</x:v>
      </x:c>
      <x:c r="B201" t="str">
        <x:v>Matías</x:v>
      </x:c>
      <x:c r="C201" t="str">
        <x:v>Arias Contreras</x:v>
      </x:c>
      <x:c r="D201" t="str">
        <x:v>83791903</x:v>
      </x:c>
      <x:c r="E201" t="str">
        <x:v>est0200@alumnos.blenkir.edu.pe</x:v>
      </x:c>
      <x:c r="F201" t="n">
        <x:v>5</x:v>
      </x:c>
      <x:c r="G201" t="str">
        <x:v>B</x:v>
      </x:c>
      <x:c r="H201" t="str">
        <x:v>5B</x:v>
      </x:c>
      <x:c r="I201" t="str">
        <x:v>activo</x:v>
      </x:c>
      <x:c r="J201" t="str">
        <x:v>activa</x:v>
      </x:c>
      <x:c r="K201" t="n">
        <x:v>17.52</x:v>
      </x:c>
      <x:c r="L201" t="n">
        <x:v>0</x:v>
      </x:c>
      <x:c r="M201" t="n">
        <x:v>91.76</x:v>
      </x:c>
      <x:c r="N201" t="n">
        <x:v>7.73</x:v>
      </x:c>
      <x:c r="O201" t="n">
        <x:v>14.67</x:v>
      </x:c>
      <x:c r="P201" t="n">
        <x:v>17</x:v>
      </x:c>
      <x:c r="Q201" t="n">
        <x:v>14</x:v>
      </x:c>
      <x:c r="R201" t="str">
        <x:v>continua</x:v>
      </x:c>
      <x:c r="S201" s="24" t="b">
        <x:v>1</x:v>
      </x:c>
      <x:c r="T201" s="36" t="str">
        <x:v>2026-03-02</x:v>
      </x:c>
      <x:c r="U201" t="str">
        <x:v>977249126</x:v>
      </x:c>
    </x:row>
    <x:row r="202">
      <x:c r="A202" t="str">
        <x:v>EST-0201</x:v>
      </x:c>
      <x:c r="B202" t="str">
        <x:v>Sebastián</x:v>
      </x:c>
      <x:c r="C202" t="str">
        <x:v>Córdova Navarro</x:v>
      </x:c>
      <x:c r="D202" t="str">
        <x:v>72272555</x:v>
      </x:c>
      <x:c r="E202" t="str">
        <x:v>est0201@alumnos.blenkir.edu.pe</x:v>
      </x:c>
      <x:c r="F202" t="n">
        <x:v>5</x:v>
      </x:c>
      <x:c r="G202" t="str">
        <x:v>B</x:v>
      </x:c>
      <x:c r="H202" t="str">
        <x:v>5B</x:v>
      </x:c>
      <x:c r="I202" t="str">
        <x:v>activo</x:v>
      </x:c>
      <x:c r="J202" t="str">
        <x:v>activa</x:v>
      </x:c>
      <x:c r="K202" t="n">
        <x:v>14.65</x:v>
      </x:c>
      <x:c r="L202" t="n">
        <x:v>0</x:v>
      </x:c>
      <x:c r="M202" t="n">
        <x:v>93.61</x:v>
      </x:c>
      <x:c r="N202" t="n">
        <x:v>8.61</x:v>
      </x:c>
      <x:c r="O202" t="n">
        <x:v>16.1</x:v>
      </x:c>
      <x:c r="P202" t="n">
        <x:v>14</x:v>
      </x:c>
      <x:c r="Q202" t="n">
        <x:v>11</x:v>
      </x:c>
      <x:c r="R202" t="str">
        <x:v>continua</x:v>
      </x:c>
      <x:c r="S202" s="24" t="b">
        <x:v>1</x:v>
      </x:c>
      <x:c r="T202" s="36" t="str">
        <x:v>2026-03-02</x:v>
      </x:c>
      <x:c r="U202" t="str">
        <x:v>955760981</x:v>
      </x:c>
    </x:row>
    <x:row r="203">
      <x:c r="A203" t="str">
        <x:v>EST-0202</x:v>
      </x:c>
      <x:c r="B203" t="str">
        <x:v>Daniela</x:v>
      </x:c>
      <x:c r="C203" t="str">
        <x:v>López Velásquez</x:v>
      </x:c>
      <x:c r="D203" t="str">
        <x:v>76707895</x:v>
      </x:c>
      <x:c r="E203" t="str">
        <x:v>est0202@alumnos.blenkir.edu.pe</x:v>
      </x:c>
      <x:c r="F203" t="n">
        <x:v>5</x:v>
      </x:c>
      <x:c r="G203" t="str">
        <x:v>B</x:v>
      </x:c>
      <x:c r="H203" t="str">
        <x:v>5B</x:v>
      </x:c>
      <x:c r="I203" t="str">
        <x:v>activo</x:v>
      </x:c>
      <x:c r="J203" t="str">
        <x:v>activa</x:v>
      </x:c>
      <x:c r="K203" t="n">
        <x:v>17.99</x:v>
      </x:c>
      <x:c r="L203" t="n">
        <x:v>0</x:v>
      </x:c>
      <x:c r="M203" t="n">
        <x:v>94.94</x:v>
      </x:c>
      <x:c r="N203" t="n">
        <x:v>9.3</x:v>
      </x:c>
      <x:c r="O203" t="n">
        <x:v>20.85</x:v>
      </x:c>
      <x:c r="P203" t="n">
        <x:v>16</x:v>
      </x:c>
      <x:c r="Q203" t="n">
        <x:v>12</x:v>
      </x:c>
      <x:c r="R203" t="str">
        <x:v>continua</x:v>
      </x:c>
      <x:c r="S203" s="24" t="b">
        <x:v>1</x:v>
      </x:c>
      <x:c r="T203" s="36" t="str">
        <x:v>2026-03-02</x:v>
      </x:c>
      <x:c r="U203" t="str">
        <x:v>985145281</x:v>
      </x:c>
    </x:row>
    <x:row r="204">
      <x:c r="A204" t="str">
        <x:v>EST-0203</x:v>
      </x:c>
      <x:c r="B204" t="str">
        <x:v>Luciana</x:v>
      </x:c>
      <x:c r="C204" t="str">
        <x:v>Rojas Córdova</x:v>
      </x:c>
      <x:c r="D204" t="str">
        <x:v>89108283</x:v>
      </x:c>
      <x:c r="E204" t="str">
        <x:v>est0203@alumnos.blenkir.edu.pe</x:v>
      </x:c>
      <x:c r="F204" t="n">
        <x:v>5</x:v>
      </x:c>
      <x:c r="G204" t="str">
        <x:v>B</x:v>
      </x:c>
      <x:c r="H204" t="str">
        <x:v>5B</x:v>
      </x:c>
      <x:c r="I204" t="str">
        <x:v>retirado</x:v>
      </x:c>
      <x:c r="J204" t="str">
        <x:v>trasladada</x:v>
      </x:c>
      <x:c r="K204" t="n">
        <x:v>15.65</x:v>
      </x:c>
      <x:c r="L204" t="n">
        <x:v>0</x:v>
      </x:c>
      <x:c r="M204" t="n">
        <x:v>87.2</x:v>
      </x:c>
      <x:c r="N204" t="n">
        <x:v>8.79</x:v>
      </x:c>
      <x:c r="O204" t="n">
        <x:v>14.08</x:v>
      </x:c>
      <x:c r="P204" t="n">
        <x:v>17</x:v>
      </x:c>
      <x:c r="Q204" t="n">
        <x:v>12</x:v>
      </x:c>
      <x:c r="R204" t="str">
        <x:v>trasladada</x:v>
      </x:c>
      <x:c r="S204" s="24" t="b">
        <x:v>1</x:v>
      </x:c>
      <x:c r="T204" s="36" t="str">
        <x:v>2026-03-02</x:v>
      </x:c>
      <x:c r="U204" t="str">
        <x:v>934765951</x:v>
      </x:c>
    </x:row>
    <x:row r="205">
      <x:c r="A205" t="str">
        <x:v>EST-0204</x:v>
      </x:c>
      <x:c r="B205" t="str">
        <x:v>Romina</x:v>
      </x:c>
      <x:c r="C205" t="str">
        <x:v>Velásquez Paredes</x:v>
      </x:c>
      <x:c r="D205" t="str">
        <x:v>70546057</x:v>
      </x:c>
      <x:c r="E205" t="str">
        <x:v>est0204@alumnos.blenkir.edu.pe</x:v>
      </x:c>
      <x:c r="F205" t="n">
        <x:v>5</x:v>
      </x:c>
      <x:c r="G205" t="str">
        <x:v>B</x:v>
      </x:c>
      <x:c r="H205" t="str">
        <x:v>5B</x:v>
      </x:c>
      <x:c r="I205" t="str">
        <x:v>activo</x:v>
      </x:c>
      <x:c r="J205" t="str">
        <x:v>activa</x:v>
      </x:c>
      <x:c r="K205" t="n">
        <x:v>16.72</x:v>
      </x:c>
      <x:c r="L205" t="n">
        <x:v>0</x:v>
      </x:c>
      <x:c r="M205" t="n">
        <x:v>94.82</x:v>
      </x:c>
      <x:c r="N205" t="n">
        <x:v>9.17</x:v>
      </x:c>
      <x:c r="O205" t="n">
        <x:v>17.27</x:v>
      </x:c>
      <x:c r="P205" t="n">
        <x:v>14</x:v>
      </x:c>
      <x:c r="Q205" t="n">
        <x:v>11</x:v>
      </x:c>
      <x:c r="R205" t="str">
        <x:v>continua</x:v>
      </x:c>
      <x:c r="S205" s="24" t="b">
        <x:v>1</x:v>
      </x:c>
      <x:c r="T205" s="36" t="str">
        <x:v>2026-03-02</x:v>
      </x:c>
      <x:c r="U205" t="str">
        <x:v>979114201</x:v>
      </x:c>
    </x:row>
    <x:row r="206">
      <x:c r="A206" t="str">
        <x:v>EST-0205</x:v>
      </x:c>
      <x:c r="B206" t="str">
        <x:v>Adrián</x:v>
      </x:c>
      <x:c r="C206" t="str">
        <x:v>Carrasco Yupanqui</x:v>
      </x:c>
      <x:c r="D206" t="str">
        <x:v>75941050</x:v>
      </x:c>
      <x:c r="E206" t="str">
        <x:v>est0205@alumnos.blenkir.edu.pe</x:v>
      </x:c>
      <x:c r="F206" t="n">
        <x:v>5</x:v>
      </x:c>
      <x:c r="G206" t="str">
        <x:v>B</x:v>
      </x:c>
      <x:c r="H206" t="str">
        <x:v>5B</x:v>
      </x:c>
      <x:c r="I206" t="str">
        <x:v>activo</x:v>
      </x:c>
      <x:c r="J206" t="str">
        <x:v>activa</x:v>
      </x:c>
      <x:c r="K206" t="n">
        <x:v>14.78</x:v>
      </x:c>
      <x:c r="L206" t="n">
        <x:v>0</x:v>
      </x:c>
      <x:c r="M206" t="n">
        <x:v>93.31</x:v>
      </x:c>
      <x:c r="N206" t="n">
        <x:v>5.75</x:v>
      </x:c>
      <x:c r="O206" t="n">
        <x:v>13.9</x:v>
      </x:c>
      <x:c r="P206" t="n">
        <x:v>11</x:v>
      </x:c>
      <x:c r="Q206" t="n">
        <x:v>11</x:v>
      </x:c>
      <x:c r="R206" t="str">
        <x:v>continua</x:v>
      </x:c>
      <x:c r="S206" s="24" t="b">
        <x:v>1</x:v>
      </x:c>
      <x:c r="T206" s="36" t="str">
        <x:v>2026-03-02</x:v>
      </x:c>
      <x:c r="U206" t="str">
        <x:v>971990167</x:v>
      </x:c>
    </x:row>
    <x:row r="207">
      <x:c r="A207" t="str">
        <x:v>EST-0206</x:v>
      </x:c>
      <x:c r="B207" t="str">
        <x:v>David</x:v>
      </x:c>
      <x:c r="C207" t="str">
        <x:v>García Dávila</x:v>
      </x:c>
      <x:c r="D207" t="str">
        <x:v>77346327</x:v>
      </x:c>
      <x:c r="E207" t="str">
        <x:v>est0206@alumnos.blenkir.edu.pe</x:v>
      </x:c>
      <x:c r="F207" t="n">
        <x:v>5</x:v>
      </x:c>
      <x:c r="G207" t="str">
        <x:v>B</x:v>
      </x:c>
      <x:c r="H207" t="str">
        <x:v>5B</x:v>
      </x:c>
      <x:c r="I207" t="str">
        <x:v>activo</x:v>
      </x:c>
      <x:c r="J207" t="str">
        <x:v>activa</x:v>
      </x:c>
      <x:c r="K207" t="n">
        <x:v>17.61</x:v>
      </x:c>
      <x:c r="L207" t="n">
        <x:v>0</x:v>
      </x:c>
      <x:c r="M207" t="n">
        <x:v>88.68</x:v>
      </x:c>
      <x:c r="N207" t="n">
        <x:v>7.02</x:v>
      </x:c>
      <x:c r="O207" t="n">
        <x:v>13.17</x:v>
      </x:c>
      <x:c r="P207" t="n">
        <x:v>13</x:v>
      </x:c>
      <x:c r="Q207" t="n">
        <x:v>8</x:v>
      </x:c>
      <x:c r="R207" t="str">
        <x:v>continua</x:v>
      </x:c>
      <x:c r="S207" s="24" t="b">
        <x:v>1</x:v>
      </x:c>
      <x:c r="T207" s="36" t="str">
        <x:v>2026-03-02</x:v>
      </x:c>
      <x:c r="U207" t="str">
        <x:v>994124591</x:v>
      </x:c>
    </x:row>
    <x:row r="208">
      <x:c r="A208" t="str">
        <x:v>EST-0207</x:v>
      </x:c>
      <x:c r="B208" t="str">
        <x:v>Gonzalo</x:v>
      </x:c>
      <x:c r="C208" t="str">
        <x:v>Navarro Pérez</x:v>
      </x:c>
      <x:c r="D208" t="str">
        <x:v>85850851</x:v>
      </x:c>
      <x:c r="E208" t="str">
        <x:v>est0207@alumnos.blenkir.edu.pe</x:v>
      </x:c>
      <x:c r="F208" t="n">
        <x:v>5</x:v>
      </x:c>
      <x:c r="G208" t="str">
        <x:v>C</x:v>
      </x:c>
      <x:c r="H208" t="str">
        <x:v>5C</x:v>
      </x:c>
      <x:c r="I208" t="str">
        <x:v>activo</x:v>
      </x:c>
      <x:c r="J208" t="str">
        <x:v>activa</x:v>
      </x:c>
      <x:c r="K208" t="n">
        <x:v>14.92</x:v>
      </x:c>
      <x:c r="L208" t="n">
        <x:v>0</x:v>
      </x:c>
      <x:c r="M208" t="n">
        <x:v>90.4</x:v>
      </x:c>
      <x:c r="N208" t="n">
        <x:v>4.84</x:v>
      </x:c>
      <x:c r="O208" t="n">
        <x:v>8.77</x:v>
      </x:c>
      <x:c r="P208" t="n">
        <x:v>12</x:v>
      </x:c>
      <x:c r="Q208" t="n">
        <x:v>7</x:v>
      </x:c>
      <x:c r="R208" t="str">
        <x:v>continua</x:v>
      </x:c>
      <x:c r="S208" s="24" t="b">
        <x:v>1</x:v>
      </x:c>
      <x:c r="T208" s="36" t="str">
        <x:v>2026-03-02</x:v>
      </x:c>
      <x:c r="U208" t="str">
        <x:v>966848436</x:v>
      </x:c>
    </x:row>
    <x:row r="209">
      <x:c r="A209" t="str">
        <x:v>EST-0208</x:v>
      </x:c>
      <x:c r="B209" t="str">
        <x:v>Juan</x:v>
      </x:c>
      <x:c r="C209" t="str">
        <x:v>Soto Zúñiga</x:v>
      </x:c>
      <x:c r="D209" t="str">
        <x:v>82415940</x:v>
      </x:c>
      <x:c r="E209" t="str">
        <x:v>est0208@alumnos.blenkir.edu.pe</x:v>
      </x:c>
      <x:c r="F209" t="n">
        <x:v>5</x:v>
      </x:c>
      <x:c r="G209" t="str">
        <x:v>C</x:v>
      </x:c>
      <x:c r="H209" t="str">
        <x:v>5C</x:v>
      </x:c>
      <x:c r="I209" t="str">
        <x:v>activo</x:v>
      </x:c>
      <x:c r="J209" t="str">
        <x:v>activa</x:v>
      </x:c>
      <x:c r="K209" t="n">
        <x:v>14.79</x:v>
      </x:c>
      <x:c r="L209" t="n">
        <x:v>0</x:v>
      </x:c>
      <x:c r="M209" t="n">
        <x:v>99.5</x:v>
      </x:c>
      <x:c r="N209" t="n">
        <x:v>6.3</x:v>
      </x:c>
      <x:c r="O209" t="n">
        <x:v>12.88</x:v>
      </x:c>
      <x:c r="P209" t="n">
        <x:v>14</x:v>
      </x:c>
      <x:c r="Q209" t="n">
        <x:v>10</x:v>
      </x:c>
      <x:c r="R209" t="str">
        <x:v>continua</x:v>
      </x:c>
      <x:c r="S209" s="24" t="b">
        <x:v>1</x:v>
      </x:c>
      <x:c r="T209" s="36" t="str">
        <x:v>2026-03-02</x:v>
      </x:c>
      <x:c r="U209" t="str">
        <x:v>964727349</x:v>
      </x:c>
    </x:row>
    <x:row r="210">
      <x:c r="A210" t="str">
        <x:v>EST-0209</x:v>
      </x:c>
      <x:c r="B210" t="str">
        <x:v>Pablo</x:v>
      </x:c>
      <x:c r="C210" t="str">
        <x:v>Alvarado De la Cruz</x:v>
      </x:c>
      <x:c r="D210" t="str">
        <x:v>72286075</x:v>
      </x:c>
      <x:c r="E210" t="str">
        <x:v>est0209@alumnos.blenkir.edu.pe</x:v>
      </x:c>
      <x:c r="F210" t="n">
        <x:v>5</x:v>
      </x:c>
      <x:c r="G210" t="str">
        <x:v>C</x:v>
      </x:c>
      <x:c r="H210" t="str">
        <x:v>5C</x:v>
      </x:c>
      <x:c r="I210" t="str">
        <x:v>activo</x:v>
      </x:c>
      <x:c r="J210" t="str">
        <x:v>activa</x:v>
      </x:c>
      <x:c r="K210" t="n">
        <x:v>16.06</x:v>
      </x:c>
      <x:c r="L210" t="n">
        <x:v>0</x:v>
      </x:c>
      <x:c r="M210" t="n">
        <x:v>92.72</x:v>
      </x:c>
      <x:c r="N210" t="n">
        <x:v>9.02</x:v>
      </x:c>
      <x:c r="O210" t="n">
        <x:v>16.19</x:v>
      </x:c>
      <x:c r="P210" t="n">
        <x:v>17</x:v>
      </x:c>
      <x:c r="Q210" t="n">
        <x:v>13</x:v>
      </x:c>
      <x:c r="R210" t="str">
        <x:v>continua</x:v>
      </x:c>
      <x:c r="S210" s="24" t="b">
        <x:v>1</x:v>
      </x:c>
      <x:c r="T210" s="36" t="str">
        <x:v>2026-03-02</x:v>
      </x:c>
      <x:c r="U210" t="str">
        <x:v>964839635</x:v>
      </x:c>
    </x:row>
    <x:row r="211">
      <x:c r="A211" t="str">
        <x:v>EST-0210</x:v>
      </x:c>
      <x:c r="B211" t="str">
        <x:v>Víctor</x:v>
      </x:c>
      <x:c r="C211" t="str">
        <x:v>Contreras Quispe</x:v>
      </x:c>
      <x:c r="D211" t="str">
        <x:v>85534824</x:v>
      </x:c>
      <x:c r="E211" t="str">
        <x:v>est0210@alumnos.blenkir.edu.pe</x:v>
      </x:c>
      <x:c r="F211" t="n">
        <x:v>5</x:v>
      </x:c>
      <x:c r="G211" t="str">
        <x:v>C</x:v>
      </x:c>
      <x:c r="H211" t="str">
        <x:v>5C</x:v>
      </x:c>
      <x:c r="I211" t="str">
        <x:v>activo</x:v>
      </x:c>
      <x:c r="J211" t="str">
        <x:v>activa</x:v>
      </x:c>
      <x:c r="K211" t="n">
        <x:v>15.05</x:v>
      </x:c>
      <x:c r="L211" t="n">
        <x:v>0</x:v>
      </x:c>
      <x:c r="M211" t="n">
        <x:v>97.73</x:v>
      </x:c>
      <x:c r="N211" t="n">
        <x:v>10.67</x:v>
      </x:c>
      <x:c r="O211" t="n">
        <x:v>18.29</x:v>
      </x:c>
      <x:c r="P211" t="n">
        <x:v>19</x:v>
      </x:c>
      <x:c r="Q211" t="n">
        <x:v>13</x:v>
      </x:c>
      <x:c r="R211" t="str">
        <x:v>continua</x:v>
      </x:c>
      <x:c r="S211" s="24" t="b">
        <x:v>1</x:v>
      </x:c>
      <x:c r="T211" s="36" t="str">
        <x:v>2026-03-02</x:v>
      </x:c>
      <x:c r="U211" t="str">
        <x:v>906054701</x:v>
      </x:c>
    </x:row>
    <x:row r="212">
      <x:c r="A212" t="str">
        <x:v>EST-0211</x:v>
      </x:c>
      <x:c r="B212" t="str">
        <x:v>Fernanda</x:v>
      </x:c>
      <x:c r="C212" t="str">
        <x:v>Huamán Aguilar</x:v>
      </x:c>
      <x:c r="D212" t="str">
        <x:v>89219014</x:v>
      </x:c>
      <x:c r="E212" t="str">
        <x:v>est0211@alumnos.blenkir.edu.pe</x:v>
      </x:c>
      <x:c r="F212" t="n">
        <x:v>5</x:v>
      </x:c>
      <x:c r="G212" t="str">
        <x:v>C</x:v>
      </x:c>
      <x:c r="H212" t="str">
        <x:v>5C</x:v>
      </x:c>
      <x:c r="I212" t="str">
        <x:v>activo</x:v>
      </x:c>
      <x:c r="J212" t="str">
        <x:v>activa</x:v>
      </x:c>
      <x:c r="K212" t="n">
        <x:v>11.95</x:v>
      </x:c>
      <x:c r="L212" t="n">
        <x:v>1</x:v>
      </x:c>
      <x:c r="M212" t="n">
        <x:v>84.93</x:v>
      </x:c>
      <x:c r="N212" t="n">
        <x:v>8.42</x:v>
      </x:c>
      <x:c r="O212" t="n">
        <x:v>17.03</x:v>
      </x:c>
      <x:c r="P212" t="n">
        <x:v>14</x:v>
      </x:c>
      <x:c r="Q212" t="n">
        <x:v>13</x:v>
      </x:c>
      <x:c r="R212" t="str">
        <x:v>continua</x:v>
      </x:c>
      <x:c r="S212" s="24" t="b">
        <x:v>1</x:v>
      </x:c>
      <x:c r="T212" s="36" t="str">
        <x:v>2026-03-02</x:v>
      </x:c>
      <x:c r="U212" t="str">
        <x:v>962634870</x:v>
      </x:c>
    </x:row>
    <x:row r="213">
      <x:c r="A213" t="str">
        <x:v>EST-0212</x:v>
      </x:c>
      <x:c r="B213" t="str">
        <x:v>Natalia</x:v>
      </x:c>
      <x:c r="C213" t="str">
        <x:v>Ramos Espinoza</x:v>
      </x:c>
      <x:c r="D213" t="str">
        <x:v>89896728</x:v>
      </x:c>
      <x:c r="E213" t="str">
        <x:v>est0212@alumnos.blenkir.edu.pe</x:v>
      </x:c>
      <x:c r="F213" t="n">
        <x:v>5</x:v>
      </x:c>
      <x:c r="G213" t="str">
        <x:v>C</x:v>
      </x:c>
      <x:c r="H213" t="str">
        <x:v>5C</x:v>
      </x:c>
      <x:c r="I213" t="str">
        <x:v>activo</x:v>
      </x:c>
      <x:c r="J213" t="str">
        <x:v>activa</x:v>
      </x:c>
      <x:c r="K213" t="n">
        <x:v>11.89</x:v>
      </x:c>
      <x:c r="L213" t="n">
        <x:v>0</x:v>
      </x:c>
      <x:c r="M213" t="n">
        <x:v>97.54</x:v>
      </x:c>
      <x:c r="N213" t="n">
        <x:v>6.01</x:v>
      </x:c>
      <x:c r="O213" t="n">
        <x:v>13.79</x:v>
      </x:c>
      <x:c r="P213" t="n">
        <x:v>14</x:v>
      </x:c>
      <x:c r="Q213" t="n">
        <x:v>11</x:v>
      </x:c>
      <x:c r="R213" t="str">
        <x:v>continua</x:v>
      </x:c>
      <x:c r="S213" s="24" t="b">
        <x:v>1</x:v>
      </x:c>
      <x:c r="T213" s="36" t="str">
        <x:v>2026-03-02</x:v>
      </x:c>
      <x:c r="U213" t="str">
        <x:v>991952785</x:v>
      </x:c>
    </x:row>
    <x:row r="214">
      <x:c r="A214" t="str">
        <x:v>EST-0213</x:v>
      </x:c>
      <x:c r="B214" t="str">
        <x:v>Victoria</x:v>
      </x:c>
      <x:c r="C214" t="str">
        <x:v>Vega Ramírez</x:v>
      </x:c>
      <x:c r="D214" t="str">
        <x:v>89076899</x:v>
      </x:c>
      <x:c r="E214" t="str">
        <x:v>est0213@alumnos.blenkir.edu.pe</x:v>
      </x:c>
      <x:c r="F214" t="n">
        <x:v>5</x:v>
      </x:c>
      <x:c r="G214" t="str">
        <x:v>C</x:v>
      </x:c>
      <x:c r="H214" t="str">
        <x:v>5C</x:v>
      </x:c>
      <x:c r="I214" t="str">
        <x:v>activo</x:v>
      </x:c>
      <x:c r="J214" t="str">
        <x:v>activa</x:v>
      </x:c>
      <x:c r="K214" t="n">
        <x:v>16.89</x:v>
      </x:c>
      <x:c r="L214" t="n">
        <x:v>0</x:v>
      </x:c>
      <x:c r="M214" t="n">
        <x:v>89.28</x:v>
      </x:c>
      <x:c r="N214" t="n">
        <x:v>8.11</x:v>
      </x:c>
      <x:c r="O214" t="n">
        <x:v>16.13</x:v>
      </x:c>
      <x:c r="P214" t="n">
        <x:v>16</x:v>
      </x:c>
      <x:c r="Q214" t="n">
        <x:v>10</x:v>
      </x:c>
      <x:c r="R214" t="str">
        <x:v>continua</x:v>
      </x:c>
      <x:c r="S214" s="24" t="b">
        <x:v>1</x:v>
      </x:c>
      <x:c r="T214" s="36" t="str">
        <x:v>2026-03-02</x:v>
      </x:c>
      <x:c r="U214" t="str">
        <x:v>955175128</x:v>
      </x:c>
    </x:row>
    <x:row r="215">
      <x:c r="A215" t="str">
        <x:v>EST-0214</x:v>
      </x:c>
      <x:c r="B215" t="str">
        <x:v>Bruno</x:v>
      </x:c>
      <x:c r="C215" t="str">
        <x:v>Campos Alarcón</x:v>
      </x:c>
      <x:c r="D215" t="str">
        <x:v>73511098</x:v>
      </x:c>
      <x:c r="E215" t="str">
        <x:v>est0214@alumnos.blenkir.edu.pe</x:v>
      </x:c>
      <x:c r="F215" t="n">
        <x:v>5</x:v>
      </x:c>
      <x:c r="G215" t="str">
        <x:v>C</x:v>
      </x:c>
      <x:c r="H215" t="str">
        <x:v>5C</x:v>
      </x:c>
      <x:c r="I215" t="str">
        <x:v>retirado</x:v>
      </x:c>
      <x:c r="J215" t="str">
        <x:v>trasladada</x:v>
      </x:c>
      <x:c r="K215" t="n">
        <x:v>14.24</x:v>
      </x:c>
      <x:c r="L215" t="n">
        <x:v>0</x:v>
      </x:c>
      <x:c r="M215" t="n">
        <x:v>91.53</x:v>
      </x:c>
      <x:c r="N215" t="n">
        <x:v>8.57</x:v>
      </x:c>
      <x:c r="O215" t="n">
        <x:v>15.9</x:v>
      </x:c>
      <x:c r="P215" t="n">
        <x:v>17</x:v>
      </x:c>
      <x:c r="Q215" t="n">
        <x:v>11</x:v>
      </x:c>
      <x:c r="R215" t="str">
        <x:v>trasladada</x:v>
      </x:c>
      <x:c r="S215" s="24" t="b">
        <x:v>1</x:v>
      </x:c>
      <x:c r="T215" s="36" t="str">
        <x:v>2026-03-02</x:v>
      </x:c>
      <x:c r="U215" t="str">
        <x:v>961541896</x:v>
      </x:c>
    </x:row>
    <x:row r="216">
      <x:c r="A216" t="str">
        <x:v>EST-0215</x:v>
      </x:c>
      <x:c r="B216" t="str">
        <x:v>Emilio</x:v>
      </x:c>
      <x:c r="C216" t="str">
        <x:v>Flores García</x:v>
      </x:c>
      <x:c r="D216" t="str">
        <x:v>88047013</x:v>
      </x:c>
      <x:c r="E216" t="str">
        <x:v>est0215@alumnos.blenkir.edu.pe</x:v>
      </x:c>
      <x:c r="F216" t="n">
        <x:v>5</x:v>
      </x:c>
      <x:c r="G216" t="str">
        <x:v>C</x:v>
      </x:c>
      <x:c r="H216" t="str">
        <x:v>5C</x:v>
      </x:c>
      <x:c r="I216" t="str">
        <x:v>activo</x:v>
      </x:c>
      <x:c r="J216" t="str">
        <x:v>activa</x:v>
      </x:c>
      <x:c r="K216" t="n">
        <x:v>15.45</x:v>
      </x:c>
      <x:c r="L216" t="n">
        <x:v>0</x:v>
      </x:c>
      <x:c r="M216" t="n">
        <x:v>97.71</x:v>
      </x:c>
      <x:c r="N216" t="n">
        <x:v>9.21</x:v>
      </x:c>
      <x:c r="O216" t="n">
        <x:v>15.65</x:v>
      </x:c>
      <x:c r="P216" t="n">
        <x:v>15</x:v>
      </x:c>
      <x:c r="Q216" t="n">
        <x:v>12</x:v>
      </x:c>
      <x:c r="R216" t="str">
        <x:v>continua</x:v>
      </x:c>
      <x:c r="S216" s="24" t="b">
        <x:v>1</x:v>
      </x:c>
      <x:c r="T216" s="36" t="str">
        <x:v>2026-03-02</x:v>
      </x:c>
      <x:c r="U216" t="str">
        <x:v>908202164</x:v>
      </x:c>
    </x:row>
    <x:row r="217">
      <x:c r="A217" t="str">
        <x:v>EST-0216</x:v>
      </x:c>
      <x:c r="B217" t="str">
        <x:v>Javier</x:v>
      </x:c>
      <x:c r="C217" t="str">
        <x:v>Morales Ramos</x:v>
      </x:c>
      <x:c r="D217" t="str">
        <x:v>75893299</x:v>
      </x:c>
      <x:c r="E217" t="str">
        <x:v>est0216@alumnos.blenkir.edu.pe</x:v>
      </x:c>
      <x:c r="F217" t="n">
        <x:v>5</x:v>
      </x:c>
      <x:c r="G217" t="str">
        <x:v>C</x:v>
      </x:c>
      <x:c r="H217" t="str">
        <x:v>5C</x:v>
      </x:c>
      <x:c r="I217" t="str">
        <x:v>activo</x:v>
      </x:c>
      <x:c r="J217" t="str">
        <x:v>activa</x:v>
      </x:c>
      <x:c r="K217" t="n">
        <x:v>15.43</x:v>
      </x:c>
      <x:c r="L217" t="n">
        <x:v>0</x:v>
      </x:c>
      <x:c r="M217" t="n">
        <x:v>94.27</x:v>
      </x:c>
      <x:c r="N217" t="n">
        <x:v>8.24</x:v>
      </x:c>
      <x:c r="O217" t="n">
        <x:v>17.58</x:v>
      </x:c>
      <x:c r="P217" t="n">
        <x:v>16</x:v>
      </x:c>
      <x:c r="Q217" t="n">
        <x:v>11</x:v>
      </x:c>
      <x:c r="R217" t="str">
        <x:v>continua</x:v>
      </x:c>
      <x:c r="S217" s="24" t="b">
        <x:v>1</x:v>
      </x:c>
      <x:c r="T217" s="36" t="str">
        <x:v>2026-03-02</x:v>
      </x:c>
      <x:c r="U217" t="str">
        <x:v>941886746</x:v>
      </x:c>
    </x:row>
    <x:row r="218">
      <x:c r="A218" t="str">
        <x:v>EST-0217</x:v>
      </x:c>
      <x:c r="B218" t="str">
        <x:v>Mateo</x:v>
      </x:c>
      <x:c r="C218" t="str">
        <x:v>Silva Alvarado</x:v>
      </x:c>
      <x:c r="D218" t="str">
        <x:v>76644669</x:v>
      </x:c>
      <x:c r="E218" t="str">
        <x:v>est0217@alumnos.blenkir.edu.pe</x:v>
      </x:c>
      <x:c r="F218" t="n">
        <x:v>5</x:v>
      </x:c>
      <x:c r="G218" t="str">
        <x:v>C</x:v>
      </x:c>
      <x:c r="H218" t="str">
        <x:v>5C</x:v>
      </x:c>
      <x:c r="I218" t="str">
        <x:v>activo</x:v>
      </x:c>
      <x:c r="J218" t="str">
        <x:v>activa</x:v>
      </x:c>
      <x:c r="K218" t="n">
        <x:v>15.27</x:v>
      </x:c>
      <x:c r="L218" t="n">
        <x:v>0</x:v>
      </x:c>
      <x:c r="M218" t="n">
        <x:v>98.86</x:v>
      </x:c>
      <x:c r="N218" t="n">
        <x:v>7.49</x:v>
      </x:c>
      <x:c r="O218" t="n">
        <x:v>16.03</x:v>
      </x:c>
      <x:c r="P218" t="n">
        <x:v>16</x:v>
      </x:c>
      <x:c r="Q218" t="n">
        <x:v>14</x:v>
      </x:c>
      <x:c r="R218" t="str">
        <x:v>continua</x:v>
      </x:c>
      <x:c r="S218" s="24" t="b">
        <x:v>1</x:v>
      </x:c>
      <x:c r="T218" s="36" t="str">
        <x:v>2026-03-02</x:v>
      </x:c>
      <x:c r="U218" t="str">
        <x:v>943232823</x:v>
      </x:c>
    </x:row>
    <x:row r="219">
      <x:c r="A219" t="str">
        <x:v>EST-0218</x:v>
      </x:c>
      <x:c r="B219" t="str">
        <x:v>Rodrigo</x:v>
      </x:c>
      <x:c r="C219" t="str">
        <x:v>Alarcón García</x:v>
      </x:c>
      <x:c r="D219" t="str">
        <x:v>77384535</x:v>
      </x:c>
      <x:c r="E219" t="str">
        <x:v>est0218@alumnos.blenkir.edu.pe</x:v>
      </x:c>
      <x:c r="F219" t="n">
        <x:v>6</x:v>
      </x:c>
      <x:c r="G219" t="str">
        <x:v>A</x:v>
      </x:c>
      <x:c r="H219" t="str">
        <x:v>6A</x:v>
      </x:c>
      <x:c r="I219" t="str">
        <x:v>activo</x:v>
      </x:c>
      <x:c r="J219" t="str">
        <x:v>activa</x:v>
      </x:c>
      <x:c r="K219" t="n">
        <x:v>15.88</x:v>
      </x:c>
      <x:c r="L219" t="n">
        <x:v>0</x:v>
      </x:c>
      <x:c r="M219" t="n">
        <x:v>91.41</x:v>
      </x:c>
      <x:c r="N219" t="n">
        <x:v>7.75</x:v>
      </x:c>
      <x:c r="O219" t="n">
        <x:v>16.42</x:v>
      </x:c>
      <x:c r="P219" t="n">
        <x:v>14</x:v>
      </x:c>
      <x:c r="Q219" t="n">
        <x:v>13</x:v>
      </x:c>
      <x:c r="R219" t="str">
        <x:v>continua</x:v>
      </x:c>
      <x:c r="S219" s="24" t="b">
        <x:v>1</x:v>
      </x:c>
      <x:c r="T219" s="36" t="str">
        <x:v>2026-03-02</x:v>
      </x:c>
      <x:c r="U219" t="str">
        <x:v>941256196</x:v>
      </x:c>
    </x:row>
    <x:row r="220">
      <x:c r="A220" t="str">
        <x:v>EST-0219</x:v>
      </x:c>
      <x:c r="B220" t="str">
        <x:v>Carla</x:v>
      </x:c>
      <x:c r="C220" t="str">
        <x:v>Condori Rojas</x:v>
      </x:c>
      <x:c r="D220" t="str">
        <x:v>83688509</x:v>
      </x:c>
      <x:c r="E220" t="str">
        <x:v>est0219@alumnos.blenkir.edu.pe</x:v>
      </x:c>
      <x:c r="F220" t="n">
        <x:v>6</x:v>
      </x:c>
      <x:c r="G220" t="str">
        <x:v>A</x:v>
      </x:c>
      <x:c r="H220" t="str">
        <x:v>6A</x:v>
      </x:c>
      <x:c r="I220" t="str">
        <x:v>activo</x:v>
      </x:c>
      <x:c r="J220" t="str">
        <x:v>activa</x:v>
      </x:c>
      <x:c r="K220" t="n">
        <x:v>13.23</x:v>
      </x:c>
      <x:c r="L220" t="n">
        <x:v>0</x:v>
      </x:c>
      <x:c r="M220" t="n">
        <x:v>95.93</x:v>
      </x:c>
      <x:c r="N220" t="n">
        <x:v>6.71</x:v>
      </x:c>
      <x:c r="O220" t="n">
        <x:v>11.59</x:v>
      </x:c>
      <x:c r="P220" t="n">
        <x:v>13</x:v>
      </x:c>
      <x:c r="Q220" t="n">
        <x:v>8</x:v>
      </x:c>
      <x:c r="R220" t="str">
        <x:v>continua</x:v>
      </x:c>
      <x:c r="S220" s="24" t="b">
        <x:v>1</x:v>
      </x:c>
      <x:c r="T220" s="36" t="str">
        <x:v>2026-03-02</x:v>
      </x:c>
      <x:c r="U220" t="str">
        <x:v>917542816</x:v>
      </x:c>
    </x:row>
    <x:row r="221">
      <x:c r="A221" t="str">
        <x:v>EST-0220</x:v>
      </x:c>
      <x:c r="B221" t="str">
        <x:v>Jimena</x:v>
      </x:c>
      <x:c r="C221" t="str">
        <x:v>Gutiérrez Arias</x:v>
      </x:c>
      <x:c r="D221" t="str">
        <x:v>88783307</x:v>
      </x:c>
      <x:c r="E221" t="str">
        <x:v>est0220@alumnos.blenkir.edu.pe</x:v>
      </x:c>
      <x:c r="F221" t="n">
        <x:v>6</x:v>
      </x:c>
      <x:c r="G221" t="str">
        <x:v>A</x:v>
      </x:c>
      <x:c r="H221" t="str">
        <x:v>6A</x:v>
      </x:c>
      <x:c r="I221" t="str">
        <x:v>activo</x:v>
      </x:c>
      <x:c r="J221" t="str">
        <x:v>activa</x:v>
      </x:c>
      <x:c r="K221" t="n">
        <x:v>10.19</x:v>
      </x:c>
      <x:c r="L221" t="n">
        <x:v>1</x:v>
      </x:c>
      <x:c r="M221" t="n">
        <x:v>88.42</x:v>
      </x:c>
      <x:c r="N221" t="n">
        <x:v>7.63</x:v>
      </x:c>
      <x:c r="O221" t="n">
        <x:v>13.99</x:v>
      </x:c>
      <x:c r="P221" t="n">
        <x:v>16</x:v>
      </x:c>
      <x:c r="Q221" t="n">
        <x:v>11</x:v>
      </x:c>
      <x:c r="R221" t="str">
        <x:v>continua</x:v>
      </x:c>
      <x:c r="S221" s="24" t="b">
        <x:v>1</x:v>
      </x:c>
      <x:c r="T221" s="36" t="str">
        <x:v>2026-03-02</x:v>
      </x:c>
      <x:c r="U221" t="str">
        <x:v>915350030</x:v>
      </x:c>
    </x:row>
    <x:row r="222">
      <x:c r="A222" t="str">
        <x:v>EST-0221</x:v>
      </x:c>
      <x:c r="B222" t="str">
        <x:v>Renata</x:v>
      </x:c>
      <x:c r="C222" t="str">
        <x:v>Ramírez Gómez</x:v>
      </x:c>
      <x:c r="D222" t="str">
        <x:v>73240951</x:v>
      </x:c>
      <x:c r="E222" t="str">
        <x:v>est0221@alumnos.blenkir.edu.pe</x:v>
      </x:c>
      <x:c r="F222" t="n">
        <x:v>6</x:v>
      </x:c>
      <x:c r="G222" t="str">
        <x:v>A</x:v>
      </x:c>
      <x:c r="H222" t="str">
        <x:v>6A</x:v>
      </x:c>
      <x:c r="I222" t="str">
        <x:v>activo</x:v>
      </x:c>
      <x:c r="J222" t="str">
        <x:v>activa</x:v>
      </x:c>
      <x:c r="K222" t="n">
        <x:v>15.79</x:v>
      </x:c>
      <x:c r="L222" t="n">
        <x:v>0</x:v>
      </x:c>
      <x:c r="M222" t="n">
        <x:v>93.3</x:v>
      </x:c>
      <x:c r="N222" t="n">
        <x:v>7.29</x:v>
      </x:c>
      <x:c r="O222" t="n">
        <x:v>15.92</x:v>
      </x:c>
      <x:c r="P222" t="n">
        <x:v>14</x:v>
      </x:c>
      <x:c r="Q222" t="n">
        <x:v>12</x:v>
      </x:c>
      <x:c r="R222" t="str">
        <x:v>continua</x:v>
      </x:c>
      <x:c r="S222" s="24" t="b">
        <x:v>1</x:v>
      </x:c>
      <x:c r="T222" s="36" t="str">
        <x:v>2026-03-02</x:v>
      </x:c>
      <x:c r="U222" t="str">
        <x:v>965811626</x:v>
      </x:c>
    </x:row>
    <x:row r="223">
      <x:c r="A223" t="str">
        <x:v>EST-0222</x:v>
      </x:c>
      <x:c r="B223" t="str">
        <x:v>Alejandra</x:v>
      </x:c>
      <x:c r="C223" t="str">
        <x:v>Vásquez Romero</x:v>
      </x:c>
      <x:c r="D223" t="str">
        <x:v>74352293</x:v>
      </x:c>
      <x:c r="E223" t="str">
        <x:v>est0222@alumnos.blenkir.edu.pe</x:v>
      </x:c>
      <x:c r="F223" t="n">
        <x:v>6</x:v>
      </x:c>
      <x:c r="G223" t="str">
        <x:v>A</x:v>
      </x:c>
      <x:c r="H223" t="str">
        <x:v>6A</x:v>
      </x:c>
      <x:c r="I223" t="str">
        <x:v>activo</x:v>
      </x:c>
      <x:c r="J223" t="str">
        <x:v>activa</x:v>
      </x:c>
      <x:c r="K223" t="n">
        <x:v>17.11</x:v>
      </x:c>
      <x:c r="L223" t="n">
        <x:v>0</x:v>
      </x:c>
      <x:c r="M223" t="n">
        <x:v>86.7</x:v>
      </x:c>
      <x:c r="N223" t="n">
        <x:v>7.24</x:v>
      </x:c>
      <x:c r="O223" t="n">
        <x:v>12.89</x:v>
      </x:c>
      <x:c r="P223" t="n">
        <x:v>12</x:v>
      </x:c>
      <x:c r="Q223" t="n">
        <x:v>11</x:v>
      </x:c>
      <x:c r="R223" t="str">
        <x:v>continua</x:v>
      </x:c>
      <x:c r="S223" s="24" t="b">
        <x:v>1</x:v>
      </x:c>
      <x:c r="T223" s="36" t="str">
        <x:v>2026-03-02</x:v>
      </x:c>
      <x:c r="U223" t="str">
        <x:v>909195026</x:v>
      </x:c>
    </x:row>
    <x:row r="224">
      <x:c r="A224" t="str">
        <x:v>EST-0223</x:v>
      </x:c>
      <x:c r="B224" t="str">
        <x:v>Daniel</x:v>
      </x:c>
      <x:c r="C224" t="str">
        <x:v>Cáceres Bendezú</x:v>
      </x:c>
      <x:c r="D224" t="str">
        <x:v>83877262</x:v>
      </x:c>
      <x:c r="E224" t="str">
        <x:v>est0223@alumnos.blenkir.edu.pe</x:v>
      </x:c>
      <x:c r="F224" t="n">
        <x:v>6</x:v>
      </x:c>
      <x:c r="G224" t="str">
        <x:v>A</x:v>
      </x:c>
      <x:c r="H224" t="str">
        <x:v>6A</x:v>
      </x:c>
      <x:c r="I224" t="str">
        <x:v>activo</x:v>
      </x:c>
      <x:c r="J224" t="str">
        <x:v>activa</x:v>
      </x:c>
      <x:c r="K224" t="n">
        <x:v>16.57</x:v>
      </x:c>
      <x:c r="L224" t="n">
        <x:v>0</x:v>
      </x:c>
      <x:c r="M224" t="n">
        <x:v>97.41</x:v>
      </x:c>
      <x:c r="N224" t="n">
        <x:v>8.16</x:v>
      </x:c>
      <x:c r="O224" t="n">
        <x:v>14.14</x:v>
      </x:c>
      <x:c r="P224" t="n">
        <x:v>15</x:v>
      </x:c>
      <x:c r="Q224" t="n">
        <x:v>13</x:v>
      </x:c>
      <x:c r="R224" t="str">
        <x:v>continua</x:v>
      </x:c>
      <x:c r="S224" s="24" t="b">
        <x:v>1</x:v>
      </x:c>
      <x:c r="T224" s="36" t="str">
        <x:v>2026-03-02</x:v>
      </x:c>
      <x:c r="U224" t="str">
        <x:v>999340241</x:v>
      </x:c>
    </x:row>
    <x:row r="225">
      <x:c r="A225" t="str">
        <x:v>EST-0224</x:v>
      </x:c>
      <x:c r="B225" t="str">
        <x:v>Gael</x:v>
      </x:c>
      <x:c r="C225" t="str">
        <x:v>Espinoza Gonzales</x:v>
      </x:c>
      <x:c r="D225" t="str">
        <x:v>77062416</x:v>
      </x:c>
      <x:c r="E225" t="str">
        <x:v>est0224@alumnos.blenkir.edu.pe</x:v>
      </x:c>
      <x:c r="F225" t="n">
        <x:v>6</x:v>
      </x:c>
      <x:c r="G225" t="str">
        <x:v>A</x:v>
      </x:c>
      <x:c r="H225" t="str">
        <x:v>6A</x:v>
      </x:c>
      <x:c r="I225" t="str">
        <x:v>activo</x:v>
      </x:c>
      <x:c r="J225" t="str">
        <x:v>activa</x:v>
      </x:c>
      <x:c r="K225" t="n">
        <x:v>13.18</x:v>
      </x:c>
      <x:c r="L225" t="n">
        <x:v>0</x:v>
      </x:c>
      <x:c r="M225" t="n">
        <x:v>92.43</x:v>
      </x:c>
      <x:c r="N225" t="n">
        <x:v>6.94</x:v>
      </x:c>
      <x:c r="O225" t="n">
        <x:v>15.9</x:v>
      </x:c>
      <x:c r="P225" t="n">
        <x:v>16</x:v>
      </x:c>
      <x:c r="Q225" t="n">
        <x:v>10</x:v>
      </x:c>
      <x:c r="R225" t="str">
        <x:v>continua</x:v>
      </x:c>
      <x:c r="S225" s="24" t="b">
        <x:v>1</x:v>
      </x:c>
      <x:c r="T225" s="36" t="str">
        <x:v>2026-03-02</x:v>
      </x:c>
      <x:c r="U225" t="str">
        <x:v>988082660</x:v>
      </x:c>
    </x:row>
    <x:row r="226">
      <x:c r="A226" t="str">
        <x:v>EST-0225</x:v>
      </x:c>
      <x:c r="B226" t="str">
        <x:v>José</x:v>
      </x:c>
      <x:c r="C226" t="str">
        <x:v>Mendoza Salazar</x:v>
      </x:c>
      <x:c r="D226" t="str">
        <x:v>82272050</x:v>
      </x:c>
      <x:c r="E226" t="str">
        <x:v>est0225@alumnos.blenkir.edu.pe</x:v>
      </x:c>
      <x:c r="F226" t="n">
        <x:v>6</x:v>
      </x:c>
      <x:c r="G226" t="str">
        <x:v>A</x:v>
      </x:c>
      <x:c r="H226" t="str">
        <x:v>6A</x:v>
      </x:c>
      <x:c r="I226" t="str">
        <x:v>retirado</x:v>
      </x:c>
      <x:c r="J226" t="str">
        <x:v>trasladada</x:v>
      </x:c>
      <x:c r="K226" t="n">
        <x:v>17.64</x:v>
      </x:c>
      <x:c r="L226" t="n">
        <x:v>0</x:v>
      </x:c>
      <x:c r="M226" t="n">
        <x:v>88.31</x:v>
      </x:c>
      <x:c r="N226" t="n">
        <x:v>5.29</x:v>
      </x:c>
      <x:c r="O226" t="n">
        <x:v>11.36</x:v>
      </x:c>
      <x:c r="P226" t="n">
        <x:v>10</x:v>
      </x:c>
      <x:c r="Q226" t="n">
        <x:v>6</x:v>
      </x:c>
      <x:c r="R226" t="str">
        <x:v>trasladada</x:v>
      </x:c>
      <x:c r="S226" s="24" t="b">
        <x:v>1</x:v>
      </x:c>
      <x:c r="T226" s="36" t="str">
        <x:v>2026-03-02</x:v>
      </x:c>
      <x:c r="U226" t="str">
        <x:v>987586595</x:v>
      </x:c>
    </x:row>
    <x:row r="227">
      <x:c r="A227" t="str">
        <x:v>EST-0226</x:v>
      </x:c>
      <x:c r="B227" t="str">
        <x:v>Nicolás</x:v>
      </x:c>
      <x:c r="C227" t="str">
        <x:v>Sánchez Cabrera</x:v>
      </x:c>
      <x:c r="D227" t="str">
        <x:v>74939369</x:v>
      </x:c>
      <x:c r="E227" t="str">
        <x:v>est0226@alumnos.blenkir.edu.pe</x:v>
      </x:c>
      <x:c r="F227" t="n">
        <x:v>6</x:v>
      </x:c>
      <x:c r="G227" t="str">
        <x:v>A</x:v>
      </x:c>
      <x:c r="H227" t="str">
        <x:v>6A</x:v>
      </x:c>
      <x:c r="I227" t="str">
        <x:v>activo</x:v>
      </x:c>
      <x:c r="J227" t="str">
        <x:v>activa</x:v>
      </x:c>
      <x:c r="K227" t="n">
        <x:v>13.85</x:v>
      </x:c>
      <x:c r="L227" t="n">
        <x:v>0</x:v>
      </x:c>
      <x:c r="M227" t="n">
        <x:v>96.73</x:v>
      </x:c>
      <x:c r="N227" t="n">
        <x:v>6.38</x:v>
      </x:c>
      <x:c r="O227" t="n">
        <x:v>8.62</x:v>
      </x:c>
      <x:c r="P227" t="n">
        <x:v>10</x:v>
      </x:c>
      <x:c r="Q227" t="n">
        <x:v>8</x:v>
      </x:c>
      <x:c r="R227" t="str">
        <x:v>continua</x:v>
      </x:c>
      <x:c r="S227" s="24" t="b">
        <x:v>1</x:v>
      </x:c>
      <x:c r="T227" s="36" t="str">
        <x:v>2026-03-02</x:v>
      </x:c>
      <x:c r="U227" t="str">
        <x:v>954523739</x:v>
      </x:c>
    </x:row>
    <x:row r="228">
      <x:c r="A228" t="str">
        <x:v>EST-0227</x:v>
      </x:c>
      <x:c r="B228" t="str">
        <x:v>Thiago</x:v>
      </x:c>
      <x:c r="C228" t="str">
        <x:v>Aguilar Guerrero</x:v>
      </x:c>
      <x:c r="D228" t="str">
        <x:v>72375576</x:v>
      </x:c>
      <x:c r="E228" t="str">
        <x:v>est0227@alumnos.blenkir.edu.pe</x:v>
      </x:c>
      <x:c r="F228" t="n">
        <x:v>6</x:v>
      </x:c>
      <x:c r="G228" t="str">
        <x:v>A</x:v>
      </x:c>
      <x:c r="H228" t="str">
        <x:v>6A</x:v>
      </x:c>
      <x:c r="I228" t="str">
        <x:v>activo</x:v>
      </x:c>
      <x:c r="J228" t="str">
        <x:v>activa</x:v>
      </x:c>
      <x:c r="K228" t="n">
        <x:v>18.03</x:v>
      </x:c>
      <x:c r="L228" t="n">
        <x:v>0</x:v>
      </x:c>
      <x:c r="M228" t="n">
        <x:v>99.5</x:v>
      </x:c>
      <x:c r="N228" t="n">
        <x:v>8.42</x:v>
      </x:c>
      <x:c r="O228" t="n">
        <x:v>15.31</x:v>
      </x:c>
      <x:c r="P228" t="n">
        <x:v>16</x:v>
      </x:c>
      <x:c r="Q228" t="n">
        <x:v>11</x:v>
      </x:c>
      <x:c r="R228" t="str">
        <x:v>continua</x:v>
      </x:c>
      <x:c r="S228" s="24" t="b">
        <x:v>1</x:v>
      </x:c>
      <x:c r="T228" s="36" t="str">
        <x:v>2026-03-02</x:v>
      </x:c>
      <x:c r="U228" t="str">
        <x:v>954634249</x:v>
      </x:c>
    </x:row>
    <x:row r="229">
      <x:c r="A229" t="str">
        <x:v>EST-0228</x:v>
      </x:c>
      <x:c r="B229" t="str">
        <x:v>Fabiana</x:v>
      </x:c>
      <x:c r="C229" t="str">
        <x:v>Chávez Sánchez</x:v>
      </x:c>
      <x:c r="D229" t="str">
        <x:v>89342627</x:v>
      </x:c>
      <x:c r="E229" t="str">
        <x:v>est0228@alumnos.blenkir.edu.pe</x:v>
      </x:c>
      <x:c r="F229" t="n">
        <x:v>6</x:v>
      </x:c>
      <x:c r="G229" t="str">
        <x:v>A</x:v>
      </x:c>
      <x:c r="H229" t="str">
        <x:v>6A</x:v>
      </x:c>
      <x:c r="I229" t="str">
        <x:v>activo</x:v>
      </x:c>
      <x:c r="J229" t="str">
        <x:v>activa</x:v>
      </x:c>
      <x:c r="K229" t="n">
        <x:v>14.57</x:v>
      </x:c>
      <x:c r="L229" t="n">
        <x:v>0</x:v>
      </x:c>
      <x:c r="M229" t="n">
        <x:v>86.23</x:v>
      </x:c>
      <x:c r="N229" t="n">
        <x:v>8.11</x:v>
      </x:c>
      <x:c r="O229" t="n">
        <x:v>15.23</x:v>
      </x:c>
      <x:c r="P229" t="n">
        <x:v>13</x:v>
      </x:c>
      <x:c r="Q229" t="n">
        <x:v>11</x:v>
      </x:c>
      <x:c r="R229" t="str">
        <x:v>continua</x:v>
      </x:c>
      <x:c r="S229" s="24" t="b">
        <x:v>1</x:v>
      </x:c>
      <x:c r="T229" s="36" t="str">
        <x:v>2026-03-02</x:v>
      </x:c>
      <x:c r="U229" t="str">
        <x:v>939940185</x:v>
      </x:c>
    </x:row>
    <x:row r="230">
      <x:c r="A230" t="str">
        <x:v>EST-0229</x:v>
      </x:c>
      <x:c r="B230" t="str">
        <x:v>Mía</x:v>
      </x:c>
      <x:c r="C230" t="str">
        <x:v>Guerrero Cáceres</x:v>
      </x:c>
      <x:c r="D230" t="str">
        <x:v>74350457</x:v>
      </x:c>
      <x:c r="E230" t="str">
        <x:v>est0229@alumnos.blenkir.edu.pe</x:v>
      </x:c>
      <x:c r="F230" t="n">
        <x:v>6</x:v>
      </x:c>
      <x:c r="G230" t="str">
        <x:v>B</x:v>
      </x:c>
      <x:c r="H230" t="str">
        <x:v>6B</x:v>
      </x:c>
      <x:c r="I230" t="str">
        <x:v>activo</x:v>
      </x:c>
      <x:c r="J230" t="str">
        <x:v>activa</x:v>
      </x:c>
      <x:c r="K230" t="n">
        <x:v>16.26</x:v>
      </x:c>
      <x:c r="L230" t="n">
        <x:v>0</x:v>
      </x:c>
      <x:c r="M230" t="n">
        <x:v>99.35</x:v>
      </x:c>
      <x:c r="N230" t="n">
        <x:v>7.14</x:v>
      </x:c>
      <x:c r="O230" t="n">
        <x:v>14.35</x:v>
      </x:c>
      <x:c r="P230" t="n">
        <x:v>14</x:v>
      </x:c>
      <x:c r="Q230" t="n">
        <x:v>13</x:v>
      </x:c>
      <x:c r="R230" t="str">
        <x:v>continua</x:v>
      </x:c>
      <x:c r="S230" s="24" t="b">
        <x:v>1</x:v>
      </x:c>
      <x:c r="T230" s="36" t="str">
        <x:v>2026-03-02</x:v>
      </x:c>
      <x:c r="U230" t="str">
        <x:v>951877599</x:v>
      </x:c>
    </x:row>
    <x:row r="231">
      <x:c r="A231" t="str">
        <x:v>EST-0230</x:v>
      </x:c>
      <x:c r="B231" t="str">
        <x:v>Valentina</x:v>
      </x:c>
      <x:c r="C231" t="str">
        <x:v>Quispe Gutiérrez</x:v>
      </x:c>
      <x:c r="D231" t="str">
        <x:v>78190777</x:v>
      </x:c>
      <x:c r="E231" t="str">
        <x:v>est0230@alumnos.blenkir.edu.pe</x:v>
      </x:c>
      <x:c r="F231" t="n">
        <x:v>6</x:v>
      </x:c>
      <x:c r="G231" t="str">
        <x:v>B</x:v>
      </x:c>
      <x:c r="H231" t="str">
        <x:v>6B</x:v>
      </x:c>
      <x:c r="I231" t="str">
        <x:v>activo</x:v>
      </x:c>
      <x:c r="J231" t="str">
        <x:v>activa</x:v>
      </x:c>
      <x:c r="K231" t="n">
        <x:v>17.45</x:v>
      </x:c>
      <x:c r="L231" t="n">
        <x:v>0</x:v>
      </x:c>
      <x:c r="M231" t="n">
        <x:v>87.8</x:v>
      </x:c>
      <x:c r="N231" t="n">
        <x:v>9.13</x:v>
      </x:c>
      <x:c r="O231" t="n">
        <x:v>16.65</x:v>
      </x:c>
      <x:c r="P231" t="n">
        <x:v>16</x:v>
      </x:c>
      <x:c r="Q231" t="n">
        <x:v>11</x:v>
      </x:c>
      <x:c r="R231" t="str">
        <x:v>continua</x:v>
      </x:c>
      <x:c r="S231" s="24" t="b">
        <x:v>1</x:v>
      </x:c>
      <x:c r="T231" s="36" t="str">
        <x:v>2026-03-02</x:v>
      </x:c>
      <x:c r="U231" t="str">
        <x:v>939436004</x:v>
      </x:c>
    </x:row>
    <x:row r="232">
      <x:c r="A232" t="str">
        <x:v>EST-0231</x:v>
      </x:c>
      <x:c r="B232" t="str">
        <x:v>Andrés</x:v>
      </x:c>
      <x:c r="C232" t="str">
        <x:v>Vargas Silva</x:v>
      </x:c>
      <x:c r="D232" t="str">
        <x:v>74873785</x:v>
      </x:c>
      <x:c r="E232" t="str">
        <x:v>est0231@alumnos.blenkir.edu.pe</x:v>
      </x:c>
      <x:c r="F232" t="n">
        <x:v>6</x:v>
      </x:c>
      <x:c r="G232" t="str">
        <x:v>B</x:v>
      </x:c>
      <x:c r="H232" t="str">
        <x:v>6B</x:v>
      </x:c>
      <x:c r="I232" t="str">
        <x:v>activo</x:v>
      </x:c>
      <x:c r="J232" t="str">
        <x:v>activa</x:v>
      </x:c>
      <x:c r="K232" t="n">
        <x:v>16.09</x:v>
      </x:c>
      <x:c r="L232" t="n">
        <x:v>0</x:v>
      </x:c>
      <x:c r="M232" t="n">
        <x:v>85.94</x:v>
      </x:c>
      <x:c r="N232" t="n">
        <x:v>8.86</x:v>
      </x:c>
      <x:c r="O232" t="n">
        <x:v>17.35</x:v>
      </x:c>
      <x:c r="P232" t="n">
        <x:v>17</x:v>
      </x:c>
      <x:c r="Q232" t="n">
        <x:v>13</x:v>
      </x:c>
      <x:c r="R232" t="str">
        <x:v>continua</x:v>
      </x:c>
      <x:c r="S232" s="24" t="b">
        <x:v>1</x:v>
      </x:c>
      <x:c r="T232" s="36" t="str">
        <x:v>2026-03-02</x:v>
      </x:c>
      <x:c r="U232" t="str">
        <x:v>931803609</x:v>
      </x:c>
    </x:row>
    <x:row r="233">
      <x:c r="A233" t="str">
        <x:v>EST-0232</x:v>
      </x:c>
      <x:c r="B233" t="str">
        <x:v>Eduardo</x:v>
      </x:c>
      <x:c r="C233" t="str">
        <x:v>Cabrera Campos</x:v>
      </x:c>
      <x:c r="D233" t="str">
        <x:v>71130043</x:v>
      </x:c>
      <x:c r="E233" t="str">
        <x:v>est0232@alumnos.blenkir.edu.pe</x:v>
      </x:c>
      <x:c r="F233" t="n">
        <x:v>6</x:v>
      </x:c>
      <x:c r="G233" t="str">
        <x:v>B</x:v>
      </x:c>
      <x:c r="H233" t="str">
        <x:v>6B</x:v>
      </x:c>
      <x:c r="I233" t="str">
        <x:v>activo</x:v>
      </x:c>
      <x:c r="J233" t="str">
        <x:v>activa</x:v>
      </x:c>
      <x:c r="K233" t="n">
        <x:v>16.27</x:v>
      </x:c>
      <x:c r="L233" t="n">
        <x:v>0</x:v>
      </x:c>
      <x:c r="M233" t="n">
        <x:v>83.69</x:v>
      </x:c>
      <x:c r="N233" t="n">
        <x:v>6.51</x:v>
      </x:c>
      <x:c r="O233" t="n">
        <x:v>11.92</x:v>
      </x:c>
      <x:c r="P233" t="n">
        <x:v>12</x:v>
      </x:c>
      <x:c r="Q233" t="n">
        <x:v>10</x:v>
      </x:c>
      <x:c r="R233" t="str">
        <x:v>continua</x:v>
      </x:c>
      <x:c r="S233" s="24" t="b">
        <x:v>1</x:v>
      </x:c>
      <x:c r="T233" s="36" t="str">
        <x:v>2026-03-02</x:v>
      </x:c>
      <x:c r="U233" t="str">
        <x:v>905466103</x:v>
      </x:c>
    </x:row>
    <x:row r="234">
      <x:c r="A234" t="str">
        <x:v>EST-0233</x:v>
      </x:c>
      <x:c r="B234" t="str">
        <x:v>Iván</x:v>
      </x:c>
      <x:c r="C234" t="str">
        <x:v>De la Cruz Huamán</x:v>
      </x:c>
      <x:c r="D234" t="str">
        <x:v>70875427</x:v>
      </x:c>
      <x:c r="E234" t="str">
        <x:v>est0233@alumnos.blenkir.edu.pe</x:v>
      </x:c>
      <x:c r="F234" t="n">
        <x:v>6</x:v>
      </x:c>
      <x:c r="G234" t="str">
        <x:v>B</x:v>
      </x:c>
      <x:c r="H234" t="str">
        <x:v>6B</x:v>
      </x:c>
      <x:c r="I234" t="str">
        <x:v>activo</x:v>
      </x:c>
      <x:c r="J234" t="str">
        <x:v>activa</x:v>
      </x:c>
      <x:c r="K234" t="n">
        <x:v>15.22</x:v>
      </x:c>
      <x:c r="L234" t="n">
        <x:v>0</x:v>
      </x:c>
      <x:c r="M234" t="n">
        <x:v>97.25</x:v>
      </x:c>
      <x:c r="N234" t="n">
        <x:v>8.98</x:v>
      </x:c>
      <x:c r="O234" t="n">
        <x:v>15.9</x:v>
      </x:c>
      <x:c r="P234" t="n">
        <x:v>17</x:v>
      </x:c>
      <x:c r="Q234" t="n">
        <x:v>11</x:v>
      </x:c>
      <x:c r="R234" t="str">
        <x:v>continua</x:v>
      </x:c>
      <x:c r="S234" s="24" t="b">
        <x:v>1</x:v>
      </x:c>
      <x:c r="T234" s="36" t="str">
        <x:v>2026-03-02</x:v>
      </x:c>
      <x:c r="U234" t="str">
        <x:v>912377717</x:v>
      </x:c>
    </x:row>
    <x:row r="235">
      <x:c r="A235" t="str">
        <x:v>EST-0234</x:v>
      </x:c>
      <x:c r="B235" t="str">
        <x:v>Luis</x:v>
      </x:c>
      <x:c r="C235" t="str">
        <x:v>Medina Soto</x:v>
      </x:c>
      <x:c r="D235" t="str">
        <x:v>72994614</x:v>
      </x:c>
      <x:c r="E235" t="str">
        <x:v>est0234@alumnos.blenkir.edu.pe</x:v>
      </x:c>
      <x:c r="F235" t="n">
        <x:v>6</x:v>
      </x:c>
      <x:c r="G235" t="str">
        <x:v>B</x:v>
      </x:c>
      <x:c r="H235" t="str">
        <x:v>6B</x:v>
      </x:c>
      <x:c r="I235" t="str">
        <x:v>activo</x:v>
      </x:c>
      <x:c r="J235" t="str">
        <x:v>activa</x:v>
      </x:c>
      <x:c r="K235" t="n">
        <x:v>15.82</x:v>
      </x:c>
      <x:c r="L235" t="n">
        <x:v>0</x:v>
      </x:c>
      <x:c r="M235" t="n">
        <x:v>93.79</x:v>
      </x:c>
      <x:c r="N235" t="n">
        <x:v>8.73</x:v>
      </x:c>
      <x:c r="O235" t="n">
        <x:v>17.21</x:v>
      </x:c>
      <x:c r="P235" t="n">
        <x:v>18</x:v>
      </x:c>
      <x:c r="Q235" t="n">
        <x:v>11</x:v>
      </x:c>
      <x:c r="R235" t="str">
        <x:v>continua</x:v>
      </x:c>
      <x:c r="S235" s="24" t="b">
        <x:v>1</x:v>
      </x:c>
      <x:c r="T235" s="36" t="str">
        <x:v>2026-03-02</x:v>
      </x:c>
      <x:c r="U235" t="str">
        <x:v>918968131</x:v>
      </x:c>
    </x:row>
    <x:row r="236">
      <x:c r="A236" t="str">
        <x:v>EST-0235</x:v>
      </x:c>
      <x:c r="B236" t="str">
        <x:v>Renato</x:v>
      </x:c>
      <x:c r="C236" t="str">
        <x:v>Salazar Carrasco</x:v>
      </x:c>
      <x:c r="D236" t="str">
        <x:v>71808697</x:v>
      </x:c>
      <x:c r="E236" t="str">
        <x:v>est0235@alumnos.blenkir.edu.pe</x:v>
      </x:c>
      <x:c r="F236" t="n">
        <x:v>6</x:v>
      </x:c>
      <x:c r="G236" t="str">
        <x:v>B</x:v>
      </x:c>
      <x:c r="H236" t="str">
        <x:v>6B</x:v>
      </x:c>
      <x:c r="I236" t="str">
        <x:v>activo</x:v>
      </x:c>
      <x:c r="J236" t="str">
        <x:v>activa</x:v>
      </x:c>
      <x:c r="K236" t="n">
        <x:v>15.54</x:v>
      </x:c>
      <x:c r="L236" t="n">
        <x:v>0</x:v>
      </x:c>
      <x:c r="M236" t="n">
        <x:v>97.23</x:v>
      </x:c>
      <x:c r="N236" t="n">
        <x:v>8.24</x:v>
      </x:c>
      <x:c r="O236" t="n">
        <x:v>18.16</x:v>
      </x:c>
      <x:c r="P236" t="n">
        <x:v>17</x:v>
      </x:c>
      <x:c r="Q236" t="n">
        <x:v>12</x:v>
      </x:c>
      <x:c r="R236" t="str">
        <x:v>continua</x:v>
      </x:c>
      <x:c r="S236" s="24" t="b">
        <x:v>1</x:v>
      </x:c>
      <x:c r="T236" s="36" t="str">
        <x:v>2026-03-02</x:v>
      </x:c>
      <x:c r="U236" t="str">
        <x:v>966066038</x:v>
      </x:c>
    </x:row>
    <x:row r="237">
      <x:c r="A237" t="str">
        <x:v>EST-0236</x:v>
      </x:c>
      <x:c r="B237" t="str">
        <x:v>Camila</x:v>
      </x:c>
      <x:c r="C237" t="str">
        <x:v>Zúñiga López</x:v>
      </x:c>
      <x:c r="D237" t="str">
        <x:v>75362878</x:v>
      </x:c>
      <x:c r="E237" t="str">
        <x:v>est0236@alumnos.blenkir.edu.pe</x:v>
      </x:c>
      <x:c r="F237" t="n">
        <x:v>6</x:v>
      </x:c>
      <x:c r="G237" t="str">
        <x:v>B</x:v>
      </x:c>
      <x:c r="H237" t="str">
        <x:v>6B</x:v>
      </x:c>
      <x:c r="I237" t="str">
        <x:v>retirado</x:v>
      </x:c>
      <x:c r="J237" t="str">
        <x:v>trasladada</x:v>
      </x:c>
      <x:c r="K237" t="n">
        <x:v>14.52</x:v>
      </x:c>
      <x:c r="L237" t="n">
        <x:v>0</x:v>
      </x:c>
      <x:c r="M237" t="n">
        <x:v>95.32</x:v>
      </x:c>
      <x:c r="N237" t="n">
        <x:v>6.82</x:v>
      </x:c>
      <x:c r="O237" t="n">
        <x:v>10.41</x:v>
      </x:c>
      <x:c r="P237" t="n">
        <x:v>12</x:v>
      </x:c>
      <x:c r="Q237" t="n">
        <x:v>8</x:v>
      </x:c>
      <x:c r="R237" t="str">
        <x:v>trasladada</x:v>
      </x:c>
      <x:c r="S237" s="24" t="b">
        <x:v>1</x:v>
      </x:c>
      <x:c r="T237" s="36" t="str">
        <x:v>2026-03-02</x:v>
      </x:c>
      <x:c r="U237" t="str">
        <x:v>931229566</x:v>
      </x:c>
    </x:row>
    <x:row r="238">
      <x:c r="A238" t="str">
        <x:v>EST-0237</x:v>
      </x:c>
      <x:c r="B238" t="str">
        <x:v>Isabella</x:v>
      </x:c>
      <x:c r="C238" t="str">
        <x:v>Castro Torres</x:v>
      </x:c>
      <x:c r="D238" t="str">
        <x:v>83885456</x:v>
      </x:c>
      <x:c r="E238" t="str">
        <x:v>est0237@alumnos.blenkir.edu.pe</x:v>
      </x:c>
      <x:c r="F238" t="n">
        <x:v>6</x:v>
      </x:c>
      <x:c r="G238" t="str">
        <x:v>B</x:v>
      </x:c>
      <x:c r="H238" t="str">
        <x:v>6B</x:v>
      </x:c>
      <x:c r="I238" t="str">
        <x:v>activo</x:v>
      </x:c>
      <x:c r="J238" t="str">
        <x:v>activa</x:v>
      </x:c>
      <x:c r="K238" t="n">
        <x:v>16.63</x:v>
      </x:c>
      <x:c r="L238" t="n">
        <x:v>0</x:v>
      </x:c>
      <x:c r="M238" t="n">
        <x:v>92.95</x:v>
      </x:c>
      <x:c r="N238" t="n">
        <x:v>9.44</x:v>
      </x:c>
      <x:c r="O238" t="n">
        <x:v>15.76</x:v>
      </x:c>
      <x:c r="P238" t="n">
        <x:v>17</x:v>
      </x:c>
      <x:c r="Q238" t="n">
        <x:v>14</x:v>
      </x:c>
      <x:c r="R238" t="str">
        <x:v>continua</x:v>
      </x:c>
      <x:c r="S238" s="24" t="b">
        <x:v>1</x:v>
      </x:c>
      <x:c r="T238" s="36" t="str">
        <x:v>2026-03-02</x:v>
      </x:c>
      <x:c r="U238" t="str">
        <x:v>927604350</x:v>
      </x:c>
    </x:row>
    <x:row r="239">
      <x:c r="A239" t="str">
        <x:v>EST-0238</x:v>
      </x:c>
      <x:c r="B239" t="str">
        <x:v>Paula</x:v>
      </x:c>
      <x:c r="C239" t="str">
        <x:v>Gonzales Castillo</x:v>
      </x:c>
      <x:c r="D239" t="str">
        <x:v>71902549</x:v>
      </x:c>
      <x:c r="E239" t="str">
        <x:v>est0238@alumnos.blenkir.edu.pe</x:v>
      </x:c>
      <x:c r="F239" t="n">
        <x:v>6</x:v>
      </x:c>
      <x:c r="G239" t="str">
        <x:v>B</x:v>
      </x:c>
      <x:c r="H239" t="str">
        <x:v>6B</x:v>
      </x:c>
      <x:c r="I239" t="str">
        <x:v>activo</x:v>
      </x:c>
      <x:c r="J239" t="str">
        <x:v>activa</x:v>
      </x:c>
      <x:c r="K239" t="n">
        <x:v>13.86</x:v>
      </x:c>
      <x:c r="L239" t="n">
        <x:v>0</x:v>
      </x:c>
      <x:c r="M239" t="n">
        <x:v>96.51</x:v>
      </x:c>
      <x:c r="N239" t="n">
        <x:v>9.58</x:v>
      </x:c>
      <x:c r="O239" t="n">
        <x:v>18.37</x:v>
      </x:c>
      <x:c r="P239" t="n">
        <x:v>17</x:v>
      </x:c>
      <x:c r="Q239" t="n">
        <x:v>16</x:v>
      </x:c>
      <x:c r="R239" t="str">
        <x:v>continua</x:v>
      </x:c>
      <x:c r="S239" s="24" t="b">
        <x:v>1</x:v>
      </x:c>
      <x:c r="T239" s="36" t="str">
        <x:v>2026-03-02</x:v>
      </x:c>
      <x:c r="U239" t="str">
        <x:v>902496341</x:v>
      </x:c>
    </x:row>
    <x:row r="240">
      <x:c r="A240" t="str">
        <x:v>EST-0239</x:v>
      </x:c>
      <x:c r="B240" t="str">
        <x:v>Andrea</x:v>
      </x:c>
      <x:c r="C240" t="str">
        <x:v>Pérez Mamani</x:v>
      </x:c>
      <x:c r="D240" t="str">
        <x:v>78833941</x:v>
      </x:c>
      <x:c r="E240" t="str">
        <x:v>est0239@alumnos.blenkir.edu.pe</x:v>
      </x:c>
      <x:c r="F240" t="n">
        <x:v>6</x:v>
      </x:c>
      <x:c r="G240" t="str">
        <x:v>B</x:v>
      </x:c>
      <x:c r="H240" t="str">
        <x:v>6B</x:v>
      </x:c>
      <x:c r="I240" t="str">
        <x:v>activo</x:v>
      </x:c>
      <x:c r="J240" t="str">
        <x:v>activa</x:v>
      </x:c>
      <x:c r="K240" t="n">
        <x:v>15.86</x:v>
      </x:c>
      <x:c r="L240" t="n">
        <x:v>0</x:v>
      </x:c>
      <x:c r="M240" t="n">
        <x:v>85.74</x:v>
      </x:c>
      <x:c r="N240" t="n">
        <x:v>8.01</x:v>
      </x:c>
      <x:c r="O240" t="n">
        <x:v>13.11</x:v>
      </x:c>
      <x:c r="P240" t="n">
        <x:v>12</x:v>
      </x:c>
      <x:c r="Q240" t="n">
        <x:v>10</x:v>
      </x:c>
      <x:c r="R240" t="str">
        <x:v>continua</x:v>
      </x:c>
      <x:c r="S240" s="24" t="b">
        <x:v>1</x:v>
      </x:c>
      <x:c r="T240" s="36" t="str">
        <x:v>2026-03-02</x:v>
      </x:c>
      <x:c r="U240" t="str">
        <x:v>942050700</x:v>
      </x:c>
    </x:row>
    <x:row r="241">
      <x:c r="A241" t="str">
        <x:v>EST-0240</x:v>
      </x:c>
      <x:c r="B241" t="str">
        <x:v>Cristian</x:v>
      </x:c>
      <x:c r="C241" t="str">
        <x:v>Valdivia Vargas</x:v>
      </x:c>
      <x:c r="D241" t="str">
        <x:v>78432430</x:v>
      </x:c>
      <x:c r="E241" t="str">
        <x:v>est0240@alumnos.blenkir.edu.pe</x:v>
      </x:c>
      <x:c r="F241" t="n">
        <x:v>6</x:v>
      </x:c>
      <x:c r="G241" t="str">
        <x:v>C</x:v>
      </x:c>
      <x:c r="H241" t="str">
        <x:v>6C</x:v>
      </x:c>
      <x:c r="I241" t="str">
        <x:v>activo</x:v>
      </x:c>
      <x:c r="J241" t="str">
        <x:v>activa</x:v>
      </x:c>
      <x:c r="K241" t="n">
        <x:v>16.22</x:v>
      </x:c>
      <x:c r="L241" t="n">
        <x:v>0</x:v>
      </x:c>
      <x:c r="M241" t="n">
        <x:v>99.5</x:v>
      </x:c>
      <x:c r="N241" t="n">
        <x:v>6.08</x:v>
      </x:c>
      <x:c r="O241" t="n">
        <x:v>13.45</x:v>
      </x:c>
      <x:c r="P241" t="n">
        <x:v>12</x:v>
      </x:c>
      <x:c r="Q241" t="n">
        <x:v>11</x:v>
      </x:c>
      <x:c r="R241" t="str">
        <x:v>continua</x:v>
      </x:c>
      <x:c r="S241" s="24" t="b">
        <x:v>1</x:v>
      </x:c>
      <x:c r="T241" s="36" t="str">
        <x:v>2026-03-02</x:v>
      </x:c>
      <x:c r="U241" t="str">
        <x:v>964898180</x:v>
      </x:c>
    </x:row>
    <x:row r="242">
      <x:c r="A242" t="str">
        <x:v>EST-0241</x:v>
      </x:c>
      <x:c r="B242" t="str">
        <x:v>Gabriel</x:v>
      </x:c>
      <x:c r="C242" t="str">
        <x:v>Bendezú Castro</x:v>
      </x:c>
      <x:c r="D242" t="str">
        <x:v>73413113</x:v>
      </x:c>
      <x:c r="E242" t="str">
        <x:v>est0241@alumnos.blenkir.edu.pe</x:v>
      </x:c>
      <x:c r="F242" t="n">
        <x:v>6</x:v>
      </x:c>
      <x:c r="G242" t="str">
        <x:v>C</x:v>
      </x:c>
      <x:c r="H242" t="str">
        <x:v>6C</x:v>
      </x:c>
      <x:c r="I242" t="str">
        <x:v>activo</x:v>
      </x:c>
      <x:c r="J242" t="str">
        <x:v>activa</x:v>
      </x:c>
      <x:c r="K242" t="n">
        <x:v>17.7</x:v>
      </x:c>
      <x:c r="L242" t="n">
        <x:v>0</x:v>
      </x:c>
      <x:c r="M242" t="n">
        <x:v>97.49</x:v>
      </x:c>
      <x:c r="N242" t="n">
        <x:v>7.82</x:v>
      </x:c>
      <x:c r="O242" t="n">
        <x:v>15.07</x:v>
      </x:c>
      <x:c r="P242" t="n">
        <x:v>15</x:v>
      </x:c>
      <x:c r="Q242" t="n">
        <x:v>13</x:v>
      </x:c>
      <x:c r="R242" t="str">
        <x:v>continua</x:v>
      </x:c>
      <x:c r="S242" s="24" t="b">
        <x:v>1</x:v>
      </x:c>
      <x:c r="T242" s="36" t="str">
        <x:v>2026-03-02</x:v>
      </x:c>
      <x:c r="U242" t="str">
        <x:v>916687364</x:v>
      </x:c>
    </x:row>
    <x:row r="243">
      <x:c r="A243" t="str">
        <x:v>EST-0242</x:v>
      </x:c>
      <x:c r="B243" t="str">
        <x:v>Jorge</x:v>
      </x:c>
      <x:c r="C243" t="str">
        <x:v>Dávila Medina</x:v>
      </x:c>
      <x:c r="D243" t="str">
        <x:v>88472705</x:v>
      </x:c>
      <x:c r="E243" t="str">
        <x:v>est0242@alumnos.blenkir.edu.pe</x:v>
      </x:c>
      <x:c r="F243" t="n">
        <x:v>6</x:v>
      </x:c>
      <x:c r="G243" t="str">
        <x:v>C</x:v>
      </x:c>
      <x:c r="H243" t="str">
        <x:v>6C</x:v>
      </x:c>
      <x:c r="I243" t="str">
        <x:v>activo</x:v>
      </x:c>
      <x:c r="J243" t="str">
        <x:v>activa</x:v>
      </x:c>
      <x:c r="K243" t="n">
        <x:v>15.09</x:v>
      </x:c>
      <x:c r="L243" t="n">
        <x:v>0</x:v>
      </x:c>
      <x:c r="M243" t="n">
        <x:v>94.97</x:v>
      </x:c>
      <x:c r="N243" t="n">
        <x:v>9.91</x:v>
      </x:c>
      <x:c r="O243" t="n">
        <x:v>18.57</x:v>
      </x:c>
      <x:c r="P243" t="n">
        <x:v>15</x:v>
      </x:c>
      <x:c r="Q243" t="n">
        <x:v>15</x:v>
      </x:c>
      <x:c r="R243" t="str">
        <x:v>continua</x:v>
      </x:c>
      <x:c r="S243" s="24" t="b">
        <x:v>1</x:v>
      </x:c>
      <x:c r="T243" s="36" t="str">
        <x:v>2026-03-02</x:v>
      </x:c>
      <x:c r="U243" t="str">
        <x:v>929863739</x:v>
      </x:c>
    </x:row>
    <x:row r="244">
      <x:c r="A244" t="str">
        <x:v>EST-0243</x:v>
      </x:c>
      <x:c r="B244" t="str">
        <x:v>Miguel</x:v>
      </x:c>
      <x:c r="C244" t="str">
        <x:v>Mamani Vargas</x:v>
      </x:c>
      <x:c r="D244" t="str">
        <x:v>85889775</x:v>
      </x:c>
      <x:c r="E244" t="str">
        <x:v>est0243@alumnos.blenkir.edu.pe</x:v>
      </x:c>
      <x:c r="F244" t="n">
        <x:v>6</x:v>
      </x:c>
      <x:c r="G244" t="str">
        <x:v>C</x:v>
      </x:c>
      <x:c r="H244" t="str">
        <x:v>6C</x:v>
      </x:c>
      <x:c r="I244" t="str">
        <x:v>activo</x:v>
      </x:c>
      <x:c r="J244" t="str">
        <x:v>activa</x:v>
      </x:c>
      <x:c r="K244" t="n">
        <x:v>16.7</x:v>
      </x:c>
      <x:c r="L244" t="n">
        <x:v>0</x:v>
      </x:c>
      <x:c r="M244" t="n">
        <x:v>93.43</x:v>
      </x:c>
      <x:c r="N244" t="n">
        <x:v>9.82</x:v>
      </x:c>
      <x:c r="O244" t="n">
        <x:v>18.64</x:v>
      </x:c>
      <x:c r="P244" t="n">
        <x:v>17</x:v>
      </x:c>
      <x:c r="Q244" t="n">
        <x:v>11</x:v>
      </x:c>
      <x:c r="R244" t="str">
        <x:v>continua</x:v>
      </x:c>
      <x:c r="S244" s="24" t="b">
        <x:v>1</x:v>
      </x:c>
      <x:c r="T244" s="36" t="str">
        <x:v>2026-03-02</x:v>
      </x:c>
      <x:c r="U244" t="str">
        <x:v>910585703</x:v>
      </x:c>
    </x:row>
    <x:row r="245">
      <x:c r="A245" t="str">
        <x:v>EST-0244</x:v>
      </x:c>
      <x:c r="B245" t="str">
        <x:v>Sergio</x:v>
      </x:c>
      <x:c r="C245" t="str">
        <x:v>Romero Chávez</x:v>
      </x:c>
      <x:c r="D245" t="str">
        <x:v>84093221</x:v>
      </x:c>
      <x:c r="E245" t="str">
        <x:v>est0244@alumnos.blenkir.edu.pe</x:v>
      </x:c>
      <x:c r="F245" t="n">
        <x:v>6</x:v>
      </x:c>
      <x:c r="G245" t="str">
        <x:v>C</x:v>
      </x:c>
      <x:c r="H245" t="str">
        <x:v>6C</x:v>
      </x:c>
      <x:c r="I245" t="str">
        <x:v>activo</x:v>
      </x:c>
      <x:c r="J245" t="str">
        <x:v>activa</x:v>
      </x:c>
      <x:c r="K245" t="n">
        <x:v>14.56</x:v>
      </x:c>
      <x:c r="L245" t="n">
        <x:v>0</x:v>
      </x:c>
      <x:c r="M245" t="n">
        <x:v>95.41</x:v>
      </x:c>
      <x:c r="N245" t="n">
        <x:v>5.83</x:v>
      </x:c>
      <x:c r="O245" t="n">
        <x:v>11.3</x:v>
      </x:c>
      <x:c r="P245" t="n">
        <x:v>15</x:v>
      </x:c>
      <x:c r="Q245" t="n">
        <x:v>11</x:v>
      </x:c>
      <x:c r="R245" t="str">
        <x:v>continua</x:v>
      </x:c>
      <x:c r="S245" s="24" t="b">
        <x:v>1</x:v>
      </x:c>
      <x:c r="T245" s="36" t="str">
        <x:v>2026-03-02</x:v>
      </x:c>
      <x:c r="U245" t="str">
        <x:v>996837186</x:v>
      </x:c>
    </x:row>
    <x:row r="246">
      <x:c r="A246" t="str">
        <x:v>EST-0245</x:v>
      </x:c>
      <x:c r="B246" t="str">
        <x:v>Elena</x:v>
      </x:c>
      <x:c r="C246" t="str">
        <x:v>Yupanqui Mendoza</x:v>
      </x:c>
      <x:c r="D246" t="str">
        <x:v>87109456</x:v>
      </x:c>
      <x:c r="E246" t="str">
        <x:v>est0245@alumnos.blenkir.edu.pe</x:v>
      </x:c>
      <x:c r="F246" t="n">
        <x:v>6</x:v>
      </x:c>
      <x:c r="G246" t="str">
        <x:v>C</x:v>
      </x:c>
      <x:c r="H246" t="str">
        <x:v>6C</x:v>
      </x:c>
      <x:c r="I246" t="str">
        <x:v>activo</x:v>
      </x:c>
      <x:c r="J246" t="str">
        <x:v>activa</x:v>
      </x:c>
      <x:c r="K246" t="n">
        <x:v>15.81</x:v>
      </x:c>
      <x:c r="L246" t="n">
        <x:v>0</x:v>
      </x:c>
      <x:c r="M246" t="n">
        <x:v>99.32</x:v>
      </x:c>
      <x:c r="N246" t="n">
        <x:v>10.08</x:v>
      </x:c>
      <x:c r="O246" t="n">
        <x:v>20.76</x:v>
      </x:c>
      <x:c r="P246" t="n">
        <x:v>17</x:v>
      </x:c>
      <x:c r="Q246" t="n">
        <x:v>14</x:v>
      </x:c>
      <x:c r="R246" t="str">
        <x:v>continua</x:v>
      </x:c>
      <x:c r="S246" s="24" t="b">
        <x:v>1</x:v>
      </x:c>
      <x:c r="T246" s="36" t="str">
        <x:v>2026-03-02</x:v>
      </x:c>
      <x:c r="U246" t="str">
        <x:v>904673421</x:v>
      </x:c>
    </x:row>
    <x:row r="247">
      <x:c r="A247" t="str">
        <x:v>EST-0246</x:v>
      </x:c>
      <x:c r="B247" t="str">
        <x:v>Mariana</x:v>
      </x:c>
      <x:c r="C247" t="str">
        <x:v>Castillo Vásquez</x:v>
      </x:c>
      <x:c r="D247" t="str">
        <x:v>83706917</x:v>
      </x:c>
      <x:c r="E247" t="str">
        <x:v>est0246@alumnos.blenkir.edu.pe</x:v>
      </x:c>
      <x:c r="F247" t="n">
        <x:v>6</x:v>
      </x:c>
      <x:c r="G247" t="str">
        <x:v>C</x:v>
      </x:c>
      <x:c r="H247" t="str">
        <x:v>6C</x:v>
      </x:c>
      <x:c r="I247" t="str">
        <x:v>activo</x:v>
      </x:c>
      <x:c r="J247" t="str">
        <x:v>activa</x:v>
      </x:c>
      <x:c r="K247" t="n">
        <x:v>15.98</x:v>
      </x:c>
      <x:c r="L247" t="n">
        <x:v>0</x:v>
      </x:c>
      <x:c r="M247" t="n">
        <x:v>98.45</x:v>
      </x:c>
      <x:c r="N247" t="n">
        <x:v>6.46</x:v>
      </x:c>
      <x:c r="O247" t="n">
        <x:v>12.54</x:v>
      </x:c>
      <x:c r="P247" t="n">
        <x:v>11</x:v>
      </x:c>
      <x:c r="Q247" t="n">
        <x:v>9</x:v>
      </x:c>
      <x:c r="R247" t="str">
        <x:v>continua</x:v>
      </x:c>
      <x:c r="S247" s="24" t="b">
        <x:v>1</x:v>
      </x:c>
      <x:c r="T247" s="36" t="str">
        <x:v>2026-03-02</x:v>
      </x:c>
      <x:c r="U247" t="str">
        <x:v>974421036</x:v>
      </x:c>
    </x:row>
    <x:row r="248">
      <x:c r="A248" t="str">
        <x:v>EST-0247</x:v>
      </x:c>
      <x:c r="B248" t="str">
        <x:v>Sofía</x:v>
      </x:c>
      <x:c r="C248" t="str">
        <x:v>Gómez Condori</x:v>
      </x:c>
      <x:c r="D248" t="str">
        <x:v>77037750</x:v>
      </x:c>
      <x:c r="E248" t="str">
        <x:v>est0247@alumnos.blenkir.edu.pe</x:v>
      </x:c>
      <x:c r="F248" t="n">
        <x:v>6</x:v>
      </x:c>
      <x:c r="G248" t="str">
        <x:v>C</x:v>
      </x:c>
      <x:c r="H248" t="str">
        <x:v>6C</x:v>
      </x:c>
      <x:c r="I248" t="str">
        <x:v>retirado</x:v>
      </x:c>
      <x:c r="J248" t="str">
        <x:v>trasladada</x:v>
      </x:c>
      <x:c r="K248" t="n">
        <x:v>10.55</x:v>
      </x:c>
      <x:c r="L248" t="n">
        <x:v>1</x:v>
      </x:c>
      <x:c r="M248" t="n">
        <x:v>85.96</x:v>
      </x:c>
      <x:c r="N248" t="n">
        <x:v>6.42</x:v>
      </x:c>
      <x:c r="O248" t="n">
        <x:v>10.74</x:v>
      </x:c>
      <x:c r="P248" t="n">
        <x:v>12</x:v>
      </x:c>
      <x:c r="Q248" t="n">
        <x:v>8</x:v>
      </x:c>
      <x:c r="R248" t="str">
        <x:v>trasladada</x:v>
      </x:c>
      <x:c r="S248" s="24" t="b">
        <x:v>1</x:v>
      </x:c>
      <x:c r="T248" s="36" t="str">
        <x:v>2026-03-02</x:v>
      </x:c>
      <x:c r="U248" t="str">
        <x:v>901285308</x:v>
      </x:c>
    </x:row>
    <x:row r="249">
      <x:c r="A249" t="str">
        <x:v>EST-0248</x:v>
      </x:c>
      <x:c r="B249" t="str">
        <x:v>Alejandro</x:v>
      </x:c>
      <x:c r="C249" t="str">
        <x:v>Paredes Morales</x:v>
      </x:c>
      <x:c r="D249" t="str">
        <x:v>75234186</x:v>
      </x:c>
      <x:c r="E249" t="str">
        <x:v>est0248@alumnos.blenkir.edu.pe</x:v>
      </x:c>
      <x:c r="F249" t="n">
        <x:v>6</x:v>
      </x:c>
      <x:c r="G249" t="str">
        <x:v>C</x:v>
      </x:c>
      <x:c r="H249" t="str">
        <x:v>6C</x:v>
      </x:c>
      <x:c r="I249" t="str">
        <x:v>activo</x:v>
      </x:c>
      <x:c r="J249" t="str">
        <x:v>activa</x:v>
      </x:c>
      <x:c r="K249" t="n">
        <x:v>14.46</x:v>
      </x:c>
      <x:c r="L249" t="n">
        <x:v>0</x:v>
      </x:c>
      <x:c r="M249" t="n">
        <x:v>89.94</x:v>
      </x:c>
      <x:c r="N249" t="n">
        <x:v>10.73</x:v>
      </x:c>
      <x:c r="O249" t="n">
        <x:v>20.41</x:v>
      </x:c>
      <x:c r="P249" t="n">
        <x:v>19</x:v>
      </x:c>
      <x:c r="Q249" t="n">
        <x:v>15</x:v>
      </x:c>
      <x:c r="R249" t="str">
        <x:v>continua</x:v>
      </x:c>
      <x:c r="S249" s="24" t="b">
        <x:v>1</x:v>
      </x:c>
      <x:c r="T249" s="36" t="str">
        <x:v>2026-03-02</x:v>
      </x:c>
      <x:c r="U249" t="str">
        <x:v>934705964</x:v>
      </x:c>
    </x:row>
    <x:row r="250">
      <x:c r="A250" t="str">
        <x:v>EST-0249</x:v>
      </x:c>
      <x:c r="B250" t="str">
        <x:v>Diego</x:v>
      </x:c>
      <x:c r="C250" t="str">
        <x:v>Torres Vega</x:v>
      </x:c>
      <x:c r="D250" t="str">
        <x:v>73293878</x:v>
      </x:c>
      <x:c r="E250" t="str">
        <x:v>est0249@alumnos.blenkir.edu.pe</x:v>
      </x:c>
      <x:c r="F250" t="n">
        <x:v>6</x:v>
      </x:c>
      <x:c r="G250" t="str">
        <x:v>C</x:v>
      </x:c>
      <x:c r="H250" t="str">
        <x:v>6C</x:v>
      </x:c>
      <x:c r="I250" t="str">
        <x:v>activo</x:v>
      </x:c>
      <x:c r="J250" t="str">
        <x:v>activa</x:v>
      </x:c>
      <x:c r="K250" t="n">
        <x:v>14.35</x:v>
      </x:c>
      <x:c r="L250" t="n">
        <x:v>0</x:v>
      </x:c>
      <x:c r="M250" t="n">
        <x:v>89.22</x:v>
      </x:c>
      <x:c r="N250" t="n">
        <x:v>5.15</x:v>
      </x:c>
      <x:c r="O250" t="n">
        <x:v>10.52</x:v>
      </x:c>
      <x:c r="P250" t="n">
        <x:v>11</x:v>
      </x:c>
      <x:c r="Q250" t="n">
        <x:v>10</x:v>
      </x:c>
      <x:c r="R250" t="str">
        <x:v>continua</x:v>
      </x:c>
      <x:c r="S250" s="24" t="b">
        <x:v>1</x:v>
      </x:c>
      <x:c r="T250" s="36" t="str">
        <x:v>2026-03-02</x:v>
      </x:c>
      <x:c r="U250" t="str">
        <x:v>984938506</x:v>
      </x:c>
    </x:row>
    <x:row r="251">
      <x:c r="A251" t="str">
        <x:v>EST-0250</x:v>
      </x:c>
      <x:c r="B251" t="str">
        <x:v>Héctor</x:v>
      </x:c>
      <x:c r="C251" t="str">
        <x:v>Arias Contreras</x:v>
      </x:c>
      <x:c r="D251" t="str">
        <x:v>81786348</x:v>
      </x:c>
      <x:c r="E251" t="str">
        <x:v>est0250@alumnos.blenkir.edu.pe</x:v>
      </x:c>
      <x:c r="F251" t="n">
        <x:v>6</x:v>
      </x:c>
      <x:c r="G251" t="str">
        <x:v>C</x:v>
      </x:c>
      <x:c r="H251" t="str">
        <x:v>6C</x:v>
      </x:c>
      <x:c r="I251" t="str">
        <x:v>activo</x:v>
      </x:c>
      <x:c r="J251" t="str">
        <x:v>activa</x:v>
      </x:c>
      <x:c r="K251" t="n">
        <x:v>16.97</x:v>
      </x:c>
      <x:c r="L251" t="n">
        <x:v>0</x:v>
      </x:c>
      <x:c r="M251" t="n">
        <x:v>91.55</x:v>
      </x:c>
      <x:c r="N251" t="n">
        <x:v>3.82</x:v>
      </x:c>
      <x:c r="O251" t="n">
        <x:v>6.38</x:v>
      </x:c>
      <x:c r="P251" t="n">
        <x:v>10</x:v>
      </x:c>
      <x:c r="Q251" t="n">
        <x:v>5</x:v>
      </x:c>
      <x:c r="R251" t="str">
        <x:v>continua</x:v>
      </x:c>
      <x:c r="S251" s="24" t="b">
        <x:v>1</x:v>
      </x:c>
      <x:c r="T251" s="36" t="str">
        <x:v>2026-03-02</x:v>
      </x:c>
      <x:c r="U251" t="str">
        <x:v>944610799</x:v>
      </x:c>
    </x:row>
  </x:sheetData>
  <x:conditionalFormatting sqref="K2:Q25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2" hidden="0" customWidth="1"/>
    <x:col min="5" max="5" width="20" hidden="0" customWidth="1"/>
  </x:cols>
  <x:sheetData>
    <x:row r="1">
      <x:c r="A1" s="31" t="str">
        <x:v>grado</x:v>
      </x:c>
      <x:c r="B1" s="31" t="str">
        <x:v>seccion</x:v>
      </x:c>
      <x:c r="C1" s="31" t="str">
        <x:v>seccion_codigo</x:v>
      </x:c>
      <x:c r="D1" s="31" t="str">
        <x:v>capacidad</x:v>
      </x:c>
      <x:c r="E1" s="31" t="str">
        <x:v>estudiantes_dataset</x:v>
      </x:c>
    </x:row>
    <x:row r="2">
      <x:c r="A2" t="n">
        <x:v>1</x:v>
      </x:c>
      <x:c r="B2" t="str">
        <x:v>A</x:v>
      </x:c>
      <x:c r="C2" t="str">
        <x:v>1A</x:v>
      </x:c>
      <x:c r="D2" t="n">
        <x:v>30</x:v>
      </x:c>
      <x:c r="E2" t="n">
        <x:v>12</x:v>
      </x:c>
    </x:row>
    <x:row r="3">
      <x:c r="A3" t="n">
        <x:v>1</x:v>
      </x:c>
      <x:c r="B3" t="str">
        <x:v>B</x:v>
      </x:c>
      <x:c r="C3" t="str">
        <x:v>1B</x:v>
      </x:c>
      <x:c r="D3" t="n">
        <x:v>30</x:v>
      </x:c>
      <x:c r="E3" t="n">
        <x:v>12</x:v>
      </x:c>
    </x:row>
    <x:row r="4">
      <x:c r="A4" t="n">
        <x:v>1</x:v>
      </x:c>
      <x:c r="B4" t="str">
        <x:v>C</x:v>
      </x:c>
      <x:c r="C4" t="str">
        <x:v>1C</x:v>
      </x:c>
      <x:c r="D4" t="n">
        <x:v>30</x:v>
      </x:c>
      <x:c r="E4" t="n">
        <x:v>11</x:v>
      </x:c>
    </x:row>
    <x:row r="5">
      <x:c r="A5" t="n">
        <x:v>1</x:v>
      </x:c>
      <x:c r="B5" t="str">
        <x:v>D</x:v>
      </x:c>
      <x:c r="C5" t="str">
        <x:v>1D</x:v>
      </x:c>
      <x:c r="D5" t="n">
        <x:v>30</x:v>
      </x:c>
      <x:c r="E5" t="n">
        <x:v>11</x:v>
      </x:c>
    </x:row>
    <x:row r="6">
      <x:c r="A6" t="n">
        <x:v>2</x:v>
      </x:c>
      <x:c r="B6" t="str">
        <x:v>A</x:v>
      </x:c>
      <x:c r="C6" t="str">
        <x:v>2A</x:v>
      </x:c>
      <x:c r="D6" t="n">
        <x:v>30</x:v>
      </x:c>
      <x:c r="E6" t="n">
        <x:v>12</x:v>
      </x:c>
    </x:row>
    <x:row r="7">
      <x:c r="A7" t="n">
        <x:v>2</x:v>
      </x:c>
      <x:c r="B7" t="str">
        <x:v>B</x:v>
      </x:c>
      <x:c r="C7" t="str">
        <x:v>2B</x:v>
      </x:c>
      <x:c r="D7" t="n">
        <x:v>30</x:v>
      </x:c>
      <x:c r="E7" t="n">
        <x:v>12</x:v>
      </x:c>
    </x:row>
    <x:row r="8">
      <x:c r="A8" t="n">
        <x:v>2</x:v>
      </x:c>
      <x:c r="B8" t="str">
        <x:v>C</x:v>
      </x:c>
      <x:c r="C8" t="str">
        <x:v>2C</x:v>
      </x:c>
      <x:c r="D8" t="n">
        <x:v>30</x:v>
      </x:c>
      <x:c r="E8" t="n">
        <x:v>11</x:v>
      </x:c>
    </x:row>
    <x:row r="9">
      <x:c r="A9" t="n">
        <x:v>2</x:v>
      </x:c>
      <x:c r="B9" t="str">
        <x:v>D</x:v>
      </x:c>
      <x:c r="C9" t="str">
        <x:v>2D</x:v>
      </x:c>
      <x:c r="D9" t="n">
        <x:v>30</x:v>
      </x:c>
      <x:c r="E9" t="n">
        <x:v>11</x:v>
      </x:c>
    </x:row>
    <x:row r="10">
      <x:c r="A10" t="n">
        <x:v>3</x:v>
      </x:c>
      <x:c r="B10" t="str">
        <x:v>A</x:v>
      </x:c>
      <x:c r="C10" t="str">
        <x:v>3A</x:v>
      </x:c>
      <x:c r="D10" t="n">
        <x:v>30</x:v>
      </x:c>
      <x:c r="E10" t="n">
        <x:v>12</x:v>
      </x:c>
    </x:row>
    <x:row r="11">
      <x:c r="A11" t="n">
        <x:v>3</x:v>
      </x:c>
      <x:c r="B11" t="str">
        <x:v>B</x:v>
      </x:c>
      <x:c r="C11" t="str">
        <x:v>3B</x:v>
      </x:c>
      <x:c r="D11" t="n">
        <x:v>30</x:v>
      </x:c>
      <x:c r="E11" t="n">
        <x:v>12</x:v>
      </x:c>
    </x:row>
    <x:row r="12">
      <x:c r="A12" t="n">
        <x:v>3</x:v>
      </x:c>
      <x:c r="B12" t="str">
        <x:v>C</x:v>
      </x:c>
      <x:c r="C12" t="str">
        <x:v>3C</x:v>
      </x:c>
      <x:c r="D12" t="n">
        <x:v>30</x:v>
      </x:c>
      <x:c r="E12" t="n">
        <x:v>11</x:v>
      </x:c>
    </x:row>
    <x:row r="13">
      <x:c r="A13" t="n">
        <x:v>3</x:v>
      </x:c>
      <x:c r="B13" t="str">
        <x:v>D</x:v>
      </x:c>
      <x:c r="C13" t="str">
        <x:v>3D</x:v>
      </x:c>
      <x:c r="D13" t="n">
        <x:v>30</x:v>
      </x:c>
      <x:c r="E13" t="n">
        <x:v>11</x:v>
      </x:c>
    </x:row>
    <x:row r="14">
      <x:c r="A14" t="n">
        <x:v>4</x:v>
      </x:c>
      <x:c r="B14" t="str">
        <x:v>A</x:v>
      </x:c>
      <x:c r="C14" t="str">
        <x:v>4A</x:v>
      </x:c>
      <x:c r="D14" t="n">
        <x:v>30</x:v>
      </x:c>
      <x:c r="E14" t="n">
        <x:v>12</x:v>
      </x:c>
    </x:row>
    <x:row r="15">
      <x:c r="A15" t="n">
        <x:v>4</x:v>
      </x:c>
      <x:c r="B15" t="str">
        <x:v>B</x:v>
      </x:c>
      <x:c r="C15" t="str">
        <x:v>4B</x:v>
      </x:c>
      <x:c r="D15" t="n">
        <x:v>30</x:v>
      </x:c>
      <x:c r="E15" t="n">
        <x:v>12</x:v>
      </x:c>
    </x:row>
    <x:row r="16">
      <x:c r="A16" t="n">
        <x:v>4</x:v>
      </x:c>
      <x:c r="B16" t="str">
        <x:v>C</x:v>
      </x:c>
      <x:c r="C16" t="str">
        <x:v>4C</x:v>
      </x:c>
      <x:c r="D16" t="n">
        <x:v>30</x:v>
      </x:c>
      <x:c r="E16" t="n">
        <x:v>11</x:v>
      </x:c>
    </x:row>
    <x:row r="17">
      <x:c r="A17" t="n">
        <x:v>4</x:v>
      </x:c>
      <x:c r="B17" t="str">
        <x:v>D</x:v>
      </x:c>
      <x:c r="C17" t="str">
        <x:v>4D</x:v>
      </x:c>
      <x:c r="D17" t="n">
        <x:v>30</x:v>
      </x:c>
      <x:c r="E17" t="n">
        <x:v>11</x:v>
      </x:c>
    </x:row>
    <x:row r="18">
      <x:c r="A18" t="n">
        <x:v>5</x:v>
      </x:c>
      <x:c r="B18" t="str">
        <x:v>A</x:v>
      </x:c>
      <x:c r="C18" t="str">
        <x:v>5A</x:v>
      </x:c>
      <x:c r="D18" t="n">
        <x:v>30</x:v>
      </x:c>
      <x:c r="E18" t="n">
        <x:v>11</x:v>
      </x:c>
    </x:row>
    <x:row r="19">
      <x:c r="A19" t="n">
        <x:v>5</x:v>
      </x:c>
      <x:c r="B19" t="str">
        <x:v>B</x:v>
      </x:c>
      <x:c r="C19" t="str">
        <x:v>5B</x:v>
      </x:c>
      <x:c r="D19" t="n">
        <x:v>30</x:v>
      </x:c>
      <x:c r="E19" t="n">
        <x:v>11</x:v>
      </x:c>
    </x:row>
    <x:row r="20">
      <x:c r="A20" t="n">
        <x:v>5</x:v>
      </x:c>
      <x:c r="B20" t="str">
        <x:v>C</x:v>
      </x:c>
      <x:c r="C20" t="str">
        <x:v>5C</x:v>
      </x:c>
      <x:c r="D20" t="n">
        <x:v>30</x:v>
      </x:c>
      <x:c r="E20" t="n">
        <x:v>11</x:v>
      </x:c>
    </x:row>
    <x:row r="21">
      <x:c r="A21" t="n">
        <x:v>6</x:v>
      </x:c>
      <x:c r="B21" t="str">
        <x:v>A</x:v>
      </x:c>
      <x:c r="C21" t="str">
        <x:v>6A</x:v>
      </x:c>
      <x:c r="D21" t="n">
        <x:v>30</x:v>
      </x:c>
      <x:c r="E21" t="n">
        <x:v>11</x:v>
      </x:c>
    </x:row>
    <x:row r="22">
      <x:c r="A22" t="n">
        <x:v>6</x:v>
      </x:c>
      <x:c r="B22" t="str">
        <x:v>B</x:v>
      </x:c>
      <x:c r="C22" t="str">
        <x:v>6B</x:v>
      </x:c>
      <x:c r="D22" t="n">
        <x:v>30</x:v>
      </x:c>
      <x:c r="E22" t="n">
        <x:v>11</x:v>
      </x:c>
    </x:row>
    <x:row r="23">
      <x:c r="A23" t="n">
        <x:v>6</x:v>
      </x:c>
      <x:c r="B23" t="str">
        <x:v>C</x:v>
      </x:c>
      <x:c r="C23" t="str">
        <x:v>6C</x:v>
      </x:c>
      <x:c r="D23" t="n">
        <x:v>30</x:v>
      </x:c>
      <x:c r="E23" t="n">
        <x:v>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14" hidden="0" customWidth="1"/>
  </x:cols>
  <x:sheetData>
    <x:row r="1">
      <x:c r="A1" s="31" t="str">
        <x:v>curso_codigo</x:v>
      </x:c>
      <x:c r="B1" s="31" t="str">
        <x:v>curso_nombre</x:v>
      </x:c>
      <x:c r="C1" s="31" t="str">
        <x:v>area_codigo</x:v>
      </x:c>
      <x:c r="D1" s="31" t="str">
        <x:v>desde_grado</x:v>
      </x:c>
    </x:row>
    <x:row r="2">
      <x:c r="A2" t="str">
        <x:v>ARI</x:v>
      </x:c>
      <x:c r="B2" t="str">
        <x:v>Aritmética</x:v>
      </x:c>
      <x:c r="C2" t="str">
        <x:v>MAT</x:v>
      </x:c>
      <x:c r="D2" t="n">
        <x:v>1</x:v>
      </x:c>
    </x:row>
    <x:row r="3">
      <x:c r="A3" t="str">
        <x:v>ALG</x:v>
      </x:c>
      <x:c r="B3" t="str">
        <x:v>Álgebra</x:v>
      </x:c>
      <x:c r="C3" t="str">
        <x:v>MAT</x:v>
      </x:c>
      <x:c r="D3" t="n">
        <x:v>3</x:v>
      </x:c>
    </x:row>
    <x:row r="4">
      <x:c r="A4" t="str">
        <x:v>RZM</x:v>
      </x:c>
      <x:c r="B4" t="str">
        <x:v>Razonamiento Matemático</x:v>
      </x:c>
      <x:c r="C4" t="str">
        <x:v>MAT</x:v>
      </x:c>
      <x:c r="D4" t="n">
        <x:v>3</x:v>
      </x:c>
    </x:row>
    <x:row r="5">
      <x:c r="A5" t="str">
        <x:v>GEO</x:v>
      </x:c>
      <x:c r="B5" t="str">
        <x:v>Geometría</x:v>
      </x:c>
      <x:c r="C5" t="str">
        <x:v>MAT</x:v>
      </x:c>
      <x:c r="D5" t="n">
        <x:v>3</x:v>
      </x:c>
    </x:row>
    <x:row r="6">
      <x:c r="A6" t="str">
        <x:v>PDT</x:v>
      </x:c>
      <x:c r="B6" t="str">
        <x:v>Producción de Textos</x:v>
      </x:c>
      <x:c r="C6" t="str">
        <x:v>COM</x:v>
      </x:c>
      <x:c r="D6" t="n">
        <x:v>1</x:v>
      </x:c>
    </x:row>
    <x:row r="7">
      <x:c r="A7" t="str">
        <x:v>GRA</x:v>
      </x:c>
      <x:c r="B7" t="str">
        <x:v>Gramática</x:v>
      </x:c>
      <x:c r="C7" t="str">
        <x:v>COM</x:v>
      </x:c>
      <x:c r="D7" t="n">
        <x:v>1</x:v>
      </x:c>
    </x:row>
    <x:row r="8">
      <x:c r="A8" t="str">
        <x:v>RZV</x:v>
      </x:c>
      <x:c r="B8" t="str">
        <x:v>Razonamiento Verbal</x:v>
      </x:c>
      <x:c r="C8" t="str">
        <x:v>COM</x:v>
      </x:c>
      <x:c r="D8" t="n">
        <x:v>1</x:v>
      </x:c>
    </x:row>
    <x:row r="9">
      <x:c r="A9" t="str">
        <x:v>CUH</x:v>
      </x:c>
      <x:c r="B9" t="str">
        <x:v>Cuerpo Humano</x:v>
      </x:c>
      <x:c r="C9" t="str">
        <x:v>CIE</x:v>
      </x:c>
      <x:c r="D9" t="n">
        <x:v>1</x:v>
      </x:c>
    </x:row>
    <x:row r="10">
      <x:c r="A10" t="str">
        <x:v>MUF</x:v>
      </x:c>
      <x:c r="B10" t="str">
        <x:v>Mundo Físico</x:v>
      </x:c>
      <x:c r="C10" t="str">
        <x:v>CIE</x:v>
      </x:c>
      <x:c r="D10" t="n">
        <x:v>1</x:v>
      </x:c>
    </x:row>
    <x:row r="11">
      <x:c r="A11" t="str">
        <x:v>CIU</x:v>
      </x:c>
      <x:c r="B11" t="str">
        <x:v>Ciudadanía</x:v>
      </x:c>
      <x:c r="C11" t="str">
        <x:v>SOC</x:v>
      </x:c>
      <x:c r="D11" t="n">
        <x:v>1</x:v>
      </x:c>
    </x:row>
    <x:row r="12">
      <x:c r="A12" t="str">
        <x:v>GEG</x:v>
      </x:c>
      <x:c r="B12" t="str">
        <x:v>Geografía</x:v>
      </x:c>
      <x:c r="C12" t="str">
        <x:v>SOC</x:v>
      </x:c>
      <x:c r="D12" t="n">
        <x:v>1</x:v>
      </x:c>
    </x:row>
    <x:row r="13">
      <x:c r="A13" t="str">
        <x:v>HIS</x:v>
      </x:c>
      <x:c r="B13" t="str">
        <x:v>Historia</x:v>
      </x:c>
      <x:c r="C13" t="str">
        <x:v>SOC</x:v>
      </x:c>
      <x:c r="D13" t="n">
        <x:v>1</x:v>
      </x:c>
    </x:row>
    <x:row r="14">
      <x:c r="A14" t="str">
        <x:v>REL</x:v>
      </x:c>
      <x:c r="B14" t="str">
        <x:v>Religión</x:v>
      </x:c>
      <x:c r="C14" t="str">
        <x:v>REL</x:v>
      </x:c>
      <x:c r="D14" t="n">
        <x:v>1</x:v>
      </x:c>
    </x:row>
    <x:row r="15">
      <x:c r="A15" t="str">
        <x:v>ING</x:v>
      </x:c>
      <x:c r="B15" t="str">
        <x:v>Inglés</x:v>
      </x:c>
      <x:c r="C15" t="str">
        <x:v>IDI</x:v>
      </x:c>
      <x:c r="D15" t="n">
        <x:v>1</x:v>
      </x:c>
    </x:row>
    <x:row r="16">
      <x:c r="A16" t="str">
        <x:v>TAL</x:v>
      </x:c>
      <x:c r="B16" t="str">
        <x:v>Taller</x:v>
      </x:c>
      <x:c r="C16" t="str">
        <x:v>TAL</x:v>
      </x:c>
      <x:c r="D16" t="n">
        <x:v>1</x:v>
      </x:c>
    </x:row>
    <x:row r="17">
      <x:c r="A17" t="str">
        <x:v>EDF</x:v>
      </x:c>
      <x:c r="B17" t="str">
        <x:v>Educación Física</x:v>
      </x:c>
      <x:c r="C17" t="str">
        <x:v>EDF</x:v>
      </x:c>
      <x:c r="D17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2" hidden="0" customWidth="1"/>
    <x:col min="4" max="4" width="14" hidden="0" customWidth="1"/>
    <x:col min="5" max="5" width="8" hidden="0" customWidth="1"/>
    <x:col min="6" max="6" width="8" hidden="0" customWidth="1"/>
    <x:col min="7" max="7" width="16" hidden="0" customWidth="1"/>
    <x:col min="8" max="8" width="16" hidden="0" customWidth="1"/>
    <x:col min="9" max="9" width="10" hidden="0" customWidth="1"/>
    <x:col min="10" max="10" width="10" hidden="0" customWidth="1"/>
  </x:cols>
  <x:sheetData>
    <x:row r="1" ht="28" customHeight="1">
      <x:c r="A1" s="40" t="str">
        <x:v>oferta_codigo</x:v>
      </x:c>
      <x:c r="B1" s="40" t="str">
        <x:v>curso_codigo</x:v>
      </x:c>
      <x:c r="C1" s="40" t="str">
        <x:v>curso_nombre</x:v>
      </x:c>
      <x:c r="D1" s="40" t="str">
        <x:v>area_codigo</x:v>
      </x:c>
      <x:c r="E1" s="40" t="str">
        <x:v>grado</x:v>
      </x:c>
      <x:c r="F1" s="40" t="str">
        <x:v>seccion</x:v>
      </x:c>
      <x:c r="G1" s="40" t="str">
        <x:v>seccion_codigo</x:v>
      </x:c>
      <x:c r="H1" s="40" t="str">
        <x:v>profesor_codigo</x:v>
      </x:c>
      <x:c r="I1" s="40" t="str">
        <x:v>anio</x:v>
      </x:c>
      <x:c r="J1" s="40" t="str">
        <x:v>activo</x:v>
      </x:c>
    </x:row>
    <x:row r="2">
      <x:c r="A2" t="str">
        <x:v>2026-1A-ARI</x:v>
      </x:c>
      <x:c r="B2" t="str">
        <x:v>ARI</x:v>
      </x:c>
      <x:c r="C2" t="str">
        <x:v>Aritmética</x:v>
      </x:c>
      <x:c r="D2" t="str">
        <x:v>MAT</x:v>
      </x:c>
      <x:c r="E2" t="n">
        <x:v>1</x:v>
      </x:c>
      <x:c r="F2" t="str">
        <x:v>A</x:v>
      </x:c>
      <x:c r="G2" t="str">
        <x:v>1A</x:v>
      </x:c>
      <x:c r="H2" t="str">
        <x:v>PROF-001</x:v>
      </x:c>
      <x:c r="I2" t="n">
        <x:v>2026</x:v>
      </x:c>
      <x:c r="J2" s="24" t="b">
        <x:v>1</x:v>
      </x:c>
    </x:row>
    <x:row r="3">
      <x:c r="A3" t="str">
        <x:v>2026-1A-PDT</x:v>
      </x:c>
      <x:c r="B3" t="str">
        <x:v>PDT</x:v>
      </x:c>
      <x:c r="C3" t="str">
        <x:v>Producción de Textos</x:v>
      </x:c>
      <x:c r="D3" t="str">
        <x:v>COM</x:v>
      </x:c>
      <x:c r="E3" t="n">
        <x:v>1</x:v>
      </x:c>
      <x:c r="F3" t="str">
        <x:v>A</x:v>
      </x:c>
      <x:c r="G3" t="str">
        <x:v>1A</x:v>
      </x:c>
      <x:c r="H3" t="str">
        <x:v>PROF-001</x:v>
      </x:c>
      <x:c r="I3" t="n">
        <x:v>2026</x:v>
      </x:c>
      <x:c r="J3" s="24" t="b">
        <x:v>1</x:v>
      </x:c>
    </x:row>
    <x:row r="4">
      <x:c r="A4" t="str">
        <x:v>2026-1A-GRA</x:v>
      </x:c>
      <x:c r="B4" t="str">
        <x:v>GRA</x:v>
      </x:c>
      <x:c r="C4" t="str">
        <x:v>Gramática</x:v>
      </x:c>
      <x:c r="D4" t="str">
        <x:v>COM</x:v>
      </x:c>
      <x:c r="E4" t="n">
        <x:v>1</x:v>
      </x:c>
      <x:c r="F4" t="str">
        <x:v>A</x:v>
      </x:c>
      <x:c r="G4" t="str">
        <x:v>1A</x:v>
      </x:c>
      <x:c r="H4" t="str">
        <x:v>PROF-001</x:v>
      </x:c>
      <x:c r="I4" t="n">
        <x:v>2026</x:v>
      </x:c>
      <x:c r="J4" s="24" t="b">
        <x:v>1</x:v>
      </x:c>
    </x:row>
    <x:row r="5">
      <x:c r="A5" t="str">
        <x:v>2026-1A-RZV</x:v>
      </x:c>
      <x:c r="B5" t="str">
        <x:v>RZV</x:v>
      </x:c>
      <x:c r="C5" t="str">
        <x:v>Razonamiento Verbal</x:v>
      </x:c>
      <x:c r="D5" t="str">
        <x:v>COM</x:v>
      </x:c>
      <x:c r="E5" t="n">
        <x:v>1</x:v>
      </x:c>
      <x:c r="F5" t="str">
        <x:v>A</x:v>
      </x:c>
      <x:c r="G5" t="str">
        <x:v>1A</x:v>
      </x:c>
      <x:c r="H5" t="str">
        <x:v>PROF-001</x:v>
      </x:c>
      <x:c r="I5" t="n">
        <x:v>2026</x:v>
      </x:c>
      <x:c r="J5" s="24" t="b">
        <x:v>1</x:v>
      </x:c>
    </x:row>
    <x:row r="6">
      <x:c r="A6" t="str">
        <x:v>2026-1A-CUH</x:v>
      </x:c>
      <x:c r="B6" t="str">
        <x:v>CUH</x:v>
      </x:c>
      <x:c r="C6" t="str">
        <x:v>Cuerpo Humano</x:v>
      </x:c>
      <x:c r="D6" t="str">
        <x:v>CIE</x:v>
      </x:c>
      <x:c r="E6" t="n">
        <x:v>1</x:v>
      </x:c>
      <x:c r="F6" t="str">
        <x:v>A</x:v>
      </x:c>
      <x:c r="G6" t="str">
        <x:v>1A</x:v>
      </x:c>
      <x:c r="H6" t="str">
        <x:v>PROF-001</x:v>
      </x:c>
      <x:c r="I6" t="n">
        <x:v>2026</x:v>
      </x:c>
      <x:c r="J6" s="24" t="b">
        <x:v>1</x:v>
      </x:c>
    </x:row>
    <x:row r="7">
      <x:c r="A7" t="str">
        <x:v>2026-1A-MUF</x:v>
      </x:c>
      <x:c r="B7" t="str">
        <x:v>MUF</x:v>
      </x:c>
      <x:c r="C7" t="str">
        <x:v>Mundo Físico</x:v>
      </x:c>
      <x:c r="D7" t="str">
        <x:v>CIE</x:v>
      </x:c>
      <x:c r="E7" t="n">
        <x:v>1</x:v>
      </x:c>
      <x:c r="F7" t="str">
        <x:v>A</x:v>
      </x:c>
      <x:c r="G7" t="str">
        <x:v>1A</x:v>
      </x:c>
      <x:c r="H7" t="str">
        <x:v>PROF-001</x:v>
      </x:c>
      <x:c r="I7" t="n">
        <x:v>2026</x:v>
      </x:c>
      <x:c r="J7" s="24" t="b">
        <x:v>1</x:v>
      </x:c>
    </x:row>
    <x:row r="8">
      <x:c r="A8" t="str">
        <x:v>2026-1A-CIU</x:v>
      </x:c>
      <x:c r="B8" t="str">
        <x:v>CIU</x:v>
      </x:c>
      <x:c r="C8" t="str">
        <x:v>Ciudadanía</x:v>
      </x:c>
      <x:c r="D8" t="str">
        <x:v>SOC</x:v>
      </x:c>
      <x:c r="E8" t="n">
        <x:v>1</x:v>
      </x:c>
      <x:c r="F8" t="str">
        <x:v>A</x:v>
      </x:c>
      <x:c r="G8" t="str">
        <x:v>1A</x:v>
      </x:c>
      <x:c r="H8" t="str">
        <x:v>PROF-001</x:v>
      </x:c>
      <x:c r="I8" t="n">
        <x:v>2026</x:v>
      </x:c>
      <x:c r="J8" s="24" t="b">
        <x:v>1</x:v>
      </x:c>
    </x:row>
    <x:row r="9">
      <x:c r="A9" t="str">
        <x:v>2026-1A-GEG</x:v>
      </x:c>
      <x:c r="B9" t="str">
        <x:v>GEG</x:v>
      </x:c>
      <x:c r="C9" t="str">
        <x:v>Geografía</x:v>
      </x:c>
      <x:c r="D9" t="str">
        <x:v>SOC</x:v>
      </x:c>
      <x:c r="E9" t="n">
        <x:v>1</x:v>
      </x:c>
      <x:c r="F9" t="str">
        <x:v>A</x:v>
      </x:c>
      <x:c r="G9" t="str">
        <x:v>1A</x:v>
      </x:c>
      <x:c r="H9" t="str">
        <x:v>PROF-001</x:v>
      </x:c>
      <x:c r="I9" t="n">
        <x:v>2026</x:v>
      </x:c>
      <x:c r="J9" s="24" t="b">
        <x:v>1</x:v>
      </x:c>
    </x:row>
    <x:row r="10">
      <x:c r="A10" t="str">
        <x:v>2026-1A-HIS</x:v>
      </x:c>
      <x:c r="B10" t="str">
        <x:v>HIS</x:v>
      </x:c>
      <x:c r="C10" t="str">
        <x:v>Historia</x:v>
      </x:c>
      <x:c r="D10" t="str">
        <x:v>SOC</x:v>
      </x:c>
      <x:c r="E10" t="n">
        <x:v>1</x:v>
      </x:c>
      <x:c r="F10" t="str">
        <x:v>A</x:v>
      </x:c>
      <x:c r="G10" t="str">
        <x:v>1A</x:v>
      </x:c>
      <x:c r="H10" t="str">
        <x:v>PROF-001</x:v>
      </x:c>
      <x:c r="I10" t="n">
        <x:v>2026</x:v>
      </x:c>
      <x:c r="J10" s="24" t="b">
        <x:v>1</x:v>
      </x:c>
    </x:row>
    <x:row r="11">
      <x:c r="A11" t="str">
        <x:v>2026-1A-REL</x:v>
      </x:c>
      <x:c r="B11" t="str">
        <x:v>REL</x:v>
      </x:c>
      <x:c r="C11" t="str">
        <x:v>Religión</x:v>
      </x:c>
      <x:c r="D11" t="str">
        <x:v>REL</x:v>
      </x:c>
      <x:c r="E11" t="n">
        <x:v>1</x:v>
      </x:c>
      <x:c r="F11" t="str">
        <x:v>A</x:v>
      </x:c>
      <x:c r="G11" t="str">
        <x:v>1A</x:v>
      </x:c>
      <x:c r="H11" t="str">
        <x:v>PROF-001</x:v>
      </x:c>
      <x:c r="I11" t="n">
        <x:v>2026</x:v>
      </x:c>
      <x:c r="J11" s="24" t="b">
        <x:v>1</x:v>
      </x:c>
    </x:row>
    <x:row r="12">
      <x:c r="A12" t="str">
        <x:v>2026-1A-ING</x:v>
      </x:c>
      <x:c r="B12" t="str">
        <x:v>ING</x:v>
      </x:c>
      <x:c r="C12" t="str">
        <x:v>Inglés</x:v>
      </x:c>
      <x:c r="D12" t="str">
        <x:v>IDI</x:v>
      </x:c>
      <x:c r="E12" t="n">
        <x:v>1</x:v>
      </x:c>
      <x:c r="F12" t="str">
        <x:v>A</x:v>
      </x:c>
      <x:c r="G12" t="str">
        <x:v>1A</x:v>
      </x:c>
      <x:c r="H12" t="str">
        <x:v>PROF-001</x:v>
      </x:c>
      <x:c r="I12" t="n">
        <x:v>2026</x:v>
      </x:c>
      <x:c r="J12" s="24" t="b">
        <x:v>1</x:v>
      </x:c>
    </x:row>
    <x:row r="13">
      <x:c r="A13" t="str">
        <x:v>2026-1A-TAL</x:v>
      </x:c>
      <x:c r="B13" t="str">
        <x:v>TAL</x:v>
      </x:c>
      <x:c r="C13" t="str">
        <x:v>Taller</x:v>
      </x:c>
      <x:c r="D13" t="str">
        <x:v>TAL</x:v>
      </x:c>
      <x:c r="E13" t="n">
        <x:v>1</x:v>
      </x:c>
      <x:c r="F13" t="str">
        <x:v>A</x:v>
      </x:c>
      <x:c r="G13" t="str">
        <x:v>1A</x:v>
      </x:c>
      <x:c r="H13" t="str">
        <x:v>PROF-001</x:v>
      </x:c>
      <x:c r="I13" t="n">
        <x:v>2026</x:v>
      </x:c>
      <x:c r="J13" s="24" t="b">
        <x:v>1</x:v>
      </x:c>
    </x:row>
    <x:row r="14">
      <x:c r="A14" t="str">
        <x:v>2026-1A-EDF</x:v>
      </x:c>
      <x:c r="B14" t="str">
        <x:v>EDF</x:v>
      </x:c>
      <x:c r="C14" t="str">
        <x:v>Educación Física</x:v>
      </x:c>
      <x:c r="D14" t="str">
        <x:v>EDF</x:v>
      </x:c>
      <x:c r="E14" t="n">
        <x:v>1</x:v>
      </x:c>
      <x:c r="F14" t="str">
        <x:v>A</x:v>
      </x:c>
      <x:c r="G14" t="str">
        <x:v>1A</x:v>
      </x:c>
      <x:c r="H14" t="str">
        <x:v>PROF-001</x:v>
      </x:c>
      <x:c r="I14" t="n">
        <x:v>2026</x:v>
      </x:c>
      <x:c r="J14" s="24" t="b">
        <x:v>1</x:v>
      </x:c>
    </x:row>
    <x:row r="15">
      <x:c r="A15" t="str">
        <x:v>2026-1B-ARI</x:v>
      </x:c>
      <x:c r="B15" t="str">
        <x:v>ARI</x:v>
      </x:c>
      <x:c r="C15" t="str">
        <x:v>Aritmética</x:v>
      </x:c>
      <x:c r="D15" t="str">
        <x:v>MAT</x:v>
      </x:c>
      <x:c r="E15" t="n">
        <x:v>1</x:v>
      </x:c>
      <x:c r="F15" t="str">
        <x:v>B</x:v>
      </x:c>
      <x:c r="G15" t="str">
        <x:v>1B</x:v>
      </x:c>
      <x:c r="H15" t="str">
        <x:v>PROF-002</x:v>
      </x:c>
      <x:c r="I15" t="n">
        <x:v>2026</x:v>
      </x:c>
      <x:c r="J15" s="24" t="b">
        <x:v>1</x:v>
      </x:c>
    </x:row>
    <x:row r="16">
      <x:c r="A16" t="str">
        <x:v>2026-1B-PDT</x:v>
      </x:c>
      <x:c r="B16" t="str">
        <x:v>PDT</x:v>
      </x:c>
      <x:c r="C16" t="str">
        <x:v>Producción de Textos</x:v>
      </x:c>
      <x:c r="D16" t="str">
        <x:v>COM</x:v>
      </x:c>
      <x:c r="E16" t="n">
        <x:v>1</x:v>
      </x:c>
      <x:c r="F16" t="str">
        <x:v>B</x:v>
      </x:c>
      <x:c r="G16" t="str">
        <x:v>1B</x:v>
      </x:c>
      <x:c r="H16" t="str">
        <x:v>PROF-002</x:v>
      </x:c>
      <x:c r="I16" t="n">
        <x:v>2026</x:v>
      </x:c>
      <x:c r="J16" s="24" t="b">
        <x:v>1</x:v>
      </x:c>
    </x:row>
    <x:row r="17">
      <x:c r="A17" t="str">
        <x:v>2026-1B-GRA</x:v>
      </x:c>
      <x:c r="B17" t="str">
        <x:v>GRA</x:v>
      </x:c>
      <x:c r="C17" t="str">
        <x:v>Gramática</x:v>
      </x:c>
      <x:c r="D17" t="str">
        <x:v>COM</x:v>
      </x:c>
      <x:c r="E17" t="n">
        <x:v>1</x:v>
      </x:c>
      <x:c r="F17" t="str">
        <x:v>B</x:v>
      </x:c>
      <x:c r="G17" t="str">
        <x:v>1B</x:v>
      </x:c>
      <x:c r="H17" t="str">
        <x:v>PROF-002</x:v>
      </x:c>
      <x:c r="I17" t="n">
        <x:v>2026</x:v>
      </x:c>
      <x:c r="J17" s="24" t="b">
        <x:v>1</x:v>
      </x:c>
    </x:row>
    <x:row r="18">
      <x:c r="A18" t="str">
        <x:v>2026-1B-RZV</x:v>
      </x:c>
      <x:c r="B18" t="str">
        <x:v>RZV</x:v>
      </x:c>
      <x:c r="C18" t="str">
        <x:v>Razonamiento Verbal</x:v>
      </x:c>
      <x:c r="D18" t="str">
        <x:v>COM</x:v>
      </x:c>
      <x:c r="E18" t="n">
        <x:v>1</x:v>
      </x:c>
      <x:c r="F18" t="str">
        <x:v>B</x:v>
      </x:c>
      <x:c r="G18" t="str">
        <x:v>1B</x:v>
      </x:c>
      <x:c r="H18" t="str">
        <x:v>PROF-002</x:v>
      </x:c>
      <x:c r="I18" t="n">
        <x:v>2026</x:v>
      </x:c>
      <x:c r="J18" s="24" t="b">
        <x:v>1</x:v>
      </x:c>
    </x:row>
    <x:row r="19">
      <x:c r="A19" t="str">
        <x:v>2026-1B-CUH</x:v>
      </x:c>
      <x:c r="B19" t="str">
        <x:v>CUH</x:v>
      </x:c>
      <x:c r="C19" t="str">
        <x:v>Cuerpo Humano</x:v>
      </x:c>
      <x:c r="D19" t="str">
        <x:v>CIE</x:v>
      </x:c>
      <x:c r="E19" t="n">
        <x:v>1</x:v>
      </x:c>
      <x:c r="F19" t="str">
        <x:v>B</x:v>
      </x:c>
      <x:c r="G19" t="str">
        <x:v>1B</x:v>
      </x:c>
      <x:c r="H19" t="str">
        <x:v>PROF-002</x:v>
      </x:c>
      <x:c r="I19" t="n">
        <x:v>2026</x:v>
      </x:c>
      <x:c r="J19" s="24" t="b">
        <x:v>1</x:v>
      </x:c>
    </x:row>
    <x:row r="20">
      <x:c r="A20" t="str">
        <x:v>2026-1B-MUF</x:v>
      </x:c>
      <x:c r="B20" t="str">
        <x:v>MUF</x:v>
      </x:c>
      <x:c r="C20" t="str">
        <x:v>Mundo Físico</x:v>
      </x:c>
      <x:c r="D20" t="str">
        <x:v>CIE</x:v>
      </x:c>
      <x:c r="E20" t="n">
        <x:v>1</x:v>
      </x:c>
      <x:c r="F20" t="str">
        <x:v>B</x:v>
      </x:c>
      <x:c r="G20" t="str">
        <x:v>1B</x:v>
      </x:c>
      <x:c r="H20" t="str">
        <x:v>PROF-002</x:v>
      </x:c>
      <x:c r="I20" t="n">
        <x:v>2026</x:v>
      </x:c>
      <x:c r="J20" s="24" t="b">
        <x:v>1</x:v>
      </x:c>
    </x:row>
    <x:row r="21">
      <x:c r="A21" t="str">
        <x:v>2026-1B-CIU</x:v>
      </x:c>
      <x:c r="B21" t="str">
        <x:v>CIU</x:v>
      </x:c>
      <x:c r="C21" t="str">
        <x:v>Ciudadanía</x:v>
      </x:c>
      <x:c r="D21" t="str">
        <x:v>SOC</x:v>
      </x:c>
      <x:c r="E21" t="n">
        <x:v>1</x:v>
      </x:c>
      <x:c r="F21" t="str">
        <x:v>B</x:v>
      </x:c>
      <x:c r="G21" t="str">
        <x:v>1B</x:v>
      </x:c>
      <x:c r="H21" t="str">
        <x:v>PROF-002</x:v>
      </x:c>
      <x:c r="I21" t="n">
        <x:v>2026</x:v>
      </x:c>
      <x:c r="J21" s="24" t="b">
        <x:v>1</x:v>
      </x:c>
    </x:row>
    <x:row r="22">
      <x:c r="A22" t="str">
        <x:v>2026-1B-GEG</x:v>
      </x:c>
      <x:c r="B22" t="str">
        <x:v>GEG</x:v>
      </x:c>
      <x:c r="C22" t="str">
        <x:v>Geografía</x:v>
      </x:c>
      <x:c r="D22" t="str">
        <x:v>SOC</x:v>
      </x:c>
      <x:c r="E22" t="n">
        <x:v>1</x:v>
      </x:c>
      <x:c r="F22" t="str">
        <x:v>B</x:v>
      </x:c>
      <x:c r="G22" t="str">
        <x:v>1B</x:v>
      </x:c>
      <x:c r="H22" t="str">
        <x:v>PROF-002</x:v>
      </x:c>
      <x:c r="I22" t="n">
        <x:v>2026</x:v>
      </x:c>
      <x:c r="J22" s="24" t="b">
        <x:v>1</x:v>
      </x:c>
    </x:row>
    <x:row r="23">
      <x:c r="A23" t="str">
        <x:v>2026-1B-HIS</x:v>
      </x:c>
      <x:c r="B23" t="str">
        <x:v>HIS</x:v>
      </x:c>
      <x:c r="C23" t="str">
        <x:v>Historia</x:v>
      </x:c>
      <x:c r="D23" t="str">
        <x:v>SOC</x:v>
      </x:c>
      <x:c r="E23" t="n">
        <x:v>1</x:v>
      </x:c>
      <x:c r="F23" t="str">
        <x:v>B</x:v>
      </x:c>
      <x:c r="G23" t="str">
        <x:v>1B</x:v>
      </x:c>
      <x:c r="H23" t="str">
        <x:v>PROF-002</x:v>
      </x:c>
      <x:c r="I23" t="n">
        <x:v>2026</x:v>
      </x:c>
      <x:c r="J23" s="24" t="b">
        <x:v>1</x:v>
      </x:c>
    </x:row>
    <x:row r="24">
      <x:c r="A24" t="str">
        <x:v>2026-1B-REL</x:v>
      </x:c>
      <x:c r="B24" t="str">
        <x:v>REL</x:v>
      </x:c>
      <x:c r="C24" t="str">
        <x:v>Religión</x:v>
      </x:c>
      <x:c r="D24" t="str">
        <x:v>REL</x:v>
      </x:c>
      <x:c r="E24" t="n">
        <x:v>1</x:v>
      </x:c>
      <x:c r="F24" t="str">
        <x:v>B</x:v>
      </x:c>
      <x:c r="G24" t="str">
        <x:v>1B</x:v>
      </x:c>
      <x:c r="H24" t="str">
        <x:v>PROF-002</x:v>
      </x:c>
      <x:c r="I24" t="n">
        <x:v>2026</x:v>
      </x:c>
      <x:c r="J24" s="24" t="b">
        <x:v>1</x:v>
      </x:c>
    </x:row>
    <x:row r="25">
      <x:c r="A25" t="str">
        <x:v>2026-1B-ING</x:v>
      </x:c>
      <x:c r="B25" t="str">
        <x:v>ING</x:v>
      </x:c>
      <x:c r="C25" t="str">
        <x:v>Inglés</x:v>
      </x:c>
      <x:c r="D25" t="str">
        <x:v>IDI</x:v>
      </x:c>
      <x:c r="E25" t="n">
        <x:v>1</x:v>
      </x:c>
      <x:c r="F25" t="str">
        <x:v>B</x:v>
      </x:c>
      <x:c r="G25" t="str">
        <x:v>1B</x:v>
      </x:c>
      <x:c r="H25" t="str">
        <x:v>PROF-002</x:v>
      </x:c>
      <x:c r="I25" t="n">
        <x:v>2026</x:v>
      </x:c>
      <x:c r="J25" s="24" t="b">
        <x:v>1</x:v>
      </x:c>
    </x:row>
    <x:row r="26">
      <x:c r="A26" t="str">
        <x:v>2026-1B-TAL</x:v>
      </x:c>
      <x:c r="B26" t="str">
        <x:v>TAL</x:v>
      </x:c>
      <x:c r="C26" t="str">
        <x:v>Taller</x:v>
      </x:c>
      <x:c r="D26" t="str">
        <x:v>TAL</x:v>
      </x:c>
      <x:c r="E26" t="n">
        <x:v>1</x:v>
      </x:c>
      <x:c r="F26" t="str">
        <x:v>B</x:v>
      </x:c>
      <x:c r="G26" t="str">
        <x:v>1B</x:v>
      </x:c>
      <x:c r="H26" t="str">
        <x:v>PROF-002</x:v>
      </x:c>
      <x:c r="I26" t="n">
        <x:v>2026</x:v>
      </x:c>
      <x:c r="J26" s="24" t="b">
        <x:v>1</x:v>
      </x:c>
    </x:row>
    <x:row r="27">
      <x:c r="A27" t="str">
        <x:v>2026-1B-EDF</x:v>
      </x:c>
      <x:c r="B27" t="str">
        <x:v>EDF</x:v>
      </x:c>
      <x:c r="C27" t="str">
        <x:v>Educación Física</x:v>
      </x:c>
      <x:c r="D27" t="str">
        <x:v>EDF</x:v>
      </x:c>
      <x:c r="E27" t="n">
        <x:v>1</x:v>
      </x:c>
      <x:c r="F27" t="str">
        <x:v>B</x:v>
      </x:c>
      <x:c r="G27" t="str">
        <x:v>1B</x:v>
      </x:c>
      <x:c r="H27" t="str">
        <x:v>PROF-002</x:v>
      </x:c>
      <x:c r="I27" t="n">
        <x:v>2026</x:v>
      </x:c>
      <x:c r="J27" s="24" t="b">
        <x:v>1</x:v>
      </x:c>
    </x:row>
    <x:row r="28">
      <x:c r="A28" t="str">
        <x:v>2026-1C-ARI</x:v>
      </x:c>
      <x:c r="B28" t="str">
        <x:v>ARI</x:v>
      </x:c>
      <x:c r="C28" t="str">
        <x:v>Aritmética</x:v>
      </x:c>
      <x:c r="D28" t="str">
        <x:v>MAT</x:v>
      </x:c>
      <x:c r="E28" t="n">
        <x:v>1</x:v>
      </x:c>
      <x:c r="F28" t="str">
        <x:v>C</x:v>
      </x:c>
      <x:c r="G28" t="str">
        <x:v>1C</x:v>
      </x:c>
      <x:c r="H28" t="str">
        <x:v>PROF-003</x:v>
      </x:c>
      <x:c r="I28" t="n">
        <x:v>2026</x:v>
      </x:c>
      <x:c r="J28" s="24" t="b">
        <x:v>1</x:v>
      </x:c>
    </x:row>
    <x:row r="29">
      <x:c r="A29" t="str">
        <x:v>2026-1C-PDT</x:v>
      </x:c>
      <x:c r="B29" t="str">
        <x:v>PDT</x:v>
      </x:c>
      <x:c r="C29" t="str">
        <x:v>Producción de Textos</x:v>
      </x:c>
      <x:c r="D29" t="str">
        <x:v>COM</x:v>
      </x:c>
      <x:c r="E29" t="n">
        <x:v>1</x:v>
      </x:c>
      <x:c r="F29" t="str">
        <x:v>C</x:v>
      </x:c>
      <x:c r="G29" t="str">
        <x:v>1C</x:v>
      </x:c>
      <x:c r="H29" t="str">
        <x:v>PROF-003</x:v>
      </x:c>
      <x:c r="I29" t="n">
        <x:v>2026</x:v>
      </x:c>
      <x:c r="J29" s="24" t="b">
        <x:v>1</x:v>
      </x:c>
    </x:row>
    <x:row r="30">
      <x:c r="A30" t="str">
        <x:v>2026-1C-GRA</x:v>
      </x:c>
      <x:c r="B30" t="str">
        <x:v>GRA</x:v>
      </x:c>
      <x:c r="C30" t="str">
        <x:v>Gramática</x:v>
      </x:c>
      <x:c r="D30" t="str">
        <x:v>COM</x:v>
      </x:c>
      <x:c r="E30" t="n">
        <x:v>1</x:v>
      </x:c>
      <x:c r="F30" t="str">
        <x:v>C</x:v>
      </x:c>
      <x:c r="G30" t="str">
        <x:v>1C</x:v>
      </x:c>
      <x:c r="H30" t="str">
        <x:v>PROF-003</x:v>
      </x:c>
      <x:c r="I30" t="n">
        <x:v>2026</x:v>
      </x:c>
      <x:c r="J30" s="24" t="b">
        <x:v>1</x:v>
      </x:c>
    </x:row>
    <x:row r="31">
      <x:c r="A31" t="str">
        <x:v>2026-1C-RZV</x:v>
      </x:c>
      <x:c r="B31" t="str">
        <x:v>RZV</x:v>
      </x:c>
      <x:c r="C31" t="str">
        <x:v>Razonamiento Verbal</x:v>
      </x:c>
      <x:c r="D31" t="str">
        <x:v>COM</x:v>
      </x:c>
      <x:c r="E31" t="n">
        <x:v>1</x:v>
      </x:c>
      <x:c r="F31" t="str">
        <x:v>C</x:v>
      </x:c>
      <x:c r="G31" t="str">
        <x:v>1C</x:v>
      </x:c>
      <x:c r="H31" t="str">
        <x:v>PROF-003</x:v>
      </x:c>
      <x:c r="I31" t="n">
        <x:v>2026</x:v>
      </x:c>
      <x:c r="J31" s="24" t="b">
        <x:v>1</x:v>
      </x:c>
    </x:row>
    <x:row r="32">
      <x:c r="A32" t="str">
        <x:v>2026-1C-CUH</x:v>
      </x:c>
      <x:c r="B32" t="str">
        <x:v>CUH</x:v>
      </x:c>
      <x:c r="C32" t="str">
        <x:v>Cuerpo Humano</x:v>
      </x:c>
      <x:c r="D32" t="str">
        <x:v>CIE</x:v>
      </x:c>
      <x:c r="E32" t="n">
        <x:v>1</x:v>
      </x:c>
      <x:c r="F32" t="str">
        <x:v>C</x:v>
      </x:c>
      <x:c r="G32" t="str">
        <x:v>1C</x:v>
      </x:c>
      <x:c r="H32" t="str">
        <x:v>PROF-003</x:v>
      </x:c>
      <x:c r="I32" t="n">
        <x:v>2026</x:v>
      </x:c>
      <x:c r="J32" s="24" t="b">
        <x:v>1</x:v>
      </x:c>
    </x:row>
    <x:row r="33">
      <x:c r="A33" t="str">
        <x:v>2026-1C-MUF</x:v>
      </x:c>
      <x:c r="B33" t="str">
        <x:v>MUF</x:v>
      </x:c>
      <x:c r="C33" t="str">
        <x:v>Mundo Físico</x:v>
      </x:c>
      <x:c r="D33" t="str">
        <x:v>CIE</x:v>
      </x:c>
      <x:c r="E33" t="n">
        <x:v>1</x:v>
      </x:c>
      <x:c r="F33" t="str">
        <x:v>C</x:v>
      </x:c>
      <x:c r="G33" t="str">
        <x:v>1C</x:v>
      </x:c>
      <x:c r="H33" t="str">
        <x:v>PROF-003</x:v>
      </x:c>
      <x:c r="I33" t="n">
        <x:v>2026</x:v>
      </x:c>
      <x:c r="J33" s="24" t="b">
        <x:v>1</x:v>
      </x:c>
    </x:row>
    <x:row r="34">
      <x:c r="A34" t="str">
        <x:v>2026-1C-CIU</x:v>
      </x:c>
      <x:c r="B34" t="str">
        <x:v>CIU</x:v>
      </x:c>
      <x:c r="C34" t="str">
        <x:v>Ciudadanía</x:v>
      </x:c>
      <x:c r="D34" t="str">
        <x:v>SOC</x:v>
      </x:c>
      <x:c r="E34" t="n">
        <x:v>1</x:v>
      </x:c>
      <x:c r="F34" t="str">
        <x:v>C</x:v>
      </x:c>
      <x:c r="G34" t="str">
        <x:v>1C</x:v>
      </x:c>
      <x:c r="H34" t="str">
        <x:v>PROF-003</x:v>
      </x:c>
      <x:c r="I34" t="n">
        <x:v>2026</x:v>
      </x:c>
      <x:c r="J34" s="24" t="b">
        <x:v>1</x:v>
      </x:c>
    </x:row>
    <x:row r="35">
      <x:c r="A35" t="str">
        <x:v>2026-1C-GEG</x:v>
      </x:c>
      <x:c r="B35" t="str">
        <x:v>GEG</x:v>
      </x:c>
      <x:c r="C35" t="str">
        <x:v>Geografía</x:v>
      </x:c>
      <x:c r="D35" t="str">
        <x:v>SOC</x:v>
      </x:c>
      <x:c r="E35" t="n">
        <x:v>1</x:v>
      </x:c>
      <x:c r="F35" t="str">
        <x:v>C</x:v>
      </x:c>
      <x:c r="G35" t="str">
        <x:v>1C</x:v>
      </x:c>
      <x:c r="H35" t="str">
        <x:v>PROF-003</x:v>
      </x:c>
      <x:c r="I35" t="n">
        <x:v>2026</x:v>
      </x:c>
      <x:c r="J35" s="24" t="b">
        <x:v>1</x:v>
      </x:c>
    </x:row>
    <x:row r="36">
      <x:c r="A36" t="str">
        <x:v>2026-1C-HIS</x:v>
      </x:c>
      <x:c r="B36" t="str">
        <x:v>HIS</x:v>
      </x:c>
      <x:c r="C36" t="str">
        <x:v>Historia</x:v>
      </x:c>
      <x:c r="D36" t="str">
        <x:v>SOC</x:v>
      </x:c>
      <x:c r="E36" t="n">
        <x:v>1</x:v>
      </x:c>
      <x:c r="F36" t="str">
        <x:v>C</x:v>
      </x:c>
      <x:c r="G36" t="str">
        <x:v>1C</x:v>
      </x:c>
      <x:c r="H36" t="str">
        <x:v>PROF-003</x:v>
      </x:c>
      <x:c r="I36" t="n">
        <x:v>2026</x:v>
      </x:c>
      <x:c r="J36" s="24" t="b">
        <x:v>1</x:v>
      </x:c>
    </x:row>
    <x:row r="37">
      <x:c r="A37" t="str">
        <x:v>2026-1C-REL</x:v>
      </x:c>
      <x:c r="B37" t="str">
        <x:v>REL</x:v>
      </x:c>
      <x:c r="C37" t="str">
        <x:v>Religión</x:v>
      </x:c>
      <x:c r="D37" t="str">
        <x:v>REL</x:v>
      </x:c>
      <x:c r="E37" t="n">
        <x:v>1</x:v>
      </x:c>
      <x:c r="F37" t="str">
        <x:v>C</x:v>
      </x:c>
      <x:c r="G37" t="str">
        <x:v>1C</x:v>
      </x:c>
      <x:c r="H37" t="str">
        <x:v>PROF-003</x:v>
      </x:c>
      <x:c r="I37" t="n">
        <x:v>2026</x:v>
      </x:c>
      <x:c r="J37" s="24" t="b">
        <x:v>1</x:v>
      </x:c>
    </x:row>
    <x:row r="38">
      <x:c r="A38" t="str">
        <x:v>2026-1C-ING</x:v>
      </x:c>
      <x:c r="B38" t="str">
        <x:v>ING</x:v>
      </x:c>
      <x:c r="C38" t="str">
        <x:v>Inglés</x:v>
      </x:c>
      <x:c r="D38" t="str">
        <x:v>IDI</x:v>
      </x:c>
      <x:c r="E38" t="n">
        <x:v>1</x:v>
      </x:c>
      <x:c r="F38" t="str">
        <x:v>C</x:v>
      </x:c>
      <x:c r="G38" t="str">
        <x:v>1C</x:v>
      </x:c>
      <x:c r="H38" t="str">
        <x:v>PROF-003</x:v>
      </x:c>
      <x:c r="I38" t="n">
        <x:v>2026</x:v>
      </x:c>
      <x:c r="J38" s="24" t="b">
        <x:v>1</x:v>
      </x:c>
    </x:row>
    <x:row r="39">
      <x:c r="A39" t="str">
        <x:v>2026-1C-TAL</x:v>
      </x:c>
      <x:c r="B39" t="str">
        <x:v>TAL</x:v>
      </x:c>
      <x:c r="C39" t="str">
        <x:v>Taller</x:v>
      </x:c>
      <x:c r="D39" t="str">
        <x:v>TAL</x:v>
      </x:c>
      <x:c r="E39" t="n">
        <x:v>1</x:v>
      </x:c>
      <x:c r="F39" t="str">
        <x:v>C</x:v>
      </x:c>
      <x:c r="G39" t="str">
        <x:v>1C</x:v>
      </x:c>
      <x:c r="H39" t="str">
        <x:v>PROF-003</x:v>
      </x:c>
      <x:c r="I39" t="n">
        <x:v>2026</x:v>
      </x:c>
      <x:c r="J39" s="24" t="b">
        <x:v>1</x:v>
      </x:c>
    </x:row>
    <x:row r="40">
      <x:c r="A40" t="str">
        <x:v>2026-1C-EDF</x:v>
      </x:c>
      <x:c r="B40" t="str">
        <x:v>EDF</x:v>
      </x:c>
      <x:c r="C40" t="str">
        <x:v>Educación Física</x:v>
      </x:c>
      <x:c r="D40" t="str">
        <x:v>EDF</x:v>
      </x:c>
      <x:c r="E40" t="n">
        <x:v>1</x:v>
      </x:c>
      <x:c r="F40" t="str">
        <x:v>C</x:v>
      </x:c>
      <x:c r="G40" t="str">
        <x:v>1C</x:v>
      </x:c>
      <x:c r="H40" t="str">
        <x:v>PROF-003</x:v>
      </x:c>
      <x:c r="I40" t="n">
        <x:v>2026</x:v>
      </x:c>
      <x:c r="J40" s="24" t="b">
        <x:v>1</x:v>
      </x:c>
    </x:row>
    <x:row r="41">
      <x:c r="A41" t="str">
        <x:v>2026-1D-ARI</x:v>
      </x:c>
      <x:c r="B41" t="str">
        <x:v>ARI</x:v>
      </x:c>
      <x:c r="C41" t="str">
        <x:v>Aritmética</x:v>
      </x:c>
      <x:c r="D41" t="str">
        <x:v>MAT</x:v>
      </x:c>
      <x:c r="E41" t="n">
        <x:v>1</x:v>
      </x:c>
      <x:c r="F41" t="str">
        <x:v>D</x:v>
      </x:c>
      <x:c r="G41" t="str">
        <x:v>1D</x:v>
      </x:c>
      <x:c r="H41" t="str">
        <x:v>PROF-004</x:v>
      </x:c>
      <x:c r="I41" t="n">
        <x:v>2026</x:v>
      </x:c>
      <x:c r="J41" s="24" t="b">
        <x:v>1</x:v>
      </x:c>
    </x:row>
    <x:row r="42">
      <x:c r="A42" t="str">
        <x:v>2026-1D-PDT</x:v>
      </x:c>
      <x:c r="B42" t="str">
        <x:v>PDT</x:v>
      </x:c>
      <x:c r="C42" t="str">
        <x:v>Producción de Textos</x:v>
      </x:c>
      <x:c r="D42" t="str">
        <x:v>COM</x:v>
      </x:c>
      <x:c r="E42" t="n">
        <x:v>1</x:v>
      </x:c>
      <x:c r="F42" t="str">
        <x:v>D</x:v>
      </x:c>
      <x:c r="G42" t="str">
        <x:v>1D</x:v>
      </x:c>
      <x:c r="H42" t="str">
        <x:v>PROF-004</x:v>
      </x:c>
      <x:c r="I42" t="n">
        <x:v>2026</x:v>
      </x:c>
      <x:c r="J42" s="24" t="b">
        <x:v>1</x:v>
      </x:c>
    </x:row>
    <x:row r="43">
      <x:c r="A43" t="str">
        <x:v>2026-1D-GRA</x:v>
      </x:c>
      <x:c r="B43" t="str">
        <x:v>GRA</x:v>
      </x:c>
      <x:c r="C43" t="str">
        <x:v>Gramática</x:v>
      </x:c>
      <x:c r="D43" t="str">
        <x:v>COM</x:v>
      </x:c>
      <x:c r="E43" t="n">
        <x:v>1</x:v>
      </x:c>
      <x:c r="F43" t="str">
        <x:v>D</x:v>
      </x:c>
      <x:c r="G43" t="str">
        <x:v>1D</x:v>
      </x:c>
      <x:c r="H43" t="str">
        <x:v>PROF-004</x:v>
      </x:c>
      <x:c r="I43" t="n">
        <x:v>2026</x:v>
      </x:c>
      <x:c r="J43" s="24" t="b">
        <x:v>1</x:v>
      </x:c>
    </x:row>
    <x:row r="44">
      <x:c r="A44" t="str">
        <x:v>2026-1D-RZV</x:v>
      </x:c>
      <x:c r="B44" t="str">
        <x:v>RZV</x:v>
      </x:c>
      <x:c r="C44" t="str">
        <x:v>Razonamiento Verbal</x:v>
      </x:c>
      <x:c r="D44" t="str">
        <x:v>COM</x:v>
      </x:c>
      <x:c r="E44" t="n">
        <x:v>1</x:v>
      </x:c>
      <x:c r="F44" t="str">
        <x:v>D</x:v>
      </x:c>
      <x:c r="G44" t="str">
        <x:v>1D</x:v>
      </x:c>
      <x:c r="H44" t="str">
        <x:v>PROF-004</x:v>
      </x:c>
      <x:c r="I44" t="n">
        <x:v>2026</x:v>
      </x:c>
      <x:c r="J44" s="24" t="b">
        <x:v>1</x:v>
      </x:c>
    </x:row>
    <x:row r="45">
      <x:c r="A45" t="str">
        <x:v>2026-1D-CUH</x:v>
      </x:c>
      <x:c r="B45" t="str">
        <x:v>CUH</x:v>
      </x:c>
      <x:c r="C45" t="str">
        <x:v>Cuerpo Humano</x:v>
      </x:c>
      <x:c r="D45" t="str">
        <x:v>CIE</x:v>
      </x:c>
      <x:c r="E45" t="n">
        <x:v>1</x:v>
      </x:c>
      <x:c r="F45" t="str">
        <x:v>D</x:v>
      </x:c>
      <x:c r="G45" t="str">
        <x:v>1D</x:v>
      </x:c>
      <x:c r="H45" t="str">
        <x:v>PROF-004</x:v>
      </x:c>
      <x:c r="I45" t="n">
        <x:v>2026</x:v>
      </x:c>
      <x:c r="J45" s="24" t="b">
        <x:v>1</x:v>
      </x:c>
    </x:row>
    <x:row r="46">
      <x:c r="A46" t="str">
        <x:v>2026-1D-MUF</x:v>
      </x:c>
      <x:c r="B46" t="str">
        <x:v>MUF</x:v>
      </x:c>
      <x:c r="C46" t="str">
        <x:v>Mundo Físico</x:v>
      </x:c>
      <x:c r="D46" t="str">
        <x:v>CIE</x:v>
      </x:c>
      <x:c r="E46" t="n">
        <x:v>1</x:v>
      </x:c>
      <x:c r="F46" t="str">
        <x:v>D</x:v>
      </x:c>
      <x:c r="G46" t="str">
        <x:v>1D</x:v>
      </x:c>
      <x:c r="H46" t="str">
        <x:v>PROF-004</x:v>
      </x:c>
      <x:c r="I46" t="n">
        <x:v>2026</x:v>
      </x:c>
      <x:c r="J46" s="24" t="b">
        <x:v>1</x:v>
      </x:c>
    </x:row>
    <x:row r="47">
      <x:c r="A47" t="str">
        <x:v>2026-1D-CIU</x:v>
      </x:c>
      <x:c r="B47" t="str">
        <x:v>CIU</x:v>
      </x:c>
      <x:c r="C47" t="str">
        <x:v>Ciudadanía</x:v>
      </x:c>
      <x:c r="D47" t="str">
        <x:v>SOC</x:v>
      </x:c>
      <x:c r="E47" t="n">
        <x:v>1</x:v>
      </x:c>
      <x:c r="F47" t="str">
        <x:v>D</x:v>
      </x:c>
      <x:c r="G47" t="str">
        <x:v>1D</x:v>
      </x:c>
      <x:c r="H47" t="str">
        <x:v>PROF-004</x:v>
      </x:c>
      <x:c r="I47" t="n">
        <x:v>2026</x:v>
      </x:c>
      <x:c r="J47" s="24" t="b">
        <x:v>1</x:v>
      </x:c>
    </x:row>
    <x:row r="48">
      <x:c r="A48" t="str">
        <x:v>2026-1D-GEG</x:v>
      </x:c>
      <x:c r="B48" t="str">
        <x:v>GEG</x:v>
      </x:c>
      <x:c r="C48" t="str">
        <x:v>Geografía</x:v>
      </x:c>
      <x:c r="D48" t="str">
        <x:v>SOC</x:v>
      </x:c>
      <x:c r="E48" t="n">
        <x:v>1</x:v>
      </x:c>
      <x:c r="F48" t="str">
        <x:v>D</x:v>
      </x:c>
      <x:c r="G48" t="str">
        <x:v>1D</x:v>
      </x:c>
      <x:c r="H48" t="str">
        <x:v>PROF-004</x:v>
      </x:c>
      <x:c r="I48" t="n">
        <x:v>2026</x:v>
      </x:c>
      <x:c r="J48" s="24" t="b">
        <x:v>1</x:v>
      </x:c>
    </x:row>
    <x:row r="49">
      <x:c r="A49" t="str">
        <x:v>2026-1D-HIS</x:v>
      </x:c>
      <x:c r="B49" t="str">
        <x:v>HIS</x:v>
      </x:c>
      <x:c r="C49" t="str">
        <x:v>Historia</x:v>
      </x:c>
      <x:c r="D49" t="str">
        <x:v>SOC</x:v>
      </x:c>
      <x:c r="E49" t="n">
        <x:v>1</x:v>
      </x:c>
      <x:c r="F49" t="str">
        <x:v>D</x:v>
      </x:c>
      <x:c r="G49" t="str">
        <x:v>1D</x:v>
      </x:c>
      <x:c r="H49" t="str">
        <x:v>PROF-004</x:v>
      </x:c>
      <x:c r="I49" t="n">
        <x:v>2026</x:v>
      </x:c>
      <x:c r="J49" s="24" t="b">
        <x:v>1</x:v>
      </x:c>
    </x:row>
    <x:row r="50">
      <x:c r="A50" t="str">
        <x:v>2026-1D-REL</x:v>
      </x:c>
      <x:c r="B50" t="str">
        <x:v>REL</x:v>
      </x:c>
      <x:c r="C50" t="str">
        <x:v>Religión</x:v>
      </x:c>
      <x:c r="D50" t="str">
        <x:v>REL</x:v>
      </x:c>
      <x:c r="E50" t="n">
        <x:v>1</x:v>
      </x:c>
      <x:c r="F50" t="str">
        <x:v>D</x:v>
      </x:c>
      <x:c r="G50" t="str">
        <x:v>1D</x:v>
      </x:c>
      <x:c r="H50" t="str">
        <x:v>PROF-004</x:v>
      </x:c>
      <x:c r="I50" t="n">
        <x:v>2026</x:v>
      </x:c>
      <x:c r="J50" s="24" t="b">
        <x:v>1</x:v>
      </x:c>
    </x:row>
    <x:row r="51">
      <x:c r="A51" t="str">
        <x:v>2026-1D-ING</x:v>
      </x:c>
      <x:c r="B51" t="str">
        <x:v>ING</x:v>
      </x:c>
      <x:c r="C51" t="str">
        <x:v>Inglés</x:v>
      </x:c>
      <x:c r="D51" t="str">
        <x:v>IDI</x:v>
      </x:c>
      <x:c r="E51" t="n">
        <x:v>1</x:v>
      </x:c>
      <x:c r="F51" t="str">
        <x:v>D</x:v>
      </x:c>
      <x:c r="G51" t="str">
        <x:v>1D</x:v>
      </x:c>
      <x:c r="H51" t="str">
        <x:v>PROF-004</x:v>
      </x:c>
      <x:c r="I51" t="n">
        <x:v>2026</x:v>
      </x:c>
      <x:c r="J51" s="24" t="b">
        <x:v>1</x:v>
      </x:c>
    </x:row>
    <x:row r="52">
      <x:c r="A52" t="str">
        <x:v>2026-1D-TAL</x:v>
      </x:c>
      <x:c r="B52" t="str">
        <x:v>TAL</x:v>
      </x:c>
      <x:c r="C52" t="str">
        <x:v>Taller</x:v>
      </x:c>
      <x:c r="D52" t="str">
        <x:v>TAL</x:v>
      </x:c>
      <x:c r="E52" t="n">
        <x:v>1</x:v>
      </x:c>
      <x:c r="F52" t="str">
        <x:v>D</x:v>
      </x:c>
      <x:c r="G52" t="str">
        <x:v>1D</x:v>
      </x:c>
      <x:c r="H52" t="str">
        <x:v>PROF-004</x:v>
      </x:c>
      <x:c r="I52" t="n">
        <x:v>2026</x:v>
      </x:c>
      <x:c r="J52" s="24" t="b">
        <x:v>1</x:v>
      </x:c>
    </x:row>
    <x:row r="53">
      <x:c r="A53" t="str">
        <x:v>2026-1D-EDF</x:v>
      </x:c>
      <x:c r="B53" t="str">
        <x:v>EDF</x:v>
      </x:c>
      <x:c r="C53" t="str">
        <x:v>Educación Física</x:v>
      </x:c>
      <x:c r="D53" t="str">
        <x:v>EDF</x:v>
      </x:c>
      <x:c r="E53" t="n">
        <x:v>1</x:v>
      </x:c>
      <x:c r="F53" t="str">
        <x:v>D</x:v>
      </x:c>
      <x:c r="G53" t="str">
        <x:v>1D</x:v>
      </x:c>
      <x:c r="H53" t="str">
        <x:v>PROF-004</x:v>
      </x:c>
      <x:c r="I53" t="n">
        <x:v>2026</x:v>
      </x:c>
      <x:c r="J53" s="24" t="b">
        <x:v>1</x:v>
      </x:c>
    </x:row>
    <x:row r="54">
      <x:c r="A54" t="str">
        <x:v>2026-2A-ARI</x:v>
      </x:c>
      <x:c r="B54" t="str">
        <x:v>ARI</x:v>
      </x:c>
      <x:c r="C54" t="str">
        <x:v>Aritmética</x:v>
      </x:c>
      <x:c r="D54" t="str">
        <x:v>MAT</x:v>
      </x:c>
      <x:c r="E54" t="n">
        <x:v>2</x:v>
      </x:c>
      <x:c r="F54" t="str">
        <x:v>A</x:v>
      </x:c>
      <x:c r="G54" t="str">
        <x:v>2A</x:v>
      </x:c>
      <x:c r="H54" t="str">
        <x:v>PROF-005</x:v>
      </x:c>
      <x:c r="I54" t="n">
        <x:v>2026</x:v>
      </x:c>
      <x:c r="J54" s="24" t="b">
        <x:v>1</x:v>
      </x:c>
    </x:row>
    <x:row r="55">
      <x:c r="A55" t="str">
        <x:v>2026-2A-PDT</x:v>
      </x:c>
      <x:c r="B55" t="str">
        <x:v>PDT</x:v>
      </x:c>
      <x:c r="C55" t="str">
        <x:v>Producción de Textos</x:v>
      </x:c>
      <x:c r="D55" t="str">
        <x:v>COM</x:v>
      </x:c>
      <x:c r="E55" t="n">
        <x:v>2</x:v>
      </x:c>
      <x:c r="F55" t="str">
        <x:v>A</x:v>
      </x:c>
      <x:c r="G55" t="str">
        <x:v>2A</x:v>
      </x:c>
      <x:c r="H55" t="str">
        <x:v>PROF-005</x:v>
      </x:c>
      <x:c r="I55" t="n">
        <x:v>2026</x:v>
      </x:c>
      <x:c r="J55" s="24" t="b">
        <x:v>1</x:v>
      </x:c>
    </x:row>
    <x:row r="56">
      <x:c r="A56" t="str">
        <x:v>2026-2A-GRA</x:v>
      </x:c>
      <x:c r="B56" t="str">
        <x:v>GRA</x:v>
      </x:c>
      <x:c r="C56" t="str">
        <x:v>Gramática</x:v>
      </x:c>
      <x:c r="D56" t="str">
        <x:v>COM</x:v>
      </x:c>
      <x:c r="E56" t="n">
        <x:v>2</x:v>
      </x:c>
      <x:c r="F56" t="str">
        <x:v>A</x:v>
      </x:c>
      <x:c r="G56" t="str">
        <x:v>2A</x:v>
      </x:c>
      <x:c r="H56" t="str">
        <x:v>PROF-005</x:v>
      </x:c>
      <x:c r="I56" t="n">
        <x:v>2026</x:v>
      </x:c>
      <x:c r="J56" s="24" t="b">
        <x:v>1</x:v>
      </x:c>
    </x:row>
    <x:row r="57">
      <x:c r="A57" t="str">
        <x:v>2026-2A-RZV</x:v>
      </x:c>
      <x:c r="B57" t="str">
        <x:v>RZV</x:v>
      </x:c>
      <x:c r="C57" t="str">
        <x:v>Razonamiento Verbal</x:v>
      </x:c>
      <x:c r="D57" t="str">
        <x:v>COM</x:v>
      </x:c>
      <x:c r="E57" t="n">
        <x:v>2</x:v>
      </x:c>
      <x:c r="F57" t="str">
        <x:v>A</x:v>
      </x:c>
      <x:c r="G57" t="str">
        <x:v>2A</x:v>
      </x:c>
      <x:c r="H57" t="str">
        <x:v>PROF-005</x:v>
      </x:c>
      <x:c r="I57" t="n">
        <x:v>2026</x:v>
      </x:c>
      <x:c r="J57" s="24" t="b">
        <x:v>1</x:v>
      </x:c>
    </x:row>
    <x:row r="58">
      <x:c r="A58" t="str">
        <x:v>2026-2A-CUH</x:v>
      </x:c>
      <x:c r="B58" t="str">
        <x:v>CUH</x:v>
      </x:c>
      <x:c r="C58" t="str">
        <x:v>Cuerpo Humano</x:v>
      </x:c>
      <x:c r="D58" t="str">
        <x:v>CIE</x:v>
      </x:c>
      <x:c r="E58" t="n">
        <x:v>2</x:v>
      </x:c>
      <x:c r="F58" t="str">
        <x:v>A</x:v>
      </x:c>
      <x:c r="G58" t="str">
        <x:v>2A</x:v>
      </x:c>
      <x:c r="H58" t="str">
        <x:v>PROF-005</x:v>
      </x:c>
      <x:c r="I58" t="n">
        <x:v>2026</x:v>
      </x:c>
      <x:c r="J58" s="24" t="b">
        <x:v>1</x:v>
      </x:c>
    </x:row>
    <x:row r="59">
      <x:c r="A59" t="str">
        <x:v>2026-2A-MUF</x:v>
      </x:c>
      <x:c r="B59" t="str">
        <x:v>MUF</x:v>
      </x:c>
      <x:c r="C59" t="str">
        <x:v>Mundo Físico</x:v>
      </x:c>
      <x:c r="D59" t="str">
        <x:v>CIE</x:v>
      </x:c>
      <x:c r="E59" t="n">
        <x:v>2</x:v>
      </x:c>
      <x:c r="F59" t="str">
        <x:v>A</x:v>
      </x:c>
      <x:c r="G59" t="str">
        <x:v>2A</x:v>
      </x:c>
      <x:c r="H59" t="str">
        <x:v>PROF-005</x:v>
      </x:c>
      <x:c r="I59" t="n">
        <x:v>2026</x:v>
      </x:c>
      <x:c r="J59" s="24" t="b">
        <x:v>1</x:v>
      </x:c>
    </x:row>
    <x:row r="60">
      <x:c r="A60" t="str">
        <x:v>2026-2A-CIU</x:v>
      </x:c>
      <x:c r="B60" t="str">
        <x:v>CIU</x:v>
      </x:c>
      <x:c r="C60" t="str">
        <x:v>Ciudadanía</x:v>
      </x:c>
      <x:c r="D60" t="str">
        <x:v>SOC</x:v>
      </x:c>
      <x:c r="E60" t="n">
        <x:v>2</x:v>
      </x:c>
      <x:c r="F60" t="str">
        <x:v>A</x:v>
      </x:c>
      <x:c r="G60" t="str">
        <x:v>2A</x:v>
      </x:c>
      <x:c r="H60" t="str">
        <x:v>PROF-005</x:v>
      </x:c>
      <x:c r="I60" t="n">
        <x:v>2026</x:v>
      </x:c>
      <x:c r="J60" s="24" t="b">
        <x:v>1</x:v>
      </x:c>
    </x:row>
    <x:row r="61">
      <x:c r="A61" t="str">
        <x:v>2026-2A-GEG</x:v>
      </x:c>
      <x:c r="B61" t="str">
        <x:v>GEG</x:v>
      </x:c>
      <x:c r="C61" t="str">
        <x:v>Geografía</x:v>
      </x:c>
      <x:c r="D61" t="str">
        <x:v>SOC</x:v>
      </x:c>
      <x:c r="E61" t="n">
        <x:v>2</x:v>
      </x:c>
      <x:c r="F61" t="str">
        <x:v>A</x:v>
      </x:c>
      <x:c r="G61" t="str">
        <x:v>2A</x:v>
      </x:c>
      <x:c r="H61" t="str">
        <x:v>PROF-005</x:v>
      </x:c>
      <x:c r="I61" t="n">
        <x:v>2026</x:v>
      </x:c>
      <x:c r="J61" s="24" t="b">
        <x:v>1</x:v>
      </x:c>
    </x:row>
    <x:row r="62">
      <x:c r="A62" t="str">
        <x:v>2026-2A-HIS</x:v>
      </x:c>
      <x:c r="B62" t="str">
        <x:v>HIS</x:v>
      </x:c>
      <x:c r="C62" t="str">
        <x:v>Historia</x:v>
      </x:c>
      <x:c r="D62" t="str">
        <x:v>SOC</x:v>
      </x:c>
      <x:c r="E62" t="n">
        <x:v>2</x:v>
      </x:c>
      <x:c r="F62" t="str">
        <x:v>A</x:v>
      </x:c>
      <x:c r="G62" t="str">
        <x:v>2A</x:v>
      </x:c>
      <x:c r="H62" t="str">
        <x:v>PROF-005</x:v>
      </x:c>
      <x:c r="I62" t="n">
        <x:v>2026</x:v>
      </x:c>
      <x:c r="J62" s="24" t="b">
        <x:v>1</x:v>
      </x:c>
    </x:row>
    <x:row r="63">
      <x:c r="A63" t="str">
        <x:v>2026-2A-REL</x:v>
      </x:c>
      <x:c r="B63" t="str">
        <x:v>REL</x:v>
      </x:c>
      <x:c r="C63" t="str">
        <x:v>Religión</x:v>
      </x:c>
      <x:c r="D63" t="str">
        <x:v>REL</x:v>
      </x:c>
      <x:c r="E63" t="n">
        <x:v>2</x:v>
      </x:c>
      <x:c r="F63" t="str">
        <x:v>A</x:v>
      </x:c>
      <x:c r="G63" t="str">
        <x:v>2A</x:v>
      </x:c>
      <x:c r="H63" t="str">
        <x:v>PROF-005</x:v>
      </x:c>
      <x:c r="I63" t="n">
        <x:v>2026</x:v>
      </x:c>
      <x:c r="J63" s="24" t="b">
        <x:v>1</x:v>
      </x:c>
    </x:row>
    <x:row r="64">
      <x:c r="A64" t="str">
        <x:v>2026-2A-ING</x:v>
      </x:c>
      <x:c r="B64" t="str">
        <x:v>ING</x:v>
      </x:c>
      <x:c r="C64" t="str">
        <x:v>Inglés</x:v>
      </x:c>
      <x:c r="D64" t="str">
        <x:v>IDI</x:v>
      </x:c>
      <x:c r="E64" t="n">
        <x:v>2</x:v>
      </x:c>
      <x:c r="F64" t="str">
        <x:v>A</x:v>
      </x:c>
      <x:c r="G64" t="str">
        <x:v>2A</x:v>
      </x:c>
      <x:c r="H64" t="str">
        <x:v>PROF-005</x:v>
      </x:c>
      <x:c r="I64" t="n">
        <x:v>2026</x:v>
      </x:c>
      <x:c r="J64" s="24" t="b">
        <x:v>1</x:v>
      </x:c>
    </x:row>
    <x:row r="65">
      <x:c r="A65" t="str">
        <x:v>2026-2A-TAL</x:v>
      </x:c>
      <x:c r="B65" t="str">
        <x:v>TAL</x:v>
      </x:c>
      <x:c r="C65" t="str">
        <x:v>Taller</x:v>
      </x:c>
      <x:c r="D65" t="str">
        <x:v>TAL</x:v>
      </x:c>
      <x:c r="E65" t="n">
        <x:v>2</x:v>
      </x:c>
      <x:c r="F65" t="str">
        <x:v>A</x:v>
      </x:c>
      <x:c r="G65" t="str">
        <x:v>2A</x:v>
      </x:c>
      <x:c r="H65" t="str">
        <x:v>PROF-005</x:v>
      </x:c>
      <x:c r="I65" t="n">
        <x:v>2026</x:v>
      </x:c>
      <x:c r="J65" s="24" t="b">
        <x:v>1</x:v>
      </x:c>
    </x:row>
    <x:row r="66">
      <x:c r="A66" t="str">
        <x:v>2026-2A-EDF</x:v>
      </x:c>
      <x:c r="B66" t="str">
        <x:v>EDF</x:v>
      </x:c>
      <x:c r="C66" t="str">
        <x:v>Educación Física</x:v>
      </x:c>
      <x:c r="D66" t="str">
        <x:v>EDF</x:v>
      </x:c>
      <x:c r="E66" t="n">
        <x:v>2</x:v>
      </x:c>
      <x:c r="F66" t="str">
        <x:v>A</x:v>
      </x:c>
      <x:c r="G66" t="str">
        <x:v>2A</x:v>
      </x:c>
      <x:c r="H66" t="str">
        <x:v>PROF-005</x:v>
      </x:c>
      <x:c r="I66" t="n">
        <x:v>2026</x:v>
      </x:c>
      <x:c r="J66" s="24" t="b">
        <x:v>1</x:v>
      </x:c>
    </x:row>
    <x:row r="67">
      <x:c r="A67" t="str">
        <x:v>2026-2B-ARI</x:v>
      </x:c>
      <x:c r="B67" t="str">
        <x:v>ARI</x:v>
      </x:c>
      <x:c r="C67" t="str">
        <x:v>Aritmética</x:v>
      </x:c>
      <x:c r="D67" t="str">
        <x:v>MAT</x:v>
      </x:c>
      <x:c r="E67" t="n">
        <x:v>2</x:v>
      </x:c>
      <x:c r="F67" t="str">
        <x:v>B</x:v>
      </x:c>
      <x:c r="G67" t="str">
        <x:v>2B</x:v>
      </x:c>
      <x:c r="H67" t="str">
        <x:v>PROF-006</x:v>
      </x:c>
      <x:c r="I67" t="n">
        <x:v>2026</x:v>
      </x:c>
      <x:c r="J67" s="24" t="b">
        <x:v>1</x:v>
      </x:c>
    </x:row>
    <x:row r="68">
      <x:c r="A68" t="str">
        <x:v>2026-2B-PDT</x:v>
      </x:c>
      <x:c r="B68" t="str">
        <x:v>PDT</x:v>
      </x:c>
      <x:c r="C68" t="str">
        <x:v>Producción de Textos</x:v>
      </x:c>
      <x:c r="D68" t="str">
        <x:v>COM</x:v>
      </x:c>
      <x:c r="E68" t="n">
        <x:v>2</x:v>
      </x:c>
      <x:c r="F68" t="str">
        <x:v>B</x:v>
      </x:c>
      <x:c r="G68" t="str">
        <x:v>2B</x:v>
      </x:c>
      <x:c r="H68" t="str">
        <x:v>PROF-006</x:v>
      </x:c>
      <x:c r="I68" t="n">
        <x:v>2026</x:v>
      </x:c>
      <x:c r="J68" s="24" t="b">
        <x:v>1</x:v>
      </x:c>
    </x:row>
    <x:row r="69">
      <x:c r="A69" t="str">
        <x:v>2026-2B-GRA</x:v>
      </x:c>
      <x:c r="B69" t="str">
        <x:v>GRA</x:v>
      </x:c>
      <x:c r="C69" t="str">
        <x:v>Gramática</x:v>
      </x:c>
      <x:c r="D69" t="str">
        <x:v>COM</x:v>
      </x:c>
      <x:c r="E69" t="n">
        <x:v>2</x:v>
      </x:c>
      <x:c r="F69" t="str">
        <x:v>B</x:v>
      </x:c>
      <x:c r="G69" t="str">
        <x:v>2B</x:v>
      </x:c>
      <x:c r="H69" t="str">
        <x:v>PROF-006</x:v>
      </x:c>
      <x:c r="I69" t="n">
        <x:v>2026</x:v>
      </x:c>
      <x:c r="J69" s="24" t="b">
        <x:v>1</x:v>
      </x:c>
    </x:row>
    <x:row r="70">
      <x:c r="A70" t="str">
        <x:v>2026-2B-RZV</x:v>
      </x:c>
      <x:c r="B70" t="str">
        <x:v>RZV</x:v>
      </x:c>
      <x:c r="C70" t="str">
        <x:v>Razonamiento Verbal</x:v>
      </x:c>
      <x:c r="D70" t="str">
        <x:v>COM</x:v>
      </x:c>
      <x:c r="E70" t="n">
        <x:v>2</x:v>
      </x:c>
      <x:c r="F70" t="str">
        <x:v>B</x:v>
      </x:c>
      <x:c r="G70" t="str">
        <x:v>2B</x:v>
      </x:c>
      <x:c r="H70" t="str">
        <x:v>PROF-006</x:v>
      </x:c>
      <x:c r="I70" t="n">
        <x:v>2026</x:v>
      </x:c>
      <x:c r="J70" s="24" t="b">
        <x:v>1</x:v>
      </x:c>
    </x:row>
    <x:row r="71">
      <x:c r="A71" t="str">
        <x:v>2026-2B-CUH</x:v>
      </x:c>
      <x:c r="B71" t="str">
        <x:v>CUH</x:v>
      </x:c>
      <x:c r="C71" t="str">
        <x:v>Cuerpo Humano</x:v>
      </x:c>
      <x:c r="D71" t="str">
        <x:v>CIE</x:v>
      </x:c>
      <x:c r="E71" t="n">
        <x:v>2</x:v>
      </x:c>
      <x:c r="F71" t="str">
        <x:v>B</x:v>
      </x:c>
      <x:c r="G71" t="str">
        <x:v>2B</x:v>
      </x:c>
      <x:c r="H71" t="str">
        <x:v>PROF-006</x:v>
      </x:c>
      <x:c r="I71" t="n">
        <x:v>2026</x:v>
      </x:c>
      <x:c r="J71" s="24" t="b">
        <x:v>1</x:v>
      </x:c>
    </x:row>
    <x:row r="72">
      <x:c r="A72" t="str">
        <x:v>2026-2B-MUF</x:v>
      </x:c>
      <x:c r="B72" t="str">
        <x:v>MUF</x:v>
      </x:c>
      <x:c r="C72" t="str">
        <x:v>Mundo Físico</x:v>
      </x:c>
      <x:c r="D72" t="str">
        <x:v>CIE</x:v>
      </x:c>
      <x:c r="E72" t="n">
        <x:v>2</x:v>
      </x:c>
      <x:c r="F72" t="str">
        <x:v>B</x:v>
      </x:c>
      <x:c r="G72" t="str">
        <x:v>2B</x:v>
      </x:c>
      <x:c r="H72" t="str">
        <x:v>PROF-006</x:v>
      </x:c>
      <x:c r="I72" t="n">
        <x:v>2026</x:v>
      </x:c>
      <x:c r="J72" s="24" t="b">
        <x:v>1</x:v>
      </x:c>
    </x:row>
    <x:row r="73">
      <x:c r="A73" t="str">
        <x:v>2026-2B-CIU</x:v>
      </x:c>
      <x:c r="B73" t="str">
        <x:v>CIU</x:v>
      </x:c>
      <x:c r="C73" t="str">
        <x:v>Ciudadanía</x:v>
      </x:c>
      <x:c r="D73" t="str">
        <x:v>SOC</x:v>
      </x:c>
      <x:c r="E73" t="n">
        <x:v>2</x:v>
      </x:c>
      <x:c r="F73" t="str">
        <x:v>B</x:v>
      </x:c>
      <x:c r="G73" t="str">
        <x:v>2B</x:v>
      </x:c>
      <x:c r="H73" t="str">
        <x:v>PROF-006</x:v>
      </x:c>
      <x:c r="I73" t="n">
        <x:v>2026</x:v>
      </x:c>
      <x:c r="J73" s="24" t="b">
        <x:v>1</x:v>
      </x:c>
    </x:row>
    <x:row r="74">
      <x:c r="A74" t="str">
        <x:v>2026-2B-GEG</x:v>
      </x:c>
      <x:c r="B74" t="str">
        <x:v>GEG</x:v>
      </x:c>
      <x:c r="C74" t="str">
        <x:v>Geografía</x:v>
      </x:c>
      <x:c r="D74" t="str">
        <x:v>SOC</x:v>
      </x:c>
      <x:c r="E74" t="n">
        <x:v>2</x:v>
      </x:c>
      <x:c r="F74" t="str">
        <x:v>B</x:v>
      </x:c>
      <x:c r="G74" t="str">
        <x:v>2B</x:v>
      </x:c>
      <x:c r="H74" t="str">
        <x:v>PROF-006</x:v>
      </x:c>
      <x:c r="I74" t="n">
        <x:v>2026</x:v>
      </x:c>
      <x:c r="J74" s="24" t="b">
        <x:v>1</x:v>
      </x:c>
    </x:row>
    <x:row r="75">
      <x:c r="A75" t="str">
        <x:v>2026-2B-HIS</x:v>
      </x:c>
      <x:c r="B75" t="str">
        <x:v>HIS</x:v>
      </x:c>
      <x:c r="C75" t="str">
        <x:v>Historia</x:v>
      </x:c>
      <x:c r="D75" t="str">
        <x:v>SOC</x:v>
      </x:c>
      <x:c r="E75" t="n">
        <x:v>2</x:v>
      </x:c>
      <x:c r="F75" t="str">
        <x:v>B</x:v>
      </x:c>
      <x:c r="G75" t="str">
        <x:v>2B</x:v>
      </x:c>
      <x:c r="H75" t="str">
        <x:v>PROF-006</x:v>
      </x:c>
      <x:c r="I75" t="n">
        <x:v>2026</x:v>
      </x:c>
      <x:c r="J75" s="24" t="b">
        <x:v>1</x:v>
      </x:c>
    </x:row>
    <x:row r="76">
      <x:c r="A76" t="str">
        <x:v>2026-2B-REL</x:v>
      </x:c>
      <x:c r="B76" t="str">
        <x:v>REL</x:v>
      </x:c>
      <x:c r="C76" t="str">
        <x:v>Religión</x:v>
      </x:c>
      <x:c r="D76" t="str">
        <x:v>REL</x:v>
      </x:c>
      <x:c r="E76" t="n">
        <x:v>2</x:v>
      </x:c>
      <x:c r="F76" t="str">
        <x:v>B</x:v>
      </x:c>
      <x:c r="G76" t="str">
        <x:v>2B</x:v>
      </x:c>
      <x:c r="H76" t="str">
        <x:v>PROF-006</x:v>
      </x:c>
      <x:c r="I76" t="n">
        <x:v>2026</x:v>
      </x:c>
      <x:c r="J76" s="24" t="b">
        <x:v>1</x:v>
      </x:c>
    </x:row>
    <x:row r="77">
      <x:c r="A77" t="str">
        <x:v>2026-2B-ING</x:v>
      </x:c>
      <x:c r="B77" t="str">
        <x:v>ING</x:v>
      </x:c>
      <x:c r="C77" t="str">
        <x:v>Inglés</x:v>
      </x:c>
      <x:c r="D77" t="str">
        <x:v>IDI</x:v>
      </x:c>
      <x:c r="E77" t="n">
        <x:v>2</x:v>
      </x:c>
      <x:c r="F77" t="str">
        <x:v>B</x:v>
      </x:c>
      <x:c r="G77" t="str">
        <x:v>2B</x:v>
      </x:c>
      <x:c r="H77" t="str">
        <x:v>PROF-006</x:v>
      </x:c>
      <x:c r="I77" t="n">
        <x:v>2026</x:v>
      </x:c>
      <x:c r="J77" s="24" t="b">
        <x:v>1</x:v>
      </x:c>
    </x:row>
    <x:row r="78">
      <x:c r="A78" t="str">
        <x:v>2026-2B-TAL</x:v>
      </x:c>
      <x:c r="B78" t="str">
        <x:v>TAL</x:v>
      </x:c>
      <x:c r="C78" t="str">
        <x:v>Taller</x:v>
      </x:c>
      <x:c r="D78" t="str">
        <x:v>TAL</x:v>
      </x:c>
      <x:c r="E78" t="n">
        <x:v>2</x:v>
      </x:c>
      <x:c r="F78" t="str">
        <x:v>B</x:v>
      </x:c>
      <x:c r="G78" t="str">
        <x:v>2B</x:v>
      </x:c>
      <x:c r="H78" t="str">
        <x:v>PROF-006</x:v>
      </x:c>
      <x:c r="I78" t="n">
        <x:v>2026</x:v>
      </x:c>
      <x:c r="J78" s="24" t="b">
        <x:v>1</x:v>
      </x:c>
    </x:row>
    <x:row r="79">
      <x:c r="A79" t="str">
        <x:v>2026-2B-EDF</x:v>
      </x:c>
      <x:c r="B79" t="str">
        <x:v>EDF</x:v>
      </x:c>
      <x:c r="C79" t="str">
        <x:v>Educación Física</x:v>
      </x:c>
      <x:c r="D79" t="str">
        <x:v>EDF</x:v>
      </x:c>
      <x:c r="E79" t="n">
        <x:v>2</x:v>
      </x:c>
      <x:c r="F79" t="str">
        <x:v>B</x:v>
      </x:c>
      <x:c r="G79" t="str">
        <x:v>2B</x:v>
      </x:c>
      <x:c r="H79" t="str">
        <x:v>PROF-006</x:v>
      </x:c>
      <x:c r="I79" t="n">
        <x:v>2026</x:v>
      </x:c>
      <x:c r="J79" s="24" t="b">
        <x:v>1</x:v>
      </x:c>
    </x:row>
    <x:row r="80">
      <x:c r="A80" t="str">
        <x:v>2026-2C-ARI</x:v>
      </x:c>
      <x:c r="B80" t="str">
        <x:v>ARI</x:v>
      </x:c>
      <x:c r="C80" t="str">
        <x:v>Aritmética</x:v>
      </x:c>
      <x:c r="D80" t="str">
        <x:v>MAT</x:v>
      </x:c>
      <x:c r="E80" t="n">
        <x:v>2</x:v>
      </x:c>
      <x:c r="F80" t="str">
        <x:v>C</x:v>
      </x:c>
      <x:c r="G80" t="str">
        <x:v>2C</x:v>
      </x:c>
      <x:c r="H80" t="str">
        <x:v>PROF-007</x:v>
      </x:c>
      <x:c r="I80" t="n">
        <x:v>2026</x:v>
      </x:c>
      <x:c r="J80" s="24" t="b">
        <x:v>1</x:v>
      </x:c>
    </x:row>
    <x:row r="81">
      <x:c r="A81" t="str">
        <x:v>2026-2C-PDT</x:v>
      </x:c>
      <x:c r="B81" t="str">
        <x:v>PDT</x:v>
      </x:c>
      <x:c r="C81" t="str">
        <x:v>Producción de Textos</x:v>
      </x:c>
      <x:c r="D81" t="str">
        <x:v>COM</x:v>
      </x:c>
      <x:c r="E81" t="n">
        <x:v>2</x:v>
      </x:c>
      <x:c r="F81" t="str">
        <x:v>C</x:v>
      </x:c>
      <x:c r="G81" t="str">
        <x:v>2C</x:v>
      </x:c>
      <x:c r="H81" t="str">
        <x:v>PROF-007</x:v>
      </x:c>
      <x:c r="I81" t="n">
        <x:v>2026</x:v>
      </x:c>
      <x:c r="J81" s="24" t="b">
        <x:v>1</x:v>
      </x:c>
    </x:row>
    <x:row r="82">
      <x:c r="A82" t="str">
        <x:v>2026-2C-GRA</x:v>
      </x:c>
      <x:c r="B82" t="str">
        <x:v>GRA</x:v>
      </x:c>
      <x:c r="C82" t="str">
        <x:v>Gramática</x:v>
      </x:c>
      <x:c r="D82" t="str">
        <x:v>COM</x:v>
      </x:c>
      <x:c r="E82" t="n">
        <x:v>2</x:v>
      </x:c>
      <x:c r="F82" t="str">
        <x:v>C</x:v>
      </x:c>
      <x:c r="G82" t="str">
        <x:v>2C</x:v>
      </x:c>
      <x:c r="H82" t="str">
        <x:v>PROF-007</x:v>
      </x:c>
      <x:c r="I82" t="n">
        <x:v>2026</x:v>
      </x:c>
      <x:c r="J82" s="24" t="b">
        <x:v>1</x:v>
      </x:c>
    </x:row>
    <x:row r="83">
      <x:c r="A83" t="str">
        <x:v>2026-2C-RZV</x:v>
      </x:c>
      <x:c r="B83" t="str">
        <x:v>RZV</x:v>
      </x:c>
      <x:c r="C83" t="str">
        <x:v>Razonamiento Verbal</x:v>
      </x:c>
      <x:c r="D83" t="str">
        <x:v>COM</x:v>
      </x:c>
      <x:c r="E83" t="n">
        <x:v>2</x:v>
      </x:c>
      <x:c r="F83" t="str">
        <x:v>C</x:v>
      </x:c>
      <x:c r="G83" t="str">
        <x:v>2C</x:v>
      </x:c>
      <x:c r="H83" t="str">
        <x:v>PROF-007</x:v>
      </x:c>
      <x:c r="I83" t="n">
        <x:v>2026</x:v>
      </x:c>
      <x:c r="J83" s="24" t="b">
        <x:v>1</x:v>
      </x:c>
    </x:row>
    <x:row r="84">
      <x:c r="A84" t="str">
        <x:v>2026-2C-CUH</x:v>
      </x:c>
      <x:c r="B84" t="str">
        <x:v>CUH</x:v>
      </x:c>
      <x:c r="C84" t="str">
        <x:v>Cuerpo Humano</x:v>
      </x:c>
      <x:c r="D84" t="str">
        <x:v>CIE</x:v>
      </x:c>
      <x:c r="E84" t="n">
        <x:v>2</x:v>
      </x:c>
      <x:c r="F84" t="str">
        <x:v>C</x:v>
      </x:c>
      <x:c r="G84" t="str">
        <x:v>2C</x:v>
      </x:c>
      <x:c r="H84" t="str">
        <x:v>PROF-007</x:v>
      </x:c>
      <x:c r="I84" t="n">
        <x:v>2026</x:v>
      </x:c>
      <x:c r="J84" s="24" t="b">
        <x:v>1</x:v>
      </x:c>
    </x:row>
    <x:row r="85">
      <x:c r="A85" t="str">
        <x:v>2026-2C-MUF</x:v>
      </x:c>
      <x:c r="B85" t="str">
        <x:v>MUF</x:v>
      </x:c>
      <x:c r="C85" t="str">
        <x:v>Mundo Físico</x:v>
      </x:c>
      <x:c r="D85" t="str">
        <x:v>CIE</x:v>
      </x:c>
      <x:c r="E85" t="n">
        <x:v>2</x:v>
      </x:c>
      <x:c r="F85" t="str">
        <x:v>C</x:v>
      </x:c>
      <x:c r="G85" t="str">
        <x:v>2C</x:v>
      </x:c>
      <x:c r="H85" t="str">
        <x:v>PROF-007</x:v>
      </x:c>
      <x:c r="I85" t="n">
        <x:v>2026</x:v>
      </x:c>
      <x:c r="J85" s="24" t="b">
        <x:v>1</x:v>
      </x:c>
    </x:row>
    <x:row r="86">
      <x:c r="A86" t="str">
        <x:v>2026-2C-CIU</x:v>
      </x:c>
      <x:c r="B86" t="str">
        <x:v>CIU</x:v>
      </x:c>
      <x:c r="C86" t="str">
        <x:v>Ciudadanía</x:v>
      </x:c>
      <x:c r="D86" t="str">
        <x:v>SOC</x:v>
      </x:c>
      <x:c r="E86" t="n">
        <x:v>2</x:v>
      </x:c>
      <x:c r="F86" t="str">
        <x:v>C</x:v>
      </x:c>
      <x:c r="G86" t="str">
        <x:v>2C</x:v>
      </x:c>
      <x:c r="H86" t="str">
        <x:v>PROF-007</x:v>
      </x:c>
      <x:c r="I86" t="n">
        <x:v>2026</x:v>
      </x:c>
      <x:c r="J86" s="24" t="b">
        <x:v>1</x:v>
      </x:c>
    </x:row>
    <x:row r="87">
      <x:c r="A87" t="str">
        <x:v>2026-2C-GEG</x:v>
      </x:c>
      <x:c r="B87" t="str">
        <x:v>GEG</x:v>
      </x:c>
      <x:c r="C87" t="str">
        <x:v>Geografía</x:v>
      </x:c>
      <x:c r="D87" t="str">
        <x:v>SOC</x:v>
      </x:c>
      <x:c r="E87" t="n">
        <x:v>2</x:v>
      </x:c>
      <x:c r="F87" t="str">
        <x:v>C</x:v>
      </x:c>
      <x:c r="G87" t="str">
        <x:v>2C</x:v>
      </x:c>
      <x:c r="H87" t="str">
        <x:v>PROF-007</x:v>
      </x:c>
      <x:c r="I87" t="n">
        <x:v>2026</x:v>
      </x:c>
      <x:c r="J87" s="24" t="b">
        <x:v>1</x:v>
      </x:c>
    </x:row>
    <x:row r="88">
      <x:c r="A88" t="str">
        <x:v>2026-2C-HIS</x:v>
      </x:c>
      <x:c r="B88" t="str">
        <x:v>HIS</x:v>
      </x:c>
      <x:c r="C88" t="str">
        <x:v>Historia</x:v>
      </x:c>
      <x:c r="D88" t="str">
        <x:v>SOC</x:v>
      </x:c>
      <x:c r="E88" t="n">
        <x:v>2</x:v>
      </x:c>
      <x:c r="F88" t="str">
        <x:v>C</x:v>
      </x:c>
      <x:c r="G88" t="str">
        <x:v>2C</x:v>
      </x:c>
      <x:c r="H88" t="str">
        <x:v>PROF-007</x:v>
      </x:c>
      <x:c r="I88" t="n">
        <x:v>2026</x:v>
      </x:c>
      <x:c r="J88" s="24" t="b">
        <x:v>1</x:v>
      </x:c>
    </x:row>
    <x:row r="89">
      <x:c r="A89" t="str">
        <x:v>2026-2C-REL</x:v>
      </x:c>
      <x:c r="B89" t="str">
        <x:v>REL</x:v>
      </x:c>
      <x:c r="C89" t="str">
        <x:v>Religión</x:v>
      </x:c>
      <x:c r="D89" t="str">
        <x:v>REL</x:v>
      </x:c>
      <x:c r="E89" t="n">
        <x:v>2</x:v>
      </x:c>
      <x:c r="F89" t="str">
        <x:v>C</x:v>
      </x:c>
      <x:c r="G89" t="str">
        <x:v>2C</x:v>
      </x:c>
      <x:c r="H89" t="str">
        <x:v>PROF-007</x:v>
      </x:c>
      <x:c r="I89" t="n">
        <x:v>2026</x:v>
      </x:c>
      <x:c r="J89" s="24" t="b">
        <x:v>1</x:v>
      </x:c>
    </x:row>
    <x:row r="90">
      <x:c r="A90" t="str">
        <x:v>2026-2C-ING</x:v>
      </x:c>
      <x:c r="B90" t="str">
        <x:v>ING</x:v>
      </x:c>
      <x:c r="C90" t="str">
        <x:v>Inglés</x:v>
      </x:c>
      <x:c r="D90" t="str">
        <x:v>IDI</x:v>
      </x:c>
      <x:c r="E90" t="n">
        <x:v>2</x:v>
      </x:c>
      <x:c r="F90" t="str">
        <x:v>C</x:v>
      </x:c>
      <x:c r="G90" t="str">
        <x:v>2C</x:v>
      </x:c>
      <x:c r="H90" t="str">
        <x:v>PROF-007</x:v>
      </x:c>
      <x:c r="I90" t="n">
        <x:v>2026</x:v>
      </x:c>
      <x:c r="J90" s="24" t="b">
        <x:v>1</x:v>
      </x:c>
    </x:row>
    <x:row r="91">
      <x:c r="A91" t="str">
        <x:v>2026-2C-TAL</x:v>
      </x:c>
      <x:c r="B91" t="str">
        <x:v>TAL</x:v>
      </x:c>
      <x:c r="C91" t="str">
        <x:v>Taller</x:v>
      </x:c>
      <x:c r="D91" t="str">
        <x:v>TAL</x:v>
      </x:c>
      <x:c r="E91" t="n">
        <x:v>2</x:v>
      </x:c>
      <x:c r="F91" t="str">
        <x:v>C</x:v>
      </x:c>
      <x:c r="G91" t="str">
        <x:v>2C</x:v>
      </x:c>
      <x:c r="H91" t="str">
        <x:v>PROF-007</x:v>
      </x:c>
      <x:c r="I91" t="n">
        <x:v>2026</x:v>
      </x:c>
      <x:c r="J91" s="24" t="b">
        <x:v>1</x:v>
      </x:c>
    </x:row>
    <x:row r="92">
      <x:c r="A92" t="str">
        <x:v>2026-2C-EDF</x:v>
      </x:c>
      <x:c r="B92" t="str">
        <x:v>EDF</x:v>
      </x:c>
      <x:c r="C92" t="str">
        <x:v>Educación Física</x:v>
      </x:c>
      <x:c r="D92" t="str">
        <x:v>EDF</x:v>
      </x:c>
      <x:c r="E92" t="n">
        <x:v>2</x:v>
      </x:c>
      <x:c r="F92" t="str">
        <x:v>C</x:v>
      </x:c>
      <x:c r="G92" t="str">
        <x:v>2C</x:v>
      </x:c>
      <x:c r="H92" t="str">
        <x:v>PROF-007</x:v>
      </x:c>
      <x:c r="I92" t="n">
        <x:v>2026</x:v>
      </x:c>
      <x:c r="J92" s="24" t="b">
        <x:v>1</x:v>
      </x:c>
    </x:row>
    <x:row r="93">
      <x:c r="A93" t="str">
        <x:v>2026-2D-ARI</x:v>
      </x:c>
      <x:c r="B93" t="str">
        <x:v>ARI</x:v>
      </x:c>
      <x:c r="C93" t="str">
        <x:v>Aritmética</x:v>
      </x:c>
      <x:c r="D93" t="str">
        <x:v>MAT</x:v>
      </x:c>
      <x:c r="E93" t="n">
        <x:v>2</x:v>
      </x:c>
      <x:c r="F93" t="str">
        <x:v>D</x:v>
      </x:c>
      <x:c r="G93" t="str">
        <x:v>2D</x:v>
      </x:c>
      <x:c r="H93" t="str">
        <x:v>PROF-008</x:v>
      </x:c>
      <x:c r="I93" t="n">
        <x:v>2026</x:v>
      </x:c>
      <x:c r="J93" s="24" t="b">
        <x:v>1</x:v>
      </x:c>
    </x:row>
    <x:row r="94">
      <x:c r="A94" t="str">
        <x:v>2026-2D-PDT</x:v>
      </x:c>
      <x:c r="B94" t="str">
        <x:v>PDT</x:v>
      </x:c>
      <x:c r="C94" t="str">
        <x:v>Producción de Textos</x:v>
      </x:c>
      <x:c r="D94" t="str">
        <x:v>COM</x:v>
      </x:c>
      <x:c r="E94" t="n">
        <x:v>2</x:v>
      </x:c>
      <x:c r="F94" t="str">
        <x:v>D</x:v>
      </x:c>
      <x:c r="G94" t="str">
        <x:v>2D</x:v>
      </x:c>
      <x:c r="H94" t="str">
        <x:v>PROF-008</x:v>
      </x:c>
      <x:c r="I94" t="n">
        <x:v>2026</x:v>
      </x:c>
      <x:c r="J94" s="24" t="b">
        <x:v>1</x:v>
      </x:c>
    </x:row>
    <x:row r="95">
      <x:c r="A95" t="str">
        <x:v>2026-2D-GRA</x:v>
      </x:c>
      <x:c r="B95" t="str">
        <x:v>GRA</x:v>
      </x:c>
      <x:c r="C95" t="str">
        <x:v>Gramática</x:v>
      </x:c>
      <x:c r="D95" t="str">
        <x:v>COM</x:v>
      </x:c>
      <x:c r="E95" t="n">
        <x:v>2</x:v>
      </x:c>
      <x:c r="F95" t="str">
        <x:v>D</x:v>
      </x:c>
      <x:c r="G95" t="str">
        <x:v>2D</x:v>
      </x:c>
      <x:c r="H95" t="str">
        <x:v>PROF-008</x:v>
      </x:c>
      <x:c r="I95" t="n">
        <x:v>2026</x:v>
      </x:c>
      <x:c r="J95" s="24" t="b">
        <x:v>1</x:v>
      </x:c>
    </x:row>
    <x:row r="96">
      <x:c r="A96" t="str">
        <x:v>2026-2D-RZV</x:v>
      </x:c>
      <x:c r="B96" t="str">
        <x:v>RZV</x:v>
      </x:c>
      <x:c r="C96" t="str">
        <x:v>Razonamiento Verbal</x:v>
      </x:c>
      <x:c r="D96" t="str">
        <x:v>COM</x:v>
      </x:c>
      <x:c r="E96" t="n">
        <x:v>2</x:v>
      </x:c>
      <x:c r="F96" t="str">
        <x:v>D</x:v>
      </x:c>
      <x:c r="G96" t="str">
        <x:v>2D</x:v>
      </x:c>
      <x:c r="H96" t="str">
        <x:v>PROF-008</x:v>
      </x:c>
      <x:c r="I96" t="n">
        <x:v>2026</x:v>
      </x:c>
      <x:c r="J96" s="24" t="b">
        <x:v>1</x:v>
      </x:c>
    </x:row>
    <x:row r="97">
      <x:c r="A97" t="str">
        <x:v>2026-2D-CUH</x:v>
      </x:c>
      <x:c r="B97" t="str">
        <x:v>CUH</x:v>
      </x:c>
      <x:c r="C97" t="str">
        <x:v>Cuerpo Humano</x:v>
      </x:c>
      <x:c r="D97" t="str">
        <x:v>CIE</x:v>
      </x:c>
      <x:c r="E97" t="n">
        <x:v>2</x:v>
      </x:c>
      <x:c r="F97" t="str">
        <x:v>D</x:v>
      </x:c>
      <x:c r="G97" t="str">
        <x:v>2D</x:v>
      </x:c>
      <x:c r="H97" t="str">
        <x:v>PROF-008</x:v>
      </x:c>
      <x:c r="I97" t="n">
        <x:v>2026</x:v>
      </x:c>
      <x:c r="J97" s="24" t="b">
        <x:v>1</x:v>
      </x:c>
    </x:row>
    <x:row r="98">
      <x:c r="A98" t="str">
        <x:v>2026-2D-MUF</x:v>
      </x:c>
      <x:c r="B98" t="str">
        <x:v>MUF</x:v>
      </x:c>
      <x:c r="C98" t="str">
        <x:v>Mundo Físico</x:v>
      </x:c>
      <x:c r="D98" t="str">
        <x:v>CIE</x:v>
      </x:c>
      <x:c r="E98" t="n">
        <x:v>2</x:v>
      </x:c>
      <x:c r="F98" t="str">
        <x:v>D</x:v>
      </x:c>
      <x:c r="G98" t="str">
        <x:v>2D</x:v>
      </x:c>
      <x:c r="H98" t="str">
        <x:v>PROF-008</x:v>
      </x:c>
      <x:c r="I98" t="n">
        <x:v>2026</x:v>
      </x:c>
      <x:c r="J98" s="24" t="b">
        <x:v>1</x:v>
      </x:c>
    </x:row>
    <x:row r="99">
      <x:c r="A99" t="str">
        <x:v>2026-2D-CIU</x:v>
      </x:c>
      <x:c r="B99" t="str">
        <x:v>CIU</x:v>
      </x:c>
      <x:c r="C99" t="str">
        <x:v>Ciudadanía</x:v>
      </x:c>
      <x:c r="D99" t="str">
        <x:v>SOC</x:v>
      </x:c>
      <x:c r="E99" t="n">
        <x:v>2</x:v>
      </x:c>
      <x:c r="F99" t="str">
        <x:v>D</x:v>
      </x:c>
      <x:c r="G99" t="str">
        <x:v>2D</x:v>
      </x:c>
      <x:c r="H99" t="str">
        <x:v>PROF-008</x:v>
      </x:c>
      <x:c r="I99" t="n">
        <x:v>2026</x:v>
      </x:c>
      <x:c r="J99" s="24" t="b">
        <x:v>1</x:v>
      </x:c>
    </x:row>
    <x:row r="100">
      <x:c r="A100" t="str">
        <x:v>2026-2D-GEG</x:v>
      </x:c>
      <x:c r="B100" t="str">
        <x:v>GEG</x:v>
      </x:c>
      <x:c r="C100" t="str">
        <x:v>Geografía</x:v>
      </x:c>
      <x:c r="D100" t="str">
        <x:v>SOC</x:v>
      </x:c>
      <x:c r="E100" t="n">
        <x:v>2</x:v>
      </x:c>
      <x:c r="F100" t="str">
        <x:v>D</x:v>
      </x:c>
      <x:c r="G100" t="str">
        <x:v>2D</x:v>
      </x:c>
      <x:c r="H100" t="str">
        <x:v>PROF-008</x:v>
      </x:c>
      <x:c r="I100" t="n">
        <x:v>2026</x:v>
      </x:c>
      <x:c r="J100" s="24" t="b">
        <x:v>1</x:v>
      </x:c>
    </x:row>
    <x:row r="101">
      <x:c r="A101" t="str">
        <x:v>2026-2D-HIS</x:v>
      </x:c>
      <x:c r="B101" t="str">
        <x:v>HIS</x:v>
      </x:c>
      <x:c r="C101" t="str">
        <x:v>Historia</x:v>
      </x:c>
      <x:c r="D101" t="str">
        <x:v>SOC</x:v>
      </x:c>
      <x:c r="E101" t="n">
        <x:v>2</x:v>
      </x:c>
      <x:c r="F101" t="str">
        <x:v>D</x:v>
      </x:c>
      <x:c r="G101" t="str">
        <x:v>2D</x:v>
      </x:c>
      <x:c r="H101" t="str">
        <x:v>PROF-008</x:v>
      </x:c>
      <x:c r="I101" t="n">
        <x:v>2026</x:v>
      </x:c>
      <x:c r="J101" s="24" t="b">
        <x:v>1</x:v>
      </x:c>
    </x:row>
    <x:row r="102">
      <x:c r="A102" t="str">
        <x:v>2026-2D-REL</x:v>
      </x:c>
      <x:c r="B102" t="str">
        <x:v>REL</x:v>
      </x:c>
      <x:c r="C102" t="str">
        <x:v>Religión</x:v>
      </x:c>
      <x:c r="D102" t="str">
        <x:v>REL</x:v>
      </x:c>
      <x:c r="E102" t="n">
        <x:v>2</x:v>
      </x:c>
      <x:c r="F102" t="str">
        <x:v>D</x:v>
      </x:c>
      <x:c r="G102" t="str">
        <x:v>2D</x:v>
      </x:c>
      <x:c r="H102" t="str">
        <x:v>PROF-008</x:v>
      </x:c>
      <x:c r="I102" t="n">
        <x:v>2026</x:v>
      </x:c>
      <x:c r="J102" s="24" t="b">
        <x:v>1</x:v>
      </x:c>
    </x:row>
    <x:row r="103">
      <x:c r="A103" t="str">
        <x:v>2026-2D-ING</x:v>
      </x:c>
      <x:c r="B103" t="str">
        <x:v>ING</x:v>
      </x:c>
      <x:c r="C103" t="str">
        <x:v>Inglés</x:v>
      </x:c>
      <x:c r="D103" t="str">
        <x:v>IDI</x:v>
      </x:c>
      <x:c r="E103" t="n">
        <x:v>2</x:v>
      </x:c>
      <x:c r="F103" t="str">
        <x:v>D</x:v>
      </x:c>
      <x:c r="G103" t="str">
        <x:v>2D</x:v>
      </x:c>
      <x:c r="H103" t="str">
        <x:v>PROF-008</x:v>
      </x:c>
      <x:c r="I103" t="n">
        <x:v>2026</x:v>
      </x:c>
      <x:c r="J103" s="24" t="b">
        <x:v>1</x:v>
      </x:c>
    </x:row>
    <x:row r="104">
      <x:c r="A104" t="str">
        <x:v>2026-2D-TAL</x:v>
      </x:c>
      <x:c r="B104" t="str">
        <x:v>TAL</x:v>
      </x:c>
      <x:c r="C104" t="str">
        <x:v>Taller</x:v>
      </x:c>
      <x:c r="D104" t="str">
        <x:v>TAL</x:v>
      </x:c>
      <x:c r="E104" t="n">
        <x:v>2</x:v>
      </x:c>
      <x:c r="F104" t="str">
        <x:v>D</x:v>
      </x:c>
      <x:c r="G104" t="str">
        <x:v>2D</x:v>
      </x:c>
      <x:c r="H104" t="str">
        <x:v>PROF-008</x:v>
      </x:c>
      <x:c r="I104" t="n">
        <x:v>2026</x:v>
      </x:c>
      <x:c r="J104" s="24" t="b">
        <x:v>1</x:v>
      </x:c>
    </x:row>
    <x:row r="105">
      <x:c r="A105" t="str">
        <x:v>2026-2D-EDF</x:v>
      </x:c>
      <x:c r="B105" t="str">
        <x:v>EDF</x:v>
      </x:c>
      <x:c r="C105" t="str">
        <x:v>Educación Física</x:v>
      </x:c>
      <x:c r="D105" t="str">
        <x:v>EDF</x:v>
      </x:c>
      <x:c r="E105" t="n">
        <x:v>2</x:v>
      </x:c>
      <x:c r="F105" t="str">
        <x:v>D</x:v>
      </x:c>
      <x:c r="G105" t="str">
        <x:v>2D</x:v>
      </x:c>
      <x:c r="H105" t="str">
        <x:v>PROF-008</x:v>
      </x:c>
      <x:c r="I105" t="n">
        <x:v>2026</x:v>
      </x:c>
      <x:c r="J105" s="24" t="b">
        <x:v>1</x:v>
      </x:c>
    </x:row>
    <x:row r="106">
      <x:c r="A106" t="str">
        <x:v>2026-3A-ARI</x:v>
      </x:c>
      <x:c r="B106" t="str">
        <x:v>ARI</x:v>
      </x:c>
      <x:c r="C106" t="str">
        <x:v>Aritmética</x:v>
      </x:c>
      <x:c r="D106" t="str">
        <x:v>MAT</x:v>
      </x:c>
      <x:c r="E106" t="n">
        <x:v>3</x:v>
      </x:c>
      <x:c r="F106" t="str">
        <x:v>A</x:v>
      </x:c>
      <x:c r="G106" t="str">
        <x:v>3A</x:v>
      </x:c>
      <x:c r="H106" t="str">
        <x:v>PROF-009</x:v>
      </x:c>
      <x:c r="I106" t="n">
        <x:v>2026</x:v>
      </x:c>
      <x:c r="J106" s="24" t="b">
        <x:v>1</x:v>
      </x:c>
    </x:row>
    <x:row r="107">
      <x:c r="A107" t="str">
        <x:v>2026-3A-ALG</x:v>
      </x:c>
      <x:c r="B107" t="str">
        <x:v>ALG</x:v>
      </x:c>
      <x:c r="C107" t="str">
        <x:v>Álgebra</x:v>
      </x:c>
      <x:c r="D107" t="str">
        <x:v>MAT</x:v>
      </x:c>
      <x:c r="E107" t="n">
        <x:v>3</x:v>
      </x:c>
      <x:c r="F107" t="str">
        <x:v>A</x:v>
      </x:c>
      <x:c r="G107" t="str">
        <x:v>3A</x:v>
      </x:c>
      <x:c r="H107" t="str">
        <x:v>PROF-009</x:v>
      </x:c>
      <x:c r="I107" t="n">
        <x:v>2026</x:v>
      </x:c>
      <x:c r="J107" s="24" t="b">
        <x:v>1</x:v>
      </x:c>
    </x:row>
    <x:row r="108">
      <x:c r="A108" t="str">
        <x:v>2026-3A-RZM</x:v>
      </x:c>
      <x:c r="B108" t="str">
        <x:v>RZM</x:v>
      </x:c>
      <x:c r="C108" t="str">
        <x:v>Razonamiento Matemático</x:v>
      </x:c>
      <x:c r="D108" t="str">
        <x:v>MAT</x:v>
      </x:c>
      <x:c r="E108" t="n">
        <x:v>3</x:v>
      </x:c>
      <x:c r="F108" t="str">
        <x:v>A</x:v>
      </x:c>
      <x:c r="G108" t="str">
        <x:v>3A</x:v>
      </x:c>
      <x:c r="H108" t="str">
        <x:v>PROF-011</x:v>
      </x:c>
      <x:c r="I108" t="n">
        <x:v>2026</x:v>
      </x:c>
      <x:c r="J108" s="24" t="b">
        <x:v>1</x:v>
      </x:c>
    </x:row>
    <x:row r="109">
      <x:c r="A109" t="str">
        <x:v>2026-3A-GEO</x:v>
      </x:c>
      <x:c r="B109" t="str">
        <x:v>GEO</x:v>
      </x:c>
      <x:c r="C109" t="str">
        <x:v>Geometría</x:v>
      </x:c>
      <x:c r="D109" t="str">
        <x:v>MAT</x:v>
      </x:c>
      <x:c r="E109" t="n">
        <x:v>3</x:v>
      </x:c>
      <x:c r="F109" t="str">
        <x:v>A</x:v>
      </x:c>
      <x:c r="G109" t="str">
        <x:v>3A</x:v>
      </x:c>
      <x:c r="H109" t="str">
        <x:v>PROF-011</x:v>
      </x:c>
      <x:c r="I109" t="n">
        <x:v>2026</x:v>
      </x:c>
      <x:c r="J109" s="24" t="b">
        <x:v>1</x:v>
      </x:c>
    </x:row>
    <x:row r="110">
      <x:c r="A110" t="str">
        <x:v>2026-3A-PDT</x:v>
      </x:c>
      <x:c r="B110" t="str">
        <x:v>PDT</x:v>
      </x:c>
      <x:c r="C110" t="str">
        <x:v>Producción de Textos</x:v>
      </x:c>
      <x:c r="D110" t="str">
        <x:v>COM</x:v>
      </x:c>
      <x:c r="E110" t="n">
        <x:v>3</x:v>
      </x:c>
      <x:c r="F110" t="str">
        <x:v>A</x:v>
      </x:c>
      <x:c r="G110" t="str">
        <x:v>3A</x:v>
      </x:c>
      <x:c r="H110" t="str">
        <x:v>PROF-017</x:v>
      </x:c>
      <x:c r="I110" t="n">
        <x:v>2026</x:v>
      </x:c>
      <x:c r="J110" s="24" t="b">
        <x:v>1</x:v>
      </x:c>
    </x:row>
    <x:row r="111">
      <x:c r="A111" t="str">
        <x:v>2026-3A-GRA</x:v>
      </x:c>
      <x:c r="B111" t="str">
        <x:v>GRA</x:v>
      </x:c>
      <x:c r="C111" t="str">
        <x:v>Gramática</x:v>
      </x:c>
      <x:c r="D111" t="str">
        <x:v>COM</x:v>
      </x:c>
      <x:c r="E111" t="n">
        <x:v>3</x:v>
      </x:c>
      <x:c r="F111" t="str">
        <x:v>A</x:v>
      </x:c>
      <x:c r="G111" t="str">
        <x:v>3A</x:v>
      </x:c>
      <x:c r="H111" t="str">
        <x:v>PROF-019</x:v>
      </x:c>
      <x:c r="I111" t="n">
        <x:v>2026</x:v>
      </x:c>
      <x:c r="J111" s="24" t="b">
        <x:v>1</x:v>
      </x:c>
    </x:row>
    <x:row r="112">
      <x:c r="A112" t="str">
        <x:v>2026-3A-RZV</x:v>
      </x:c>
      <x:c r="B112" t="str">
        <x:v>RZV</x:v>
      </x:c>
      <x:c r="C112" t="str">
        <x:v>Razonamiento Verbal</x:v>
      </x:c>
      <x:c r="D112" t="str">
        <x:v>COM</x:v>
      </x:c>
      <x:c r="E112" t="n">
        <x:v>3</x:v>
      </x:c>
      <x:c r="F112" t="str">
        <x:v>A</x:v>
      </x:c>
      <x:c r="G112" t="str">
        <x:v>3A</x:v>
      </x:c>
      <x:c r="H112" t="str">
        <x:v>PROF-019</x:v>
      </x:c>
      <x:c r="I112" t="n">
        <x:v>2026</x:v>
      </x:c>
      <x:c r="J112" s="24" t="b">
        <x:v>1</x:v>
      </x:c>
    </x:row>
    <x:row r="113">
      <x:c r="A113" t="str">
        <x:v>2026-3A-CUH</x:v>
      </x:c>
      <x:c r="B113" t="str">
        <x:v>CUH</x:v>
      </x:c>
      <x:c r="C113" t="str">
        <x:v>Cuerpo Humano</x:v>
      </x:c>
      <x:c r="D113" t="str">
        <x:v>CIE</x:v>
      </x:c>
      <x:c r="E113" t="n">
        <x:v>3</x:v>
      </x:c>
      <x:c r="F113" t="str">
        <x:v>A</x:v>
      </x:c>
      <x:c r="G113" t="str">
        <x:v>3A</x:v>
      </x:c>
      <x:c r="H113" t="str">
        <x:v>PROF-015</x:v>
      </x:c>
      <x:c r="I113" t="n">
        <x:v>2026</x:v>
      </x:c>
      <x:c r="J113" s="24" t="b">
        <x:v>1</x:v>
      </x:c>
    </x:row>
    <x:row r="114">
      <x:c r="A114" t="str">
        <x:v>2026-3A-MUF</x:v>
      </x:c>
      <x:c r="B114" t="str">
        <x:v>MUF</x:v>
      </x:c>
      <x:c r="C114" t="str">
        <x:v>Mundo Físico</x:v>
      </x:c>
      <x:c r="D114" t="str">
        <x:v>CIE</x:v>
      </x:c>
      <x:c r="E114" t="n">
        <x:v>3</x:v>
      </x:c>
      <x:c r="F114" t="str">
        <x:v>A</x:v>
      </x:c>
      <x:c r="G114" t="str">
        <x:v>3A</x:v>
      </x:c>
      <x:c r="H114" t="str">
        <x:v>PROF-017</x:v>
      </x:c>
      <x:c r="I114" t="n">
        <x:v>2026</x:v>
      </x:c>
      <x:c r="J114" s="24" t="b">
        <x:v>1</x:v>
      </x:c>
    </x:row>
    <x:row r="115">
      <x:c r="A115" t="str">
        <x:v>2026-3A-CIU</x:v>
      </x:c>
      <x:c r="B115" t="str">
        <x:v>CIU</x:v>
      </x:c>
      <x:c r="C115" t="str">
        <x:v>Ciudadanía</x:v>
      </x:c>
      <x:c r="D115" t="str">
        <x:v>SOC</x:v>
      </x:c>
      <x:c r="E115" t="n">
        <x:v>3</x:v>
      </x:c>
      <x:c r="F115" t="str">
        <x:v>A</x:v>
      </x:c>
      <x:c r="G115" t="str">
        <x:v>3A</x:v>
      </x:c>
      <x:c r="H115" t="str">
        <x:v>PROF-013</x:v>
      </x:c>
      <x:c r="I115" t="n">
        <x:v>2026</x:v>
      </x:c>
      <x:c r="J115" s="24" t="b">
        <x:v>1</x:v>
      </x:c>
    </x:row>
    <x:row r="116">
      <x:c r="A116" t="str">
        <x:v>2026-3A-GEG</x:v>
      </x:c>
      <x:c r="B116" t="str">
        <x:v>GEG</x:v>
      </x:c>
      <x:c r="C116" t="str">
        <x:v>Geografía</x:v>
      </x:c>
      <x:c r="D116" t="str">
        <x:v>SOC</x:v>
      </x:c>
      <x:c r="E116" t="n">
        <x:v>3</x:v>
      </x:c>
      <x:c r="F116" t="str">
        <x:v>A</x:v>
      </x:c>
      <x:c r="G116" t="str">
        <x:v>3A</x:v>
      </x:c>
      <x:c r="H116" t="str">
        <x:v>PROF-015</x:v>
      </x:c>
      <x:c r="I116" t="n">
        <x:v>2026</x:v>
      </x:c>
      <x:c r="J116" s="24" t="b">
        <x:v>1</x:v>
      </x:c>
    </x:row>
    <x:row r="117">
      <x:c r="A117" t="str">
        <x:v>2026-3A-HIS</x:v>
      </x:c>
      <x:c r="B117" t="str">
        <x:v>HIS</x:v>
      </x:c>
      <x:c r="C117" t="str">
        <x:v>Historia</x:v>
      </x:c>
      <x:c r="D117" t="str">
        <x:v>SOC</x:v>
      </x:c>
      <x:c r="E117" t="n">
        <x:v>3</x:v>
      </x:c>
      <x:c r="F117" t="str">
        <x:v>A</x:v>
      </x:c>
      <x:c r="G117" t="str">
        <x:v>3A</x:v>
      </x:c>
      <x:c r="H117" t="str">
        <x:v>PROF-013</x:v>
      </x:c>
      <x:c r="I117" t="n">
        <x:v>2026</x:v>
      </x:c>
      <x:c r="J117" s="24" t="b">
        <x:v>1</x:v>
      </x:c>
    </x:row>
    <x:row r="118">
      <x:c r="A118" t="str">
        <x:v>2026-3A-REL</x:v>
      </x:c>
      <x:c r="B118" t="str">
        <x:v>REL</x:v>
      </x:c>
      <x:c r="C118" t="str">
        <x:v>Religión</x:v>
      </x:c>
      <x:c r="D118" t="str">
        <x:v>REL</x:v>
      </x:c>
      <x:c r="E118" t="n">
        <x:v>3</x:v>
      </x:c>
      <x:c r="F118" t="str">
        <x:v>A</x:v>
      </x:c>
      <x:c r="G118" t="str">
        <x:v>3A</x:v>
      </x:c>
      <x:c r="H118" t="str">
        <x:v>PROF-021</x:v>
      </x:c>
      <x:c r="I118" t="n">
        <x:v>2026</x:v>
      </x:c>
      <x:c r="J118" s="24" t="b">
        <x:v>1</x:v>
      </x:c>
    </x:row>
    <x:row r="119">
      <x:c r="A119" t="str">
        <x:v>2026-3A-ING</x:v>
      </x:c>
      <x:c r="B119" t="str">
        <x:v>ING</x:v>
      </x:c>
      <x:c r="C119" t="str">
        <x:v>Inglés</x:v>
      </x:c>
      <x:c r="D119" t="str">
        <x:v>IDI</x:v>
      </x:c>
      <x:c r="E119" t="n">
        <x:v>3</x:v>
      </x:c>
      <x:c r="F119" t="str">
        <x:v>A</x:v>
      </x:c>
      <x:c r="G119" t="str">
        <x:v>3A</x:v>
      </x:c>
      <x:c r="H119" t="str">
        <x:v>PROF-021</x:v>
      </x:c>
      <x:c r="I119" t="n">
        <x:v>2026</x:v>
      </x:c>
      <x:c r="J119" s="24" t="b">
        <x:v>1</x:v>
      </x:c>
    </x:row>
    <x:row r="120">
      <x:c r="A120" t="str">
        <x:v>2026-3A-TAL</x:v>
      </x:c>
      <x:c r="B120" t="str">
        <x:v>TAL</x:v>
      </x:c>
      <x:c r="C120" t="str">
        <x:v>Taller</x:v>
      </x:c>
      <x:c r="D120" t="str">
        <x:v>TAL</x:v>
      </x:c>
      <x:c r="E120" t="n">
        <x:v>3</x:v>
      </x:c>
      <x:c r="F120" t="str">
        <x:v>A</x:v>
      </x:c>
      <x:c r="G120" t="str">
        <x:v>3A</x:v>
      </x:c>
      <x:c r="H120" t="str">
        <x:v>PROF-023</x:v>
      </x:c>
      <x:c r="I120" t="n">
        <x:v>2026</x:v>
      </x:c>
      <x:c r="J120" s="24" t="b">
        <x:v>1</x:v>
      </x:c>
    </x:row>
    <x:row r="121">
      <x:c r="A121" t="str">
        <x:v>2026-3A-EDF</x:v>
      </x:c>
      <x:c r="B121" t="str">
        <x:v>EDF</x:v>
      </x:c>
      <x:c r="C121" t="str">
        <x:v>Educación Física</x:v>
      </x:c>
      <x:c r="D121" t="str">
        <x:v>EDF</x:v>
      </x:c>
      <x:c r="E121" t="n">
        <x:v>3</x:v>
      </x:c>
      <x:c r="F121" t="str">
        <x:v>A</x:v>
      </x:c>
      <x:c r="G121" t="str">
        <x:v>3A</x:v>
      </x:c>
      <x:c r="H121" t="str">
        <x:v>PROF-023</x:v>
      </x:c>
      <x:c r="I121" t="n">
        <x:v>2026</x:v>
      </x:c>
      <x:c r="J121" s="24" t="b">
        <x:v>1</x:v>
      </x:c>
    </x:row>
    <x:row r="122">
      <x:c r="A122" t="str">
        <x:v>2026-3B-ARI</x:v>
      </x:c>
      <x:c r="B122" t="str">
        <x:v>ARI</x:v>
      </x:c>
      <x:c r="C122" t="str">
        <x:v>Aritmética</x:v>
      </x:c>
      <x:c r="D122" t="str">
        <x:v>MAT</x:v>
      </x:c>
      <x:c r="E122" t="n">
        <x:v>3</x:v>
      </x:c>
      <x:c r="F122" t="str">
        <x:v>B</x:v>
      </x:c>
      <x:c r="G122" t="str">
        <x:v>3B</x:v>
      </x:c>
      <x:c r="H122" t="str">
        <x:v>PROF-009</x:v>
      </x:c>
      <x:c r="I122" t="n">
        <x:v>2026</x:v>
      </x:c>
      <x:c r="J122" s="24" t="b">
        <x:v>1</x:v>
      </x:c>
    </x:row>
    <x:row r="123">
      <x:c r="A123" t="str">
        <x:v>2026-3B-ALG</x:v>
      </x:c>
      <x:c r="B123" t="str">
        <x:v>ALG</x:v>
      </x:c>
      <x:c r="C123" t="str">
        <x:v>Álgebra</x:v>
      </x:c>
      <x:c r="D123" t="str">
        <x:v>MAT</x:v>
      </x:c>
      <x:c r="E123" t="n">
        <x:v>3</x:v>
      </x:c>
      <x:c r="F123" t="str">
        <x:v>B</x:v>
      </x:c>
      <x:c r="G123" t="str">
        <x:v>3B</x:v>
      </x:c>
      <x:c r="H123" t="str">
        <x:v>PROF-009</x:v>
      </x:c>
      <x:c r="I123" t="n">
        <x:v>2026</x:v>
      </x:c>
      <x:c r="J123" s="24" t="b">
        <x:v>1</x:v>
      </x:c>
    </x:row>
    <x:row r="124">
      <x:c r="A124" t="str">
        <x:v>2026-3B-RZM</x:v>
      </x:c>
      <x:c r="B124" t="str">
        <x:v>RZM</x:v>
      </x:c>
      <x:c r="C124" t="str">
        <x:v>Razonamiento Matemático</x:v>
      </x:c>
      <x:c r="D124" t="str">
        <x:v>MAT</x:v>
      </x:c>
      <x:c r="E124" t="n">
        <x:v>3</x:v>
      </x:c>
      <x:c r="F124" t="str">
        <x:v>B</x:v>
      </x:c>
      <x:c r="G124" t="str">
        <x:v>3B</x:v>
      </x:c>
      <x:c r="H124" t="str">
        <x:v>PROF-011</x:v>
      </x:c>
      <x:c r="I124" t="n">
        <x:v>2026</x:v>
      </x:c>
      <x:c r="J124" s="24" t="b">
        <x:v>1</x:v>
      </x:c>
    </x:row>
    <x:row r="125">
      <x:c r="A125" t="str">
        <x:v>2026-3B-GEO</x:v>
      </x:c>
      <x:c r="B125" t="str">
        <x:v>GEO</x:v>
      </x:c>
      <x:c r="C125" t="str">
        <x:v>Geometría</x:v>
      </x:c>
      <x:c r="D125" t="str">
        <x:v>MAT</x:v>
      </x:c>
      <x:c r="E125" t="n">
        <x:v>3</x:v>
      </x:c>
      <x:c r="F125" t="str">
        <x:v>B</x:v>
      </x:c>
      <x:c r="G125" t="str">
        <x:v>3B</x:v>
      </x:c>
      <x:c r="H125" t="str">
        <x:v>PROF-011</x:v>
      </x:c>
      <x:c r="I125" t="n">
        <x:v>2026</x:v>
      </x:c>
      <x:c r="J125" s="24" t="b">
        <x:v>1</x:v>
      </x:c>
    </x:row>
    <x:row r="126">
      <x:c r="A126" t="str">
        <x:v>2026-3B-PDT</x:v>
      </x:c>
      <x:c r="B126" t="str">
        <x:v>PDT</x:v>
      </x:c>
      <x:c r="C126" t="str">
        <x:v>Producción de Textos</x:v>
      </x:c>
      <x:c r="D126" t="str">
        <x:v>COM</x:v>
      </x:c>
      <x:c r="E126" t="n">
        <x:v>3</x:v>
      </x:c>
      <x:c r="F126" t="str">
        <x:v>B</x:v>
      </x:c>
      <x:c r="G126" t="str">
        <x:v>3B</x:v>
      </x:c>
      <x:c r="H126" t="str">
        <x:v>PROF-017</x:v>
      </x:c>
      <x:c r="I126" t="n">
        <x:v>2026</x:v>
      </x:c>
      <x:c r="J126" s="24" t="b">
        <x:v>1</x:v>
      </x:c>
    </x:row>
    <x:row r="127">
      <x:c r="A127" t="str">
        <x:v>2026-3B-GRA</x:v>
      </x:c>
      <x:c r="B127" t="str">
        <x:v>GRA</x:v>
      </x:c>
      <x:c r="C127" t="str">
        <x:v>Gramática</x:v>
      </x:c>
      <x:c r="D127" t="str">
        <x:v>COM</x:v>
      </x:c>
      <x:c r="E127" t="n">
        <x:v>3</x:v>
      </x:c>
      <x:c r="F127" t="str">
        <x:v>B</x:v>
      </x:c>
      <x:c r="G127" t="str">
        <x:v>3B</x:v>
      </x:c>
      <x:c r="H127" t="str">
        <x:v>PROF-019</x:v>
      </x:c>
      <x:c r="I127" t="n">
        <x:v>2026</x:v>
      </x:c>
      <x:c r="J127" s="24" t="b">
        <x:v>1</x:v>
      </x:c>
    </x:row>
    <x:row r="128">
      <x:c r="A128" t="str">
        <x:v>2026-3B-RZV</x:v>
      </x:c>
      <x:c r="B128" t="str">
        <x:v>RZV</x:v>
      </x:c>
      <x:c r="C128" t="str">
        <x:v>Razonamiento Verbal</x:v>
      </x:c>
      <x:c r="D128" t="str">
        <x:v>COM</x:v>
      </x:c>
      <x:c r="E128" t="n">
        <x:v>3</x:v>
      </x:c>
      <x:c r="F128" t="str">
        <x:v>B</x:v>
      </x:c>
      <x:c r="G128" t="str">
        <x:v>3B</x:v>
      </x:c>
      <x:c r="H128" t="str">
        <x:v>PROF-019</x:v>
      </x:c>
      <x:c r="I128" t="n">
        <x:v>2026</x:v>
      </x:c>
      <x:c r="J128" s="24" t="b">
        <x:v>1</x:v>
      </x:c>
    </x:row>
    <x:row r="129">
      <x:c r="A129" t="str">
        <x:v>2026-3B-CUH</x:v>
      </x:c>
      <x:c r="B129" t="str">
        <x:v>CUH</x:v>
      </x:c>
      <x:c r="C129" t="str">
        <x:v>Cuerpo Humano</x:v>
      </x:c>
      <x:c r="D129" t="str">
        <x:v>CIE</x:v>
      </x:c>
      <x:c r="E129" t="n">
        <x:v>3</x:v>
      </x:c>
      <x:c r="F129" t="str">
        <x:v>B</x:v>
      </x:c>
      <x:c r="G129" t="str">
        <x:v>3B</x:v>
      </x:c>
      <x:c r="H129" t="str">
        <x:v>PROF-015</x:v>
      </x:c>
      <x:c r="I129" t="n">
        <x:v>2026</x:v>
      </x:c>
      <x:c r="J129" s="24" t="b">
        <x:v>1</x:v>
      </x:c>
    </x:row>
    <x:row r="130">
      <x:c r="A130" t="str">
        <x:v>2026-3B-MUF</x:v>
      </x:c>
      <x:c r="B130" t="str">
        <x:v>MUF</x:v>
      </x:c>
      <x:c r="C130" t="str">
        <x:v>Mundo Físico</x:v>
      </x:c>
      <x:c r="D130" t="str">
        <x:v>CIE</x:v>
      </x:c>
      <x:c r="E130" t="n">
        <x:v>3</x:v>
      </x:c>
      <x:c r="F130" t="str">
        <x:v>B</x:v>
      </x:c>
      <x:c r="G130" t="str">
        <x:v>3B</x:v>
      </x:c>
      <x:c r="H130" t="str">
        <x:v>PROF-017</x:v>
      </x:c>
      <x:c r="I130" t="n">
        <x:v>2026</x:v>
      </x:c>
      <x:c r="J130" s="24" t="b">
        <x:v>1</x:v>
      </x:c>
    </x:row>
    <x:row r="131">
      <x:c r="A131" t="str">
        <x:v>2026-3B-CIU</x:v>
      </x:c>
      <x:c r="B131" t="str">
        <x:v>CIU</x:v>
      </x:c>
      <x:c r="C131" t="str">
        <x:v>Ciudadanía</x:v>
      </x:c>
      <x:c r="D131" t="str">
        <x:v>SOC</x:v>
      </x:c>
      <x:c r="E131" t="n">
        <x:v>3</x:v>
      </x:c>
      <x:c r="F131" t="str">
        <x:v>B</x:v>
      </x:c>
      <x:c r="G131" t="str">
        <x:v>3B</x:v>
      </x:c>
      <x:c r="H131" t="str">
        <x:v>PROF-013</x:v>
      </x:c>
      <x:c r="I131" t="n">
        <x:v>2026</x:v>
      </x:c>
      <x:c r="J131" s="24" t="b">
        <x:v>1</x:v>
      </x:c>
    </x:row>
    <x:row r="132">
      <x:c r="A132" t="str">
        <x:v>2026-3B-GEG</x:v>
      </x:c>
      <x:c r="B132" t="str">
        <x:v>GEG</x:v>
      </x:c>
      <x:c r="C132" t="str">
        <x:v>Geografía</x:v>
      </x:c>
      <x:c r="D132" t="str">
        <x:v>SOC</x:v>
      </x:c>
      <x:c r="E132" t="n">
        <x:v>3</x:v>
      </x:c>
      <x:c r="F132" t="str">
        <x:v>B</x:v>
      </x:c>
      <x:c r="G132" t="str">
        <x:v>3B</x:v>
      </x:c>
      <x:c r="H132" t="str">
        <x:v>PROF-015</x:v>
      </x:c>
      <x:c r="I132" t="n">
        <x:v>2026</x:v>
      </x:c>
      <x:c r="J132" s="24" t="b">
        <x:v>1</x:v>
      </x:c>
    </x:row>
    <x:row r="133">
      <x:c r="A133" t="str">
        <x:v>2026-3B-HIS</x:v>
      </x:c>
      <x:c r="B133" t="str">
        <x:v>HIS</x:v>
      </x:c>
      <x:c r="C133" t="str">
        <x:v>Historia</x:v>
      </x:c>
      <x:c r="D133" t="str">
        <x:v>SOC</x:v>
      </x:c>
      <x:c r="E133" t="n">
        <x:v>3</x:v>
      </x:c>
      <x:c r="F133" t="str">
        <x:v>B</x:v>
      </x:c>
      <x:c r="G133" t="str">
        <x:v>3B</x:v>
      </x:c>
      <x:c r="H133" t="str">
        <x:v>PROF-013</x:v>
      </x:c>
      <x:c r="I133" t="n">
        <x:v>2026</x:v>
      </x:c>
      <x:c r="J133" s="24" t="b">
        <x:v>1</x:v>
      </x:c>
    </x:row>
    <x:row r="134">
      <x:c r="A134" t="str">
        <x:v>2026-3B-REL</x:v>
      </x:c>
      <x:c r="B134" t="str">
        <x:v>REL</x:v>
      </x:c>
      <x:c r="C134" t="str">
        <x:v>Religión</x:v>
      </x:c>
      <x:c r="D134" t="str">
        <x:v>REL</x:v>
      </x:c>
      <x:c r="E134" t="n">
        <x:v>3</x:v>
      </x:c>
      <x:c r="F134" t="str">
        <x:v>B</x:v>
      </x:c>
      <x:c r="G134" t="str">
        <x:v>3B</x:v>
      </x:c>
      <x:c r="H134" t="str">
        <x:v>PROF-021</x:v>
      </x:c>
      <x:c r="I134" t="n">
        <x:v>2026</x:v>
      </x:c>
      <x:c r="J134" s="24" t="b">
        <x:v>1</x:v>
      </x:c>
    </x:row>
    <x:row r="135">
      <x:c r="A135" t="str">
        <x:v>2026-3B-ING</x:v>
      </x:c>
      <x:c r="B135" t="str">
        <x:v>ING</x:v>
      </x:c>
      <x:c r="C135" t="str">
        <x:v>Inglés</x:v>
      </x:c>
      <x:c r="D135" t="str">
        <x:v>IDI</x:v>
      </x:c>
      <x:c r="E135" t="n">
        <x:v>3</x:v>
      </x:c>
      <x:c r="F135" t="str">
        <x:v>B</x:v>
      </x:c>
      <x:c r="G135" t="str">
        <x:v>3B</x:v>
      </x:c>
      <x:c r="H135" t="str">
        <x:v>PROF-021</x:v>
      </x:c>
      <x:c r="I135" t="n">
        <x:v>2026</x:v>
      </x:c>
      <x:c r="J135" s="24" t="b">
        <x:v>1</x:v>
      </x:c>
    </x:row>
    <x:row r="136">
      <x:c r="A136" t="str">
        <x:v>2026-3B-TAL</x:v>
      </x:c>
      <x:c r="B136" t="str">
        <x:v>TAL</x:v>
      </x:c>
      <x:c r="C136" t="str">
        <x:v>Taller</x:v>
      </x:c>
      <x:c r="D136" t="str">
        <x:v>TAL</x:v>
      </x:c>
      <x:c r="E136" t="n">
        <x:v>3</x:v>
      </x:c>
      <x:c r="F136" t="str">
        <x:v>B</x:v>
      </x:c>
      <x:c r="G136" t="str">
        <x:v>3B</x:v>
      </x:c>
      <x:c r="H136" t="str">
        <x:v>PROF-023</x:v>
      </x:c>
      <x:c r="I136" t="n">
        <x:v>2026</x:v>
      </x:c>
      <x:c r="J136" s="24" t="b">
        <x:v>1</x:v>
      </x:c>
    </x:row>
    <x:row r="137">
      <x:c r="A137" t="str">
        <x:v>2026-3B-EDF</x:v>
      </x:c>
      <x:c r="B137" t="str">
        <x:v>EDF</x:v>
      </x:c>
      <x:c r="C137" t="str">
        <x:v>Educación Física</x:v>
      </x:c>
      <x:c r="D137" t="str">
        <x:v>EDF</x:v>
      </x:c>
      <x:c r="E137" t="n">
        <x:v>3</x:v>
      </x:c>
      <x:c r="F137" t="str">
        <x:v>B</x:v>
      </x:c>
      <x:c r="G137" t="str">
        <x:v>3B</x:v>
      </x:c>
      <x:c r="H137" t="str">
        <x:v>PROF-023</x:v>
      </x:c>
      <x:c r="I137" t="n">
        <x:v>2026</x:v>
      </x:c>
      <x:c r="J137" s="24" t="b">
        <x:v>1</x:v>
      </x:c>
    </x:row>
    <x:row r="138">
      <x:c r="A138" t="str">
        <x:v>2026-3C-ARI</x:v>
      </x:c>
      <x:c r="B138" t="str">
        <x:v>ARI</x:v>
      </x:c>
      <x:c r="C138" t="str">
        <x:v>Aritmética</x:v>
      </x:c>
      <x:c r="D138" t="str">
        <x:v>MAT</x:v>
      </x:c>
      <x:c r="E138" t="n">
        <x:v>3</x:v>
      </x:c>
      <x:c r="F138" t="str">
        <x:v>C</x:v>
      </x:c>
      <x:c r="G138" t="str">
        <x:v>3C</x:v>
      </x:c>
      <x:c r="H138" t="str">
        <x:v>PROF-009</x:v>
      </x:c>
      <x:c r="I138" t="n">
        <x:v>2026</x:v>
      </x:c>
      <x:c r="J138" s="24" t="b">
        <x:v>1</x:v>
      </x:c>
    </x:row>
    <x:row r="139">
      <x:c r="A139" t="str">
        <x:v>2026-3C-ALG</x:v>
      </x:c>
      <x:c r="B139" t="str">
        <x:v>ALG</x:v>
      </x:c>
      <x:c r="C139" t="str">
        <x:v>Álgebra</x:v>
      </x:c>
      <x:c r="D139" t="str">
        <x:v>MAT</x:v>
      </x:c>
      <x:c r="E139" t="n">
        <x:v>3</x:v>
      </x:c>
      <x:c r="F139" t="str">
        <x:v>C</x:v>
      </x:c>
      <x:c r="G139" t="str">
        <x:v>3C</x:v>
      </x:c>
      <x:c r="H139" t="str">
        <x:v>PROF-009</x:v>
      </x:c>
      <x:c r="I139" t="n">
        <x:v>2026</x:v>
      </x:c>
      <x:c r="J139" s="24" t="b">
        <x:v>1</x:v>
      </x:c>
    </x:row>
    <x:row r="140">
      <x:c r="A140" t="str">
        <x:v>2026-3C-RZM</x:v>
      </x:c>
      <x:c r="B140" t="str">
        <x:v>RZM</x:v>
      </x:c>
      <x:c r="C140" t="str">
        <x:v>Razonamiento Matemático</x:v>
      </x:c>
      <x:c r="D140" t="str">
        <x:v>MAT</x:v>
      </x:c>
      <x:c r="E140" t="n">
        <x:v>3</x:v>
      </x:c>
      <x:c r="F140" t="str">
        <x:v>C</x:v>
      </x:c>
      <x:c r="G140" t="str">
        <x:v>3C</x:v>
      </x:c>
      <x:c r="H140" t="str">
        <x:v>PROF-011</x:v>
      </x:c>
      <x:c r="I140" t="n">
        <x:v>2026</x:v>
      </x:c>
      <x:c r="J140" s="24" t="b">
        <x:v>1</x:v>
      </x:c>
    </x:row>
    <x:row r="141">
      <x:c r="A141" t="str">
        <x:v>2026-3C-GEO</x:v>
      </x:c>
      <x:c r="B141" t="str">
        <x:v>GEO</x:v>
      </x:c>
      <x:c r="C141" t="str">
        <x:v>Geometría</x:v>
      </x:c>
      <x:c r="D141" t="str">
        <x:v>MAT</x:v>
      </x:c>
      <x:c r="E141" t="n">
        <x:v>3</x:v>
      </x:c>
      <x:c r="F141" t="str">
        <x:v>C</x:v>
      </x:c>
      <x:c r="G141" t="str">
        <x:v>3C</x:v>
      </x:c>
      <x:c r="H141" t="str">
        <x:v>PROF-011</x:v>
      </x:c>
      <x:c r="I141" t="n">
        <x:v>2026</x:v>
      </x:c>
      <x:c r="J141" s="24" t="b">
        <x:v>1</x:v>
      </x:c>
    </x:row>
    <x:row r="142">
      <x:c r="A142" t="str">
        <x:v>2026-3C-PDT</x:v>
      </x:c>
      <x:c r="B142" t="str">
        <x:v>PDT</x:v>
      </x:c>
      <x:c r="C142" t="str">
        <x:v>Producción de Textos</x:v>
      </x:c>
      <x:c r="D142" t="str">
        <x:v>COM</x:v>
      </x:c>
      <x:c r="E142" t="n">
        <x:v>3</x:v>
      </x:c>
      <x:c r="F142" t="str">
        <x:v>C</x:v>
      </x:c>
      <x:c r="G142" t="str">
        <x:v>3C</x:v>
      </x:c>
      <x:c r="H142" t="str">
        <x:v>PROF-017</x:v>
      </x:c>
      <x:c r="I142" t="n">
        <x:v>2026</x:v>
      </x:c>
      <x:c r="J142" s="24" t="b">
        <x:v>1</x:v>
      </x:c>
    </x:row>
    <x:row r="143">
      <x:c r="A143" t="str">
        <x:v>2026-3C-GRA</x:v>
      </x:c>
      <x:c r="B143" t="str">
        <x:v>GRA</x:v>
      </x:c>
      <x:c r="C143" t="str">
        <x:v>Gramática</x:v>
      </x:c>
      <x:c r="D143" t="str">
        <x:v>COM</x:v>
      </x:c>
      <x:c r="E143" t="n">
        <x:v>3</x:v>
      </x:c>
      <x:c r="F143" t="str">
        <x:v>C</x:v>
      </x:c>
      <x:c r="G143" t="str">
        <x:v>3C</x:v>
      </x:c>
      <x:c r="H143" t="str">
        <x:v>PROF-019</x:v>
      </x:c>
      <x:c r="I143" t="n">
        <x:v>2026</x:v>
      </x:c>
      <x:c r="J143" s="24" t="b">
        <x:v>1</x:v>
      </x:c>
    </x:row>
    <x:row r="144">
      <x:c r="A144" t="str">
        <x:v>2026-3C-RZV</x:v>
      </x:c>
      <x:c r="B144" t="str">
        <x:v>RZV</x:v>
      </x:c>
      <x:c r="C144" t="str">
        <x:v>Razonamiento Verbal</x:v>
      </x:c>
      <x:c r="D144" t="str">
        <x:v>COM</x:v>
      </x:c>
      <x:c r="E144" t="n">
        <x:v>3</x:v>
      </x:c>
      <x:c r="F144" t="str">
        <x:v>C</x:v>
      </x:c>
      <x:c r="G144" t="str">
        <x:v>3C</x:v>
      </x:c>
      <x:c r="H144" t="str">
        <x:v>PROF-019</x:v>
      </x:c>
      <x:c r="I144" t="n">
        <x:v>2026</x:v>
      </x:c>
      <x:c r="J144" s="24" t="b">
        <x:v>1</x:v>
      </x:c>
    </x:row>
    <x:row r="145">
      <x:c r="A145" t="str">
        <x:v>2026-3C-CUH</x:v>
      </x:c>
      <x:c r="B145" t="str">
        <x:v>CUH</x:v>
      </x:c>
      <x:c r="C145" t="str">
        <x:v>Cuerpo Humano</x:v>
      </x:c>
      <x:c r="D145" t="str">
        <x:v>CIE</x:v>
      </x:c>
      <x:c r="E145" t="n">
        <x:v>3</x:v>
      </x:c>
      <x:c r="F145" t="str">
        <x:v>C</x:v>
      </x:c>
      <x:c r="G145" t="str">
        <x:v>3C</x:v>
      </x:c>
      <x:c r="H145" t="str">
        <x:v>PROF-015</x:v>
      </x:c>
      <x:c r="I145" t="n">
        <x:v>2026</x:v>
      </x:c>
      <x:c r="J145" s="24" t="b">
        <x:v>1</x:v>
      </x:c>
    </x:row>
    <x:row r="146">
      <x:c r="A146" t="str">
        <x:v>2026-3C-MUF</x:v>
      </x:c>
      <x:c r="B146" t="str">
        <x:v>MUF</x:v>
      </x:c>
      <x:c r="C146" t="str">
        <x:v>Mundo Físico</x:v>
      </x:c>
      <x:c r="D146" t="str">
        <x:v>CIE</x:v>
      </x:c>
      <x:c r="E146" t="n">
        <x:v>3</x:v>
      </x:c>
      <x:c r="F146" t="str">
        <x:v>C</x:v>
      </x:c>
      <x:c r="G146" t="str">
        <x:v>3C</x:v>
      </x:c>
      <x:c r="H146" t="str">
        <x:v>PROF-017</x:v>
      </x:c>
      <x:c r="I146" t="n">
        <x:v>2026</x:v>
      </x:c>
      <x:c r="J146" s="24" t="b">
        <x:v>1</x:v>
      </x:c>
    </x:row>
    <x:row r="147">
      <x:c r="A147" t="str">
        <x:v>2026-3C-CIU</x:v>
      </x:c>
      <x:c r="B147" t="str">
        <x:v>CIU</x:v>
      </x:c>
      <x:c r="C147" t="str">
        <x:v>Ciudadanía</x:v>
      </x:c>
      <x:c r="D147" t="str">
        <x:v>SOC</x:v>
      </x:c>
      <x:c r="E147" t="n">
        <x:v>3</x:v>
      </x:c>
      <x:c r="F147" t="str">
        <x:v>C</x:v>
      </x:c>
      <x:c r="G147" t="str">
        <x:v>3C</x:v>
      </x:c>
      <x:c r="H147" t="str">
        <x:v>PROF-013</x:v>
      </x:c>
      <x:c r="I147" t="n">
        <x:v>2026</x:v>
      </x:c>
      <x:c r="J147" s="24" t="b">
        <x:v>1</x:v>
      </x:c>
    </x:row>
    <x:row r="148">
      <x:c r="A148" t="str">
        <x:v>2026-3C-GEG</x:v>
      </x:c>
      <x:c r="B148" t="str">
        <x:v>GEG</x:v>
      </x:c>
      <x:c r="C148" t="str">
        <x:v>Geografía</x:v>
      </x:c>
      <x:c r="D148" t="str">
        <x:v>SOC</x:v>
      </x:c>
      <x:c r="E148" t="n">
        <x:v>3</x:v>
      </x:c>
      <x:c r="F148" t="str">
        <x:v>C</x:v>
      </x:c>
      <x:c r="G148" t="str">
        <x:v>3C</x:v>
      </x:c>
      <x:c r="H148" t="str">
        <x:v>PROF-015</x:v>
      </x:c>
      <x:c r="I148" t="n">
        <x:v>2026</x:v>
      </x:c>
      <x:c r="J148" s="24" t="b">
        <x:v>1</x:v>
      </x:c>
    </x:row>
    <x:row r="149">
      <x:c r="A149" t="str">
        <x:v>2026-3C-HIS</x:v>
      </x:c>
      <x:c r="B149" t="str">
        <x:v>HIS</x:v>
      </x:c>
      <x:c r="C149" t="str">
        <x:v>Historia</x:v>
      </x:c>
      <x:c r="D149" t="str">
        <x:v>SOC</x:v>
      </x:c>
      <x:c r="E149" t="n">
        <x:v>3</x:v>
      </x:c>
      <x:c r="F149" t="str">
        <x:v>C</x:v>
      </x:c>
      <x:c r="G149" t="str">
        <x:v>3C</x:v>
      </x:c>
      <x:c r="H149" t="str">
        <x:v>PROF-013</x:v>
      </x:c>
      <x:c r="I149" t="n">
        <x:v>2026</x:v>
      </x:c>
      <x:c r="J149" s="24" t="b">
        <x:v>1</x:v>
      </x:c>
    </x:row>
    <x:row r="150">
      <x:c r="A150" t="str">
        <x:v>2026-3C-REL</x:v>
      </x:c>
      <x:c r="B150" t="str">
        <x:v>REL</x:v>
      </x:c>
      <x:c r="C150" t="str">
        <x:v>Religión</x:v>
      </x:c>
      <x:c r="D150" t="str">
        <x:v>REL</x:v>
      </x:c>
      <x:c r="E150" t="n">
        <x:v>3</x:v>
      </x:c>
      <x:c r="F150" t="str">
        <x:v>C</x:v>
      </x:c>
      <x:c r="G150" t="str">
        <x:v>3C</x:v>
      </x:c>
      <x:c r="H150" t="str">
        <x:v>PROF-021</x:v>
      </x:c>
      <x:c r="I150" t="n">
        <x:v>2026</x:v>
      </x:c>
      <x:c r="J150" s="24" t="b">
        <x:v>1</x:v>
      </x:c>
    </x:row>
    <x:row r="151">
      <x:c r="A151" t="str">
        <x:v>2026-3C-ING</x:v>
      </x:c>
      <x:c r="B151" t="str">
        <x:v>ING</x:v>
      </x:c>
      <x:c r="C151" t="str">
        <x:v>Inglés</x:v>
      </x:c>
      <x:c r="D151" t="str">
        <x:v>IDI</x:v>
      </x:c>
      <x:c r="E151" t="n">
        <x:v>3</x:v>
      </x:c>
      <x:c r="F151" t="str">
        <x:v>C</x:v>
      </x:c>
      <x:c r="G151" t="str">
        <x:v>3C</x:v>
      </x:c>
      <x:c r="H151" t="str">
        <x:v>PROF-021</x:v>
      </x:c>
      <x:c r="I151" t="n">
        <x:v>2026</x:v>
      </x:c>
      <x:c r="J151" s="24" t="b">
        <x:v>1</x:v>
      </x:c>
    </x:row>
    <x:row r="152">
      <x:c r="A152" t="str">
        <x:v>2026-3C-TAL</x:v>
      </x:c>
      <x:c r="B152" t="str">
        <x:v>TAL</x:v>
      </x:c>
      <x:c r="C152" t="str">
        <x:v>Taller</x:v>
      </x:c>
      <x:c r="D152" t="str">
        <x:v>TAL</x:v>
      </x:c>
      <x:c r="E152" t="n">
        <x:v>3</x:v>
      </x:c>
      <x:c r="F152" t="str">
        <x:v>C</x:v>
      </x:c>
      <x:c r="G152" t="str">
        <x:v>3C</x:v>
      </x:c>
      <x:c r="H152" t="str">
        <x:v>PROF-023</x:v>
      </x:c>
      <x:c r="I152" t="n">
        <x:v>2026</x:v>
      </x:c>
      <x:c r="J152" s="24" t="b">
        <x:v>1</x:v>
      </x:c>
    </x:row>
    <x:row r="153">
      <x:c r="A153" t="str">
        <x:v>2026-3C-EDF</x:v>
      </x:c>
      <x:c r="B153" t="str">
        <x:v>EDF</x:v>
      </x:c>
      <x:c r="C153" t="str">
        <x:v>Educación Física</x:v>
      </x:c>
      <x:c r="D153" t="str">
        <x:v>EDF</x:v>
      </x:c>
      <x:c r="E153" t="n">
        <x:v>3</x:v>
      </x:c>
      <x:c r="F153" t="str">
        <x:v>C</x:v>
      </x:c>
      <x:c r="G153" t="str">
        <x:v>3C</x:v>
      </x:c>
      <x:c r="H153" t="str">
        <x:v>PROF-023</x:v>
      </x:c>
      <x:c r="I153" t="n">
        <x:v>2026</x:v>
      </x:c>
      <x:c r="J153" s="24" t="b">
        <x:v>1</x:v>
      </x:c>
    </x:row>
    <x:row r="154">
      <x:c r="A154" t="str">
        <x:v>2026-3D-ARI</x:v>
      </x:c>
      <x:c r="B154" t="str">
        <x:v>ARI</x:v>
      </x:c>
      <x:c r="C154" t="str">
        <x:v>Aritmética</x:v>
      </x:c>
      <x:c r="D154" t="str">
        <x:v>MAT</x:v>
      </x:c>
      <x:c r="E154" t="n">
        <x:v>3</x:v>
      </x:c>
      <x:c r="F154" t="str">
        <x:v>D</x:v>
      </x:c>
      <x:c r="G154" t="str">
        <x:v>3D</x:v>
      </x:c>
      <x:c r="H154" t="str">
        <x:v>PROF-009</x:v>
      </x:c>
      <x:c r="I154" t="n">
        <x:v>2026</x:v>
      </x:c>
      <x:c r="J154" s="24" t="b">
        <x:v>1</x:v>
      </x:c>
    </x:row>
    <x:row r="155">
      <x:c r="A155" t="str">
        <x:v>2026-3D-ALG</x:v>
      </x:c>
      <x:c r="B155" t="str">
        <x:v>ALG</x:v>
      </x:c>
      <x:c r="C155" t="str">
        <x:v>Álgebra</x:v>
      </x:c>
      <x:c r="D155" t="str">
        <x:v>MAT</x:v>
      </x:c>
      <x:c r="E155" t="n">
        <x:v>3</x:v>
      </x:c>
      <x:c r="F155" t="str">
        <x:v>D</x:v>
      </x:c>
      <x:c r="G155" t="str">
        <x:v>3D</x:v>
      </x:c>
      <x:c r="H155" t="str">
        <x:v>PROF-009</x:v>
      </x:c>
      <x:c r="I155" t="n">
        <x:v>2026</x:v>
      </x:c>
      <x:c r="J155" s="24" t="b">
        <x:v>1</x:v>
      </x:c>
    </x:row>
    <x:row r="156">
      <x:c r="A156" t="str">
        <x:v>2026-3D-RZM</x:v>
      </x:c>
      <x:c r="B156" t="str">
        <x:v>RZM</x:v>
      </x:c>
      <x:c r="C156" t="str">
        <x:v>Razonamiento Matemático</x:v>
      </x:c>
      <x:c r="D156" t="str">
        <x:v>MAT</x:v>
      </x:c>
      <x:c r="E156" t="n">
        <x:v>3</x:v>
      </x:c>
      <x:c r="F156" t="str">
        <x:v>D</x:v>
      </x:c>
      <x:c r="G156" t="str">
        <x:v>3D</x:v>
      </x:c>
      <x:c r="H156" t="str">
        <x:v>PROF-011</x:v>
      </x:c>
      <x:c r="I156" t="n">
        <x:v>2026</x:v>
      </x:c>
      <x:c r="J156" s="24" t="b">
        <x:v>1</x:v>
      </x:c>
    </x:row>
    <x:row r="157">
      <x:c r="A157" t="str">
        <x:v>2026-3D-GEO</x:v>
      </x:c>
      <x:c r="B157" t="str">
        <x:v>GEO</x:v>
      </x:c>
      <x:c r="C157" t="str">
        <x:v>Geometría</x:v>
      </x:c>
      <x:c r="D157" t="str">
        <x:v>MAT</x:v>
      </x:c>
      <x:c r="E157" t="n">
        <x:v>3</x:v>
      </x:c>
      <x:c r="F157" t="str">
        <x:v>D</x:v>
      </x:c>
      <x:c r="G157" t="str">
        <x:v>3D</x:v>
      </x:c>
      <x:c r="H157" t="str">
        <x:v>PROF-011</x:v>
      </x:c>
      <x:c r="I157" t="n">
        <x:v>2026</x:v>
      </x:c>
      <x:c r="J157" s="24" t="b">
        <x:v>1</x:v>
      </x:c>
    </x:row>
    <x:row r="158">
      <x:c r="A158" t="str">
        <x:v>2026-3D-PDT</x:v>
      </x:c>
      <x:c r="B158" t="str">
        <x:v>PDT</x:v>
      </x:c>
      <x:c r="C158" t="str">
        <x:v>Producción de Textos</x:v>
      </x:c>
      <x:c r="D158" t="str">
        <x:v>COM</x:v>
      </x:c>
      <x:c r="E158" t="n">
        <x:v>3</x:v>
      </x:c>
      <x:c r="F158" t="str">
        <x:v>D</x:v>
      </x:c>
      <x:c r="G158" t="str">
        <x:v>3D</x:v>
      </x:c>
      <x:c r="H158" t="str">
        <x:v>PROF-017</x:v>
      </x:c>
      <x:c r="I158" t="n">
        <x:v>2026</x:v>
      </x:c>
      <x:c r="J158" s="24" t="b">
        <x:v>1</x:v>
      </x:c>
    </x:row>
    <x:row r="159">
      <x:c r="A159" t="str">
        <x:v>2026-3D-GRA</x:v>
      </x:c>
      <x:c r="B159" t="str">
        <x:v>GRA</x:v>
      </x:c>
      <x:c r="C159" t="str">
        <x:v>Gramática</x:v>
      </x:c>
      <x:c r="D159" t="str">
        <x:v>COM</x:v>
      </x:c>
      <x:c r="E159" t="n">
        <x:v>3</x:v>
      </x:c>
      <x:c r="F159" t="str">
        <x:v>D</x:v>
      </x:c>
      <x:c r="G159" t="str">
        <x:v>3D</x:v>
      </x:c>
      <x:c r="H159" t="str">
        <x:v>PROF-019</x:v>
      </x:c>
      <x:c r="I159" t="n">
        <x:v>2026</x:v>
      </x:c>
      <x:c r="J159" s="24" t="b">
        <x:v>1</x:v>
      </x:c>
    </x:row>
    <x:row r="160">
      <x:c r="A160" t="str">
        <x:v>2026-3D-RZV</x:v>
      </x:c>
      <x:c r="B160" t="str">
        <x:v>RZV</x:v>
      </x:c>
      <x:c r="C160" t="str">
        <x:v>Razonamiento Verbal</x:v>
      </x:c>
      <x:c r="D160" t="str">
        <x:v>COM</x:v>
      </x:c>
      <x:c r="E160" t="n">
        <x:v>3</x:v>
      </x:c>
      <x:c r="F160" t="str">
        <x:v>D</x:v>
      </x:c>
      <x:c r="G160" t="str">
        <x:v>3D</x:v>
      </x:c>
      <x:c r="H160" t="str">
        <x:v>PROF-019</x:v>
      </x:c>
      <x:c r="I160" t="n">
        <x:v>2026</x:v>
      </x:c>
      <x:c r="J160" s="24" t="b">
        <x:v>1</x:v>
      </x:c>
    </x:row>
    <x:row r="161">
      <x:c r="A161" t="str">
        <x:v>2026-3D-CUH</x:v>
      </x:c>
      <x:c r="B161" t="str">
        <x:v>CUH</x:v>
      </x:c>
      <x:c r="C161" t="str">
        <x:v>Cuerpo Humano</x:v>
      </x:c>
      <x:c r="D161" t="str">
        <x:v>CIE</x:v>
      </x:c>
      <x:c r="E161" t="n">
        <x:v>3</x:v>
      </x:c>
      <x:c r="F161" t="str">
        <x:v>D</x:v>
      </x:c>
      <x:c r="G161" t="str">
        <x:v>3D</x:v>
      </x:c>
      <x:c r="H161" t="str">
        <x:v>PROF-015</x:v>
      </x:c>
      <x:c r="I161" t="n">
        <x:v>2026</x:v>
      </x:c>
      <x:c r="J161" s="24" t="b">
        <x:v>1</x:v>
      </x:c>
    </x:row>
    <x:row r="162">
      <x:c r="A162" t="str">
        <x:v>2026-3D-MUF</x:v>
      </x:c>
      <x:c r="B162" t="str">
        <x:v>MUF</x:v>
      </x:c>
      <x:c r="C162" t="str">
        <x:v>Mundo Físico</x:v>
      </x:c>
      <x:c r="D162" t="str">
        <x:v>CIE</x:v>
      </x:c>
      <x:c r="E162" t="n">
        <x:v>3</x:v>
      </x:c>
      <x:c r="F162" t="str">
        <x:v>D</x:v>
      </x:c>
      <x:c r="G162" t="str">
        <x:v>3D</x:v>
      </x:c>
      <x:c r="H162" t="str">
        <x:v>PROF-017</x:v>
      </x:c>
      <x:c r="I162" t="n">
        <x:v>2026</x:v>
      </x:c>
      <x:c r="J162" s="24" t="b">
        <x:v>1</x:v>
      </x:c>
    </x:row>
    <x:row r="163">
      <x:c r="A163" t="str">
        <x:v>2026-3D-CIU</x:v>
      </x:c>
      <x:c r="B163" t="str">
        <x:v>CIU</x:v>
      </x:c>
      <x:c r="C163" t="str">
        <x:v>Ciudadanía</x:v>
      </x:c>
      <x:c r="D163" t="str">
        <x:v>SOC</x:v>
      </x:c>
      <x:c r="E163" t="n">
        <x:v>3</x:v>
      </x:c>
      <x:c r="F163" t="str">
        <x:v>D</x:v>
      </x:c>
      <x:c r="G163" t="str">
        <x:v>3D</x:v>
      </x:c>
      <x:c r="H163" t="str">
        <x:v>PROF-013</x:v>
      </x:c>
      <x:c r="I163" t="n">
        <x:v>2026</x:v>
      </x:c>
      <x:c r="J163" s="24" t="b">
        <x:v>1</x:v>
      </x:c>
    </x:row>
    <x:row r="164">
      <x:c r="A164" t="str">
        <x:v>2026-3D-GEG</x:v>
      </x:c>
      <x:c r="B164" t="str">
        <x:v>GEG</x:v>
      </x:c>
      <x:c r="C164" t="str">
        <x:v>Geografía</x:v>
      </x:c>
      <x:c r="D164" t="str">
        <x:v>SOC</x:v>
      </x:c>
      <x:c r="E164" t="n">
        <x:v>3</x:v>
      </x:c>
      <x:c r="F164" t="str">
        <x:v>D</x:v>
      </x:c>
      <x:c r="G164" t="str">
        <x:v>3D</x:v>
      </x:c>
      <x:c r="H164" t="str">
        <x:v>PROF-015</x:v>
      </x:c>
      <x:c r="I164" t="n">
        <x:v>2026</x:v>
      </x:c>
      <x:c r="J164" s="24" t="b">
        <x:v>1</x:v>
      </x:c>
    </x:row>
    <x:row r="165">
      <x:c r="A165" t="str">
        <x:v>2026-3D-HIS</x:v>
      </x:c>
      <x:c r="B165" t="str">
        <x:v>HIS</x:v>
      </x:c>
      <x:c r="C165" t="str">
        <x:v>Historia</x:v>
      </x:c>
      <x:c r="D165" t="str">
        <x:v>SOC</x:v>
      </x:c>
      <x:c r="E165" t="n">
        <x:v>3</x:v>
      </x:c>
      <x:c r="F165" t="str">
        <x:v>D</x:v>
      </x:c>
      <x:c r="G165" t="str">
        <x:v>3D</x:v>
      </x:c>
      <x:c r="H165" t="str">
        <x:v>PROF-013</x:v>
      </x:c>
      <x:c r="I165" t="n">
        <x:v>2026</x:v>
      </x:c>
      <x:c r="J165" s="24" t="b">
        <x:v>1</x:v>
      </x:c>
    </x:row>
    <x:row r="166">
      <x:c r="A166" t="str">
        <x:v>2026-3D-REL</x:v>
      </x:c>
      <x:c r="B166" t="str">
        <x:v>REL</x:v>
      </x:c>
      <x:c r="C166" t="str">
        <x:v>Religión</x:v>
      </x:c>
      <x:c r="D166" t="str">
        <x:v>REL</x:v>
      </x:c>
      <x:c r="E166" t="n">
        <x:v>3</x:v>
      </x:c>
      <x:c r="F166" t="str">
        <x:v>D</x:v>
      </x:c>
      <x:c r="G166" t="str">
        <x:v>3D</x:v>
      </x:c>
      <x:c r="H166" t="str">
        <x:v>PROF-021</x:v>
      </x:c>
      <x:c r="I166" t="n">
        <x:v>2026</x:v>
      </x:c>
      <x:c r="J166" s="24" t="b">
        <x:v>1</x:v>
      </x:c>
    </x:row>
    <x:row r="167">
      <x:c r="A167" t="str">
        <x:v>2026-3D-ING</x:v>
      </x:c>
      <x:c r="B167" t="str">
        <x:v>ING</x:v>
      </x:c>
      <x:c r="C167" t="str">
        <x:v>Inglés</x:v>
      </x:c>
      <x:c r="D167" t="str">
        <x:v>IDI</x:v>
      </x:c>
      <x:c r="E167" t="n">
        <x:v>3</x:v>
      </x:c>
      <x:c r="F167" t="str">
        <x:v>D</x:v>
      </x:c>
      <x:c r="G167" t="str">
        <x:v>3D</x:v>
      </x:c>
      <x:c r="H167" t="str">
        <x:v>PROF-021</x:v>
      </x:c>
      <x:c r="I167" t="n">
        <x:v>2026</x:v>
      </x:c>
      <x:c r="J167" s="24" t="b">
        <x:v>1</x:v>
      </x:c>
    </x:row>
    <x:row r="168">
      <x:c r="A168" t="str">
        <x:v>2026-3D-TAL</x:v>
      </x:c>
      <x:c r="B168" t="str">
        <x:v>TAL</x:v>
      </x:c>
      <x:c r="C168" t="str">
        <x:v>Taller</x:v>
      </x:c>
      <x:c r="D168" t="str">
        <x:v>TAL</x:v>
      </x:c>
      <x:c r="E168" t="n">
        <x:v>3</x:v>
      </x:c>
      <x:c r="F168" t="str">
        <x:v>D</x:v>
      </x:c>
      <x:c r="G168" t="str">
        <x:v>3D</x:v>
      </x:c>
      <x:c r="H168" t="str">
        <x:v>PROF-023</x:v>
      </x:c>
      <x:c r="I168" t="n">
        <x:v>2026</x:v>
      </x:c>
      <x:c r="J168" s="24" t="b">
        <x:v>1</x:v>
      </x:c>
    </x:row>
    <x:row r="169">
      <x:c r="A169" t="str">
        <x:v>2026-3D-EDF</x:v>
      </x:c>
      <x:c r="B169" t="str">
        <x:v>EDF</x:v>
      </x:c>
      <x:c r="C169" t="str">
        <x:v>Educación Física</x:v>
      </x:c>
      <x:c r="D169" t="str">
        <x:v>EDF</x:v>
      </x:c>
      <x:c r="E169" t="n">
        <x:v>3</x:v>
      </x:c>
      <x:c r="F169" t="str">
        <x:v>D</x:v>
      </x:c>
      <x:c r="G169" t="str">
        <x:v>3D</x:v>
      </x:c>
      <x:c r="H169" t="str">
        <x:v>PROF-023</x:v>
      </x:c>
      <x:c r="I169" t="n">
        <x:v>2026</x:v>
      </x:c>
      <x:c r="J169" s="24" t="b">
        <x:v>1</x:v>
      </x:c>
    </x:row>
    <x:row r="170">
      <x:c r="A170" t="str">
        <x:v>2026-4A-ARI</x:v>
      </x:c>
      <x:c r="B170" t="str">
        <x:v>ARI</x:v>
      </x:c>
      <x:c r="C170" t="str">
        <x:v>Aritmética</x:v>
      </x:c>
      <x:c r="D170" t="str">
        <x:v>MAT</x:v>
      </x:c>
      <x:c r="E170" t="n">
        <x:v>4</x:v>
      </x:c>
      <x:c r="F170" t="str">
        <x:v>A</x:v>
      </x:c>
      <x:c r="G170" t="str">
        <x:v>4A</x:v>
      </x:c>
      <x:c r="H170" t="str">
        <x:v>PROF-009</x:v>
      </x:c>
      <x:c r="I170" t="n">
        <x:v>2026</x:v>
      </x:c>
      <x:c r="J170" s="24" t="b">
        <x:v>1</x:v>
      </x:c>
    </x:row>
    <x:row r="171">
      <x:c r="A171" t="str">
        <x:v>2026-4A-ALG</x:v>
      </x:c>
      <x:c r="B171" t="str">
        <x:v>ALG</x:v>
      </x:c>
      <x:c r="C171" t="str">
        <x:v>Álgebra</x:v>
      </x:c>
      <x:c r="D171" t="str">
        <x:v>MAT</x:v>
      </x:c>
      <x:c r="E171" t="n">
        <x:v>4</x:v>
      </x:c>
      <x:c r="F171" t="str">
        <x:v>A</x:v>
      </x:c>
      <x:c r="G171" t="str">
        <x:v>4A</x:v>
      </x:c>
      <x:c r="H171" t="str">
        <x:v>PROF-009</x:v>
      </x:c>
      <x:c r="I171" t="n">
        <x:v>2026</x:v>
      </x:c>
      <x:c r="J171" s="24" t="b">
        <x:v>1</x:v>
      </x:c>
    </x:row>
    <x:row r="172">
      <x:c r="A172" t="str">
        <x:v>2026-4A-RZM</x:v>
      </x:c>
      <x:c r="B172" t="str">
        <x:v>RZM</x:v>
      </x:c>
      <x:c r="C172" t="str">
        <x:v>Razonamiento Matemático</x:v>
      </x:c>
      <x:c r="D172" t="str">
        <x:v>MAT</x:v>
      </x:c>
      <x:c r="E172" t="n">
        <x:v>4</x:v>
      </x:c>
      <x:c r="F172" t="str">
        <x:v>A</x:v>
      </x:c>
      <x:c r="G172" t="str">
        <x:v>4A</x:v>
      </x:c>
      <x:c r="H172" t="str">
        <x:v>PROF-011</x:v>
      </x:c>
      <x:c r="I172" t="n">
        <x:v>2026</x:v>
      </x:c>
      <x:c r="J172" s="24" t="b">
        <x:v>1</x:v>
      </x:c>
    </x:row>
    <x:row r="173">
      <x:c r="A173" t="str">
        <x:v>2026-4A-GEO</x:v>
      </x:c>
      <x:c r="B173" t="str">
        <x:v>GEO</x:v>
      </x:c>
      <x:c r="C173" t="str">
        <x:v>Geometría</x:v>
      </x:c>
      <x:c r="D173" t="str">
        <x:v>MAT</x:v>
      </x:c>
      <x:c r="E173" t="n">
        <x:v>4</x:v>
      </x:c>
      <x:c r="F173" t="str">
        <x:v>A</x:v>
      </x:c>
      <x:c r="G173" t="str">
        <x:v>4A</x:v>
      </x:c>
      <x:c r="H173" t="str">
        <x:v>PROF-011</x:v>
      </x:c>
      <x:c r="I173" t="n">
        <x:v>2026</x:v>
      </x:c>
      <x:c r="J173" s="24" t="b">
        <x:v>1</x:v>
      </x:c>
    </x:row>
    <x:row r="174">
      <x:c r="A174" t="str">
        <x:v>2026-4A-PDT</x:v>
      </x:c>
      <x:c r="B174" t="str">
        <x:v>PDT</x:v>
      </x:c>
      <x:c r="C174" t="str">
        <x:v>Producción de Textos</x:v>
      </x:c>
      <x:c r="D174" t="str">
        <x:v>COM</x:v>
      </x:c>
      <x:c r="E174" t="n">
        <x:v>4</x:v>
      </x:c>
      <x:c r="F174" t="str">
        <x:v>A</x:v>
      </x:c>
      <x:c r="G174" t="str">
        <x:v>4A</x:v>
      </x:c>
      <x:c r="H174" t="str">
        <x:v>PROF-017</x:v>
      </x:c>
      <x:c r="I174" t="n">
        <x:v>2026</x:v>
      </x:c>
      <x:c r="J174" s="24" t="b">
        <x:v>1</x:v>
      </x:c>
    </x:row>
    <x:row r="175">
      <x:c r="A175" t="str">
        <x:v>2026-4A-GRA</x:v>
      </x:c>
      <x:c r="B175" t="str">
        <x:v>GRA</x:v>
      </x:c>
      <x:c r="C175" t="str">
        <x:v>Gramática</x:v>
      </x:c>
      <x:c r="D175" t="str">
        <x:v>COM</x:v>
      </x:c>
      <x:c r="E175" t="n">
        <x:v>4</x:v>
      </x:c>
      <x:c r="F175" t="str">
        <x:v>A</x:v>
      </x:c>
      <x:c r="G175" t="str">
        <x:v>4A</x:v>
      </x:c>
      <x:c r="H175" t="str">
        <x:v>PROF-019</x:v>
      </x:c>
      <x:c r="I175" t="n">
        <x:v>2026</x:v>
      </x:c>
      <x:c r="J175" s="24" t="b">
        <x:v>1</x:v>
      </x:c>
    </x:row>
    <x:row r="176">
      <x:c r="A176" t="str">
        <x:v>2026-4A-RZV</x:v>
      </x:c>
      <x:c r="B176" t="str">
        <x:v>RZV</x:v>
      </x:c>
      <x:c r="C176" t="str">
        <x:v>Razonamiento Verbal</x:v>
      </x:c>
      <x:c r="D176" t="str">
        <x:v>COM</x:v>
      </x:c>
      <x:c r="E176" t="n">
        <x:v>4</x:v>
      </x:c>
      <x:c r="F176" t="str">
        <x:v>A</x:v>
      </x:c>
      <x:c r="G176" t="str">
        <x:v>4A</x:v>
      </x:c>
      <x:c r="H176" t="str">
        <x:v>PROF-019</x:v>
      </x:c>
      <x:c r="I176" t="n">
        <x:v>2026</x:v>
      </x:c>
      <x:c r="J176" s="24" t="b">
        <x:v>1</x:v>
      </x:c>
    </x:row>
    <x:row r="177">
      <x:c r="A177" t="str">
        <x:v>2026-4A-CUH</x:v>
      </x:c>
      <x:c r="B177" t="str">
        <x:v>CUH</x:v>
      </x:c>
      <x:c r="C177" t="str">
        <x:v>Cuerpo Humano</x:v>
      </x:c>
      <x:c r="D177" t="str">
        <x:v>CIE</x:v>
      </x:c>
      <x:c r="E177" t="n">
        <x:v>4</x:v>
      </x:c>
      <x:c r="F177" t="str">
        <x:v>A</x:v>
      </x:c>
      <x:c r="G177" t="str">
        <x:v>4A</x:v>
      </x:c>
      <x:c r="H177" t="str">
        <x:v>PROF-015</x:v>
      </x:c>
      <x:c r="I177" t="n">
        <x:v>2026</x:v>
      </x:c>
      <x:c r="J177" s="24" t="b">
        <x:v>1</x:v>
      </x:c>
    </x:row>
    <x:row r="178">
      <x:c r="A178" t="str">
        <x:v>2026-4A-MUF</x:v>
      </x:c>
      <x:c r="B178" t="str">
        <x:v>MUF</x:v>
      </x:c>
      <x:c r="C178" t="str">
        <x:v>Mundo Físico</x:v>
      </x:c>
      <x:c r="D178" t="str">
        <x:v>CIE</x:v>
      </x:c>
      <x:c r="E178" t="n">
        <x:v>4</x:v>
      </x:c>
      <x:c r="F178" t="str">
        <x:v>A</x:v>
      </x:c>
      <x:c r="G178" t="str">
        <x:v>4A</x:v>
      </x:c>
      <x:c r="H178" t="str">
        <x:v>PROF-017</x:v>
      </x:c>
      <x:c r="I178" t="n">
        <x:v>2026</x:v>
      </x:c>
      <x:c r="J178" s="24" t="b">
        <x:v>1</x:v>
      </x:c>
    </x:row>
    <x:row r="179">
      <x:c r="A179" t="str">
        <x:v>2026-4A-CIU</x:v>
      </x:c>
      <x:c r="B179" t="str">
        <x:v>CIU</x:v>
      </x:c>
      <x:c r="C179" t="str">
        <x:v>Ciudadanía</x:v>
      </x:c>
      <x:c r="D179" t="str">
        <x:v>SOC</x:v>
      </x:c>
      <x:c r="E179" t="n">
        <x:v>4</x:v>
      </x:c>
      <x:c r="F179" t="str">
        <x:v>A</x:v>
      </x:c>
      <x:c r="G179" t="str">
        <x:v>4A</x:v>
      </x:c>
      <x:c r="H179" t="str">
        <x:v>PROF-013</x:v>
      </x:c>
      <x:c r="I179" t="n">
        <x:v>2026</x:v>
      </x:c>
      <x:c r="J179" s="24" t="b">
        <x:v>1</x:v>
      </x:c>
    </x:row>
    <x:row r="180">
      <x:c r="A180" t="str">
        <x:v>2026-4A-GEG</x:v>
      </x:c>
      <x:c r="B180" t="str">
        <x:v>GEG</x:v>
      </x:c>
      <x:c r="C180" t="str">
        <x:v>Geografía</x:v>
      </x:c>
      <x:c r="D180" t="str">
        <x:v>SOC</x:v>
      </x:c>
      <x:c r="E180" t="n">
        <x:v>4</x:v>
      </x:c>
      <x:c r="F180" t="str">
        <x:v>A</x:v>
      </x:c>
      <x:c r="G180" t="str">
        <x:v>4A</x:v>
      </x:c>
      <x:c r="H180" t="str">
        <x:v>PROF-015</x:v>
      </x:c>
      <x:c r="I180" t="n">
        <x:v>2026</x:v>
      </x:c>
      <x:c r="J180" s="24" t="b">
        <x:v>1</x:v>
      </x:c>
    </x:row>
    <x:row r="181">
      <x:c r="A181" t="str">
        <x:v>2026-4A-HIS</x:v>
      </x:c>
      <x:c r="B181" t="str">
        <x:v>HIS</x:v>
      </x:c>
      <x:c r="C181" t="str">
        <x:v>Historia</x:v>
      </x:c>
      <x:c r="D181" t="str">
        <x:v>SOC</x:v>
      </x:c>
      <x:c r="E181" t="n">
        <x:v>4</x:v>
      </x:c>
      <x:c r="F181" t="str">
        <x:v>A</x:v>
      </x:c>
      <x:c r="G181" t="str">
        <x:v>4A</x:v>
      </x:c>
      <x:c r="H181" t="str">
        <x:v>PROF-013</x:v>
      </x:c>
      <x:c r="I181" t="n">
        <x:v>2026</x:v>
      </x:c>
      <x:c r="J181" s="24" t="b">
        <x:v>1</x:v>
      </x:c>
    </x:row>
    <x:row r="182">
      <x:c r="A182" t="str">
        <x:v>2026-4A-REL</x:v>
      </x:c>
      <x:c r="B182" t="str">
        <x:v>REL</x:v>
      </x:c>
      <x:c r="C182" t="str">
        <x:v>Religión</x:v>
      </x:c>
      <x:c r="D182" t="str">
        <x:v>REL</x:v>
      </x:c>
      <x:c r="E182" t="n">
        <x:v>4</x:v>
      </x:c>
      <x:c r="F182" t="str">
        <x:v>A</x:v>
      </x:c>
      <x:c r="G182" t="str">
        <x:v>4A</x:v>
      </x:c>
      <x:c r="H182" t="str">
        <x:v>PROF-021</x:v>
      </x:c>
      <x:c r="I182" t="n">
        <x:v>2026</x:v>
      </x:c>
      <x:c r="J182" s="24" t="b">
        <x:v>1</x:v>
      </x:c>
    </x:row>
    <x:row r="183">
      <x:c r="A183" t="str">
        <x:v>2026-4A-ING</x:v>
      </x:c>
      <x:c r="B183" t="str">
        <x:v>ING</x:v>
      </x:c>
      <x:c r="C183" t="str">
        <x:v>Inglés</x:v>
      </x:c>
      <x:c r="D183" t="str">
        <x:v>IDI</x:v>
      </x:c>
      <x:c r="E183" t="n">
        <x:v>4</x:v>
      </x:c>
      <x:c r="F183" t="str">
        <x:v>A</x:v>
      </x:c>
      <x:c r="G183" t="str">
        <x:v>4A</x:v>
      </x:c>
      <x:c r="H183" t="str">
        <x:v>PROF-021</x:v>
      </x:c>
      <x:c r="I183" t="n">
        <x:v>2026</x:v>
      </x:c>
      <x:c r="J183" s="24" t="b">
        <x:v>1</x:v>
      </x:c>
    </x:row>
    <x:row r="184">
      <x:c r="A184" t="str">
        <x:v>2026-4A-TAL</x:v>
      </x:c>
      <x:c r="B184" t="str">
        <x:v>TAL</x:v>
      </x:c>
      <x:c r="C184" t="str">
        <x:v>Taller</x:v>
      </x:c>
      <x:c r="D184" t="str">
        <x:v>TAL</x:v>
      </x:c>
      <x:c r="E184" t="n">
        <x:v>4</x:v>
      </x:c>
      <x:c r="F184" t="str">
        <x:v>A</x:v>
      </x:c>
      <x:c r="G184" t="str">
        <x:v>4A</x:v>
      </x:c>
      <x:c r="H184" t="str">
        <x:v>PROF-023</x:v>
      </x:c>
      <x:c r="I184" t="n">
        <x:v>2026</x:v>
      </x:c>
      <x:c r="J184" s="24" t="b">
        <x:v>1</x:v>
      </x:c>
    </x:row>
    <x:row r="185">
      <x:c r="A185" t="str">
        <x:v>2026-4A-EDF</x:v>
      </x:c>
      <x:c r="B185" t="str">
        <x:v>EDF</x:v>
      </x:c>
      <x:c r="C185" t="str">
        <x:v>Educación Física</x:v>
      </x:c>
      <x:c r="D185" t="str">
        <x:v>EDF</x:v>
      </x:c>
      <x:c r="E185" t="n">
        <x:v>4</x:v>
      </x:c>
      <x:c r="F185" t="str">
        <x:v>A</x:v>
      </x:c>
      <x:c r="G185" t="str">
        <x:v>4A</x:v>
      </x:c>
      <x:c r="H185" t="str">
        <x:v>PROF-023</x:v>
      </x:c>
      <x:c r="I185" t="n">
        <x:v>2026</x:v>
      </x:c>
      <x:c r="J185" s="24" t="b">
        <x:v>1</x:v>
      </x:c>
    </x:row>
    <x:row r="186">
      <x:c r="A186" t="str">
        <x:v>2026-4B-ARI</x:v>
      </x:c>
      <x:c r="B186" t="str">
        <x:v>ARI</x:v>
      </x:c>
      <x:c r="C186" t="str">
        <x:v>Aritmética</x:v>
      </x:c>
      <x:c r="D186" t="str">
        <x:v>MAT</x:v>
      </x:c>
      <x:c r="E186" t="n">
        <x:v>4</x:v>
      </x:c>
      <x:c r="F186" t="str">
        <x:v>B</x:v>
      </x:c>
      <x:c r="G186" t="str">
        <x:v>4B</x:v>
      </x:c>
      <x:c r="H186" t="str">
        <x:v>PROF-009</x:v>
      </x:c>
      <x:c r="I186" t="n">
        <x:v>2026</x:v>
      </x:c>
      <x:c r="J186" s="24" t="b">
        <x:v>1</x:v>
      </x:c>
    </x:row>
    <x:row r="187">
      <x:c r="A187" t="str">
        <x:v>2026-4B-ALG</x:v>
      </x:c>
      <x:c r="B187" t="str">
        <x:v>ALG</x:v>
      </x:c>
      <x:c r="C187" t="str">
        <x:v>Álgebra</x:v>
      </x:c>
      <x:c r="D187" t="str">
        <x:v>MAT</x:v>
      </x:c>
      <x:c r="E187" t="n">
        <x:v>4</x:v>
      </x:c>
      <x:c r="F187" t="str">
        <x:v>B</x:v>
      </x:c>
      <x:c r="G187" t="str">
        <x:v>4B</x:v>
      </x:c>
      <x:c r="H187" t="str">
        <x:v>PROF-009</x:v>
      </x:c>
      <x:c r="I187" t="n">
        <x:v>2026</x:v>
      </x:c>
      <x:c r="J187" s="24" t="b">
        <x:v>1</x:v>
      </x:c>
    </x:row>
    <x:row r="188">
      <x:c r="A188" t="str">
        <x:v>2026-4B-RZM</x:v>
      </x:c>
      <x:c r="B188" t="str">
        <x:v>RZM</x:v>
      </x:c>
      <x:c r="C188" t="str">
        <x:v>Razonamiento Matemático</x:v>
      </x:c>
      <x:c r="D188" t="str">
        <x:v>MAT</x:v>
      </x:c>
      <x:c r="E188" t="n">
        <x:v>4</x:v>
      </x:c>
      <x:c r="F188" t="str">
        <x:v>B</x:v>
      </x:c>
      <x:c r="G188" t="str">
        <x:v>4B</x:v>
      </x:c>
      <x:c r="H188" t="str">
        <x:v>PROF-011</x:v>
      </x:c>
      <x:c r="I188" t="n">
        <x:v>2026</x:v>
      </x:c>
      <x:c r="J188" s="24" t="b">
        <x:v>1</x:v>
      </x:c>
    </x:row>
    <x:row r="189">
      <x:c r="A189" t="str">
        <x:v>2026-4B-GEO</x:v>
      </x:c>
      <x:c r="B189" t="str">
        <x:v>GEO</x:v>
      </x:c>
      <x:c r="C189" t="str">
        <x:v>Geometría</x:v>
      </x:c>
      <x:c r="D189" t="str">
        <x:v>MAT</x:v>
      </x:c>
      <x:c r="E189" t="n">
        <x:v>4</x:v>
      </x:c>
      <x:c r="F189" t="str">
        <x:v>B</x:v>
      </x:c>
      <x:c r="G189" t="str">
        <x:v>4B</x:v>
      </x:c>
      <x:c r="H189" t="str">
        <x:v>PROF-011</x:v>
      </x:c>
      <x:c r="I189" t="n">
        <x:v>2026</x:v>
      </x:c>
      <x:c r="J189" s="24" t="b">
        <x:v>1</x:v>
      </x:c>
    </x:row>
    <x:row r="190">
      <x:c r="A190" t="str">
        <x:v>2026-4B-PDT</x:v>
      </x:c>
      <x:c r="B190" t="str">
        <x:v>PDT</x:v>
      </x:c>
      <x:c r="C190" t="str">
        <x:v>Producción de Textos</x:v>
      </x:c>
      <x:c r="D190" t="str">
        <x:v>COM</x:v>
      </x:c>
      <x:c r="E190" t="n">
        <x:v>4</x:v>
      </x:c>
      <x:c r="F190" t="str">
        <x:v>B</x:v>
      </x:c>
      <x:c r="G190" t="str">
        <x:v>4B</x:v>
      </x:c>
      <x:c r="H190" t="str">
        <x:v>PROF-017</x:v>
      </x:c>
      <x:c r="I190" t="n">
        <x:v>2026</x:v>
      </x:c>
      <x:c r="J190" s="24" t="b">
        <x:v>1</x:v>
      </x:c>
    </x:row>
    <x:row r="191">
      <x:c r="A191" t="str">
        <x:v>2026-4B-GRA</x:v>
      </x:c>
      <x:c r="B191" t="str">
        <x:v>GRA</x:v>
      </x:c>
      <x:c r="C191" t="str">
        <x:v>Gramática</x:v>
      </x:c>
      <x:c r="D191" t="str">
        <x:v>COM</x:v>
      </x:c>
      <x:c r="E191" t="n">
        <x:v>4</x:v>
      </x:c>
      <x:c r="F191" t="str">
        <x:v>B</x:v>
      </x:c>
      <x:c r="G191" t="str">
        <x:v>4B</x:v>
      </x:c>
      <x:c r="H191" t="str">
        <x:v>PROF-019</x:v>
      </x:c>
      <x:c r="I191" t="n">
        <x:v>2026</x:v>
      </x:c>
      <x:c r="J191" s="24" t="b">
        <x:v>1</x:v>
      </x:c>
    </x:row>
    <x:row r="192">
      <x:c r="A192" t="str">
        <x:v>2026-4B-RZV</x:v>
      </x:c>
      <x:c r="B192" t="str">
        <x:v>RZV</x:v>
      </x:c>
      <x:c r="C192" t="str">
        <x:v>Razonamiento Verbal</x:v>
      </x:c>
      <x:c r="D192" t="str">
        <x:v>COM</x:v>
      </x:c>
      <x:c r="E192" t="n">
        <x:v>4</x:v>
      </x:c>
      <x:c r="F192" t="str">
        <x:v>B</x:v>
      </x:c>
      <x:c r="G192" t="str">
        <x:v>4B</x:v>
      </x:c>
      <x:c r="H192" t="str">
        <x:v>PROF-019</x:v>
      </x:c>
      <x:c r="I192" t="n">
        <x:v>2026</x:v>
      </x:c>
      <x:c r="J192" s="24" t="b">
        <x:v>1</x:v>
      </x:c>
    </x:row>
    <x:row r="193">
      <x:c r="A193" t="str">
        <x:v>2026-4B-CUH</x:v>
      </x:c>
      <x:c r="B193" t="str">
        <x:v>CUH</x:v>
      </x:c>
      <x:c r="C193" t="str">
        <x:v>Cuerpo Humano</x:v>
      </x:c>
      <x:c r="D193" t="str">
        <x:v>CIE</x:v>
      </x:c>
      <x:c r="E193" t="n">
        <x:v>4</x:v>
      </x:c>
      <x:c r="F193" t="str">
        <x:v>B</x:v>
      </x:c>
      <x:c r="G193" t="str">
        <x:v>4B</x:v>
      </x:c>
      <x:c r="H193" t="str">
        <x:v>PROF-015</x:v>
      </x:c>
      <x:c r="I193" t="n">
        <x:v>2026</x:v>
      </x:c>
      <x:c r="J193" s="24" t="b">
        <x:v>1</x:v>
      </x:c>
    </x:row>
    <x:row r="194">
      <x:c r="A194" t="str">
        <x:v>2026-4B-MUF</x:v>
      </x:c>
      <x:c r="B194" t="str">
        <x:v>MUF</x:v>
      </x:c>
      <x:c r="C194" t="str">
        <x:v>Mundo Físico</x:v>
      </x:c>
      <x:c r="D194" t="str">
        <x:v>CIE</x:v>
      </x:c>
      <x:c r="E194" t="n">
        <x:v>4</x:v>
      </x:c>
      <x:c r="F194" t="str">
        <x:v>B</x:v>
      </x:c>
      <x:c r="G194" t="str">
        <x:v>4B</x:v>
      </x:c>
      <x:c r="H194" t="str">
        <x:v>PROF-017</x:v>
      </x:c>
      <x:c r="I194" t="n">
        <x:v>2026</x:v>
      </x:c>
      <x:c r="J194" s="24" t="b">
        <x:v>1</x:v>
      </x:c>
    </x:row>
    <x:row r="195">
      <x:c r="A195" t="str">
        <x:v>2026-4B-CIU</x:v>
      </x:c>
      <x:c r="B195" t="str">
        <x:v>CIU</x:v>
      </x:c>
      <x:c r="C195" t="str">
        <x:v>Ciudadanía</x:v>
      </x:c>
      <x:c r="D195" t="str">
        <x:v>SOC</x:v>
      </x:c>
      <x:c r="E195" t="n">
        <x:v>4</x:v>
      </x:c>
      <x:c r="F195" t="str">
        <x:v>B</x:v>
      </x:c>
      <x:c r="G195" t="str">
        <x:v>4B</x:v>
      </x:c>
      <x:c r="H195" t="str">
        <x:v>PROF-013</x:v>
      </x:c>
      <x:c r="I195" t="n">
        <x:v>2026</x:v>
      </x:c>
      <x:c r="J195" s="24" t="b">
        <x:v>1</x:v>
      </x:c>
    </x:row>
    <x:row r="196">
      <x:c r="A196" t="str">
        <x:v>2026-4B-GEG</x:v>
      </x:c>
      <x:c r="B196" t="str">
        <x:v>GEG</x:v>
      </x:c>
      <x:c r="C196" t="str">
        <x:v>Geografía</x:v>
      </x:c>
      <x:c r="D196" t="str">
        <x:v>SOC</x:v>
      </x:c>
      <x:c r="E196" t="n">
        <x:v>4</x:v>
      </x:c>
      <x:c r="F196" t="str">
        <x:v>B</x:v>
      </x:c>
      <x:c r="G196" t="str">
        <x:v>4B</x:v>
      </x:c>
      <x:c r="H196" t="str">
        <x:v>PROF-015</x:v>
      </x:c>
      <x:c r="I196" t="n">
        <x:v>2026</x:v>
      </x:c>
      <x:c r="J196" s="24" t="b">
        <x:v>1</x:v>
      </x:c>
    </x:row>
    <x:row r="197">
      <x:c r="A197" t="str">
        <x:v>2026-4B-HIS</x:v>
      </x:c>
      <x:c r="B197" t="str">
        <x:v>HIS</x:v>
      </x:c>
      <x:c r="C197" t="str">
        <x:v>Historia</x:v>
      </x:c>
      <x:c r="D197" t="str">
        <x:v>SOC</x:v>
      </x:c>
      <x:c r="E197" t="n">
        <x:v>4</x:v>
      </x:c>
      <x:c r="F197" t="str">
        <x:v>B</x:v>
      </x:c>
      <x:c r="G197" t="str">
        <x:v>4B</x:v>
      </x:c>
      <x:c r="H197" t="str">
        <x:v>PROF-013</x:v>
      </x:c>
      <x:c r="I197" t="n">
        <x:v>2026</x:v>
      </x:c>
      <x:c r="J197" s="24" t="b">
        <x:v>1</x:v>
      </x:c>
    </x:row>
    <x:row r="198">
      <x:c r="A198" t="str">
        <x:v>2026-4B-REL</x:v>
      </x:c>
      <x:c r="B198" t="str">
        <x:v>REL</x:v>
      </x:c>
      <x:c r="C198" t="str">
        <x:v>Religión</x:v>
      </x:c>
      <x:c r="D198" t="str">
        <x:v>REL</x:v>
      </x:c>
      <x:c r="E198" t="n">
        <x:v>4</x:v>
      </x:c>
      <x:c r="F198" t="str">
        <x:v>B</x:v>
      </x:c>
      <x:c r="G198" t="str">
        <x:v>4B</x:v>
      </x:c>
      <x:c r="H198" t="str">
        <x:v>PROF-021</x:v>
      </x:c>
      <x:c r="I198" t="n">
        <x:v>2026</x:v>
      </x:c>
      <x:c r="J198" s="24" t="b">
        <x:v>1</x:v>
      </x:c>
    </x:row>
    <x:row r="199">
      <x:c r="A199" t="str">
        <x:v>2026-4B-ING</x:v>
      </x:c>
      <x:c r="B199" t="str">
        <x:v>ING</x:v>
      </x:c>
      <x:c r="C199" t="str">
        <x:v>Inglés</x:v>
      </x:c>
      <x:c r="D199" t="str">
        <x:v>IDI</x:v>
      </x:c>
      <x:c r="E199" t="n">
        <x:v>4</x:v>
      </x:c>
      <x:c r="F199" t="str">
        <x:v>B</x:v>
      </x:c>
      <x:c r="G199" t="str">
        <x:v>4B</x:v>
      </x:c>
      <x:c r="H199" t="str">
        <x:v>PROF-021</x:v>
      </x:c>
      <x:c r="I199" t="n">
        <x:v>2026</x:v>
      </x:c>
      <x:c r="J199" s="24" t="b">
        <x:v>1</x:v>
      </x:c>
    </x:row>
    <x:row r="200">
      <x:c r="A200" t="str">
        <x:v>2026-4B-TAL</x:v>
      </x:c>
      <x:c r="B200" t="str">
        <x:v>TAL</x:v>
      </x:c>
      <x:c r="C200" t="str">
        <x:v>Taller</x:v>
      </x:c>
      <x:c r="D200" t="str">
        <x:v>TAL</x:v>
      </x:c>
      <x:c r="E200" t="n">
        <x:v>4</x:v>
      </x:c>
      <x:c r="F200" t="str">
        <x:v>B</x:v>
      </x:c>
      <x:c r="G200" t="str">
        <x:v>4B</x:v>
      </x:c>
      <x:c r="H200" t="str">
        <x:v>PROF-023</x:v>
      </x:c>
      <x:c r="I200" t="n">
        <x:v>2026</x:v>
      </x:c>
      <x:c r="J200" s="24" t="b">
        <x:v>1</x:v>
      </x:c>
    </x:row>
    <x:row r="201">
      <x:c r="A201" t="str">
        <x:v>2026-4B-EDF</x:v>
      </x:c>
      <x:c r="B201" t="str">
        <x:v>EDF</x:v>
      </x:c>
      <x:c r="C201" t="str">
        <x:v>Educación Física</x:v>
      </x:c>
      <x:c r="D201" t="str">
        <x:v>EDF</x:v>
      </x:c>
      <x:c r="E201" t="n">
        <x:v>4</x:v>
      </x:c>
      <x:c r="F201" t="str">
        <x:v>B</x:v>
      </x:c>
      <x:c r="G201" t="str">
        <x:v>4B</x:v>
      </x:c>
      <x:c r="H201" t="str">
        <x:v>PROF-023</x:v>
      </x:c>
      <x:c r="I201" t="n">
        <x:v>2026</x:v>
      </x:c>
      <x:c r="J201" s="24" t="b">
        <x:v>1</x:v>
      </x:c>
    </x:row>
    <x:row r="202">
      <x:c r="A202" t="str">
        <x:v>2026-4C-ARI</x:v>
      </x:c>
      <x:c r="B202" t="str">
        <x:v>ARI</x:v>
      </x:c>
      <x:c r="C202" t="str">
        <x:v>Aritmética</x:v>
      </x:c>
      <x:c r="D202" t="str">
        <x:v>MAT</x:v>
      </x:c>
      <x:c r="E202" t="n">
        <x:v>4</x:v>
      </x:c>
      <x:c r="F202" t="str">
        <x:v>C</x:v>
      </x:c>
      <x:c r="G202" t="str">
        <x:v>4C</x:v>
      </x:c>
      <x:c r="H202" t="str">
        <x:v>PROF-009</x:v>
      </x:c>
      <x:c r="I202" t="n">
        <x:v>2026</x:v>
      </x:c>
      <x:c r="J202" s="24" t="b">
        <x:v>1</x:v>
      </x:c>
    </x:row>
    <x:row r="203">
      <x:c r="A203" t="str">
        <x:v>2026-4C-ALG</x:v>
      </x:c>
      <x:c r="B203" t="str">
        <x:v>ALG</x:v>
      </x:c>
      <x:c r="C203" t="str">
        <x:v>Álgebra</x:v>
      </x:c>
      <x:c r="D203" t="str">
        <x:v>MAT</x:v>
      </x:c>
      <x:c r="E203" t="n">
        <x:v>4</x:v>
      </x:c>
      <x:c r="F203" t="str">
        <x:v>C</x:v>
      </x:c>
      <x:c r="G203" t="str">
        <x:v>4C</x:v>
      </x:c>
      <x:c r="H203" t="str">
        <x:v>PROF-009</x:v>
      </x:c>
      <x:c r="I203" t="n">
        <x:v>2026</x:v>
      </x:c>
      <x:c r="J203" s="24" t="b">
        <x:v>1</x:v>
      </x:c>
    </x:row>
    <x:row r="204">
      <x:c r="A204" t="str">
        <x:v>2026-4C-RZM</x:v>
      </x:c>
      <x:c r="B204" t="str">
        <x:v>RZM</x:v>
      </x:c>
      <x:c r="C204" t="str">
        <x:v>Razonamiento Matemático</x:v>
      </x:c>
      <x:c r="D204" t="str">
        <x:v>MAT</x:v>
      </x:c>
      <x:c r="E204" t="n">
        <x:v>4</x:v>
      </x:c>
      <x:c r="F204" t="str">
        <x:v>C</x:v>
      </x:c>
      <x:c r="G204" t="str">
        <x:v>4C</x:v>
      </x:c>
      <x:c r="H204" t="str">
        <x:v>PROF-011</x:v>
      </x:c>
      <x:c r="I204" t="n">
        <x:v>2026</x:v>
      </x:c>
      <x:c r="J204" s="24" t="b">
        <x:v>1</x:v>
      </x:c>
    </x:row>
    <x:row r="205">
      <x:c r="A205" t="str">
        <x:v>2026-4C-GEO</x:v>
      </x:c>
      <x:c r="B205" t="str">
        <x:v>GEO</x:v>
      </x:c>
      <x:c r="C205" t="str">
        <x:v>Geometría</x:v>
      </x:c>
      <x:c r="D205" t="str">
        <x:v>MAT</x:v>
      </x:c>
      <x:c r="E205" t="n">
        <x:v>4</x:v>
      </x:c>
      <x:c r="F205" t="str">
        <x:v>C</x:v>
      </x:c>
      <x:c r="G205" t="str">
        <x:v>4C</x:v>
      </x:c>
      <x:c r="H205" t="str">
        <x:v>PROF-011</x:v>
      </x:c>
      <x:c r="I205" t="n">
        <x:v>2026</x:v>
      </x:c>
      <x:c r="J205" s="24" t="b">
        <x:v>1</x:v>
      </x:c>
    </x:row>
    <x:row r="206">
      <x:c r="A206" t="str">
        <x:v>2026-4C-PDT</x:v>
      </x:c>
      <x:c r="B206" t="str">
        <x:v>PDT</x:v>
      </x:c>
      <x:c r="C206" t="str">
        <x:v>Producción de Textos</x:v>
      </x:c>
      <x:c r="D206" t="str">
        <x:v>COM</x:v>
      </x:c>
      <x:c r="E206" t="n">
        <x:v>4</x:v>
      </x:c>
      <x:c r="F206" t="str">
        <x:v>C</x:v>
      </x:c>
      <x:c r="G206" t="str">
        <x:v>4C</x:v>
      </x:c>
      <x:c r="H206" t="str">
        <x:v>PROF-017</x:v>
      </x:c>
      <x:c r="I206" t="n">
        <x:v>2026</x:v>
      </x:c>
      <x:c r="J206" s="24" t="b">
        <x:v>1</x:v>
      </x:c>
    </x:row>
    <x:row r="207">
      <x:c r="A207" t="str">
        <x:v>2026-4C-GRA</x:v>
      </x:c>
      <x:c r="B207" t="str">
        <x:v>GRA</x:v>
      </x:c>
      <x:c r="C207" t="str">
        <x:v>Gramática</x:v>
      </x:c>
      <x:c r="D207" t="str">
        <x:v>COM</x:v>
      </x:c>
      <x:c r="E207" t="n">
        <x:v>4</x:v>
      </x:c>
      <x:c r="F207" t="str">
        <x:v>C</x:v>
      </x:c>
      <x:c r="G207" t="str">
        <x:v>4C</x:v>
      </x:c>
      <x:c r="H207" t="str">
        <x:v>PROF-019</x:v>
      </x:c>
      <x:c r="I207" t="n">
        <x:v>2026</x:v>
      </x:c>
      <x:c r="J207" s="24" t="b">
        <x:v>1</x:v>
      </x:c>
    </x:row>
    <x:row r="208">
      <x:c r="A208" t="str">
        <x:v>2026-4C-RZV</x:v>
      </x:c>
      <x:c r="B208" t="str">
        <x:v>RZV</x:v>
      </x:c>
      <x:c r="C208" t="str">
        <x:v>Razonamiento Verbal</x:v>
      </x:c>
      <x:c r="D208" t="str">
        <x:v>COM</x:v>
      </x:c>
      <x:c r="E208" t="n">
        <x:v>4</x:v>
      </x:c>
      <x:c r="F208" t="str">
        <x:v>C</x:v>
      </x:c>
      <x:c r="G208" t="str">
        <x:v>4C</x:v>
      </x:c>
      <x:c r="H208" t="str">
        <x:v>PROF-019</x:v>
      </x:c>
      <x:c r="I208" t="n">
        <x:v>2026</x:v>
      </x:c>
      <x:c r="J208" s="24" t="b">
        <x:v>1</x:v>
      </x:c>
    </x:row>
    <x:row r="209">
      <x:c r="A209" t="str">
        <x:v>2026-4C-CUH</x:v>
      </x:c>
      <x:c r="B209" t="str">
        <x:v>CUH</x:v>
      </x:c>
      <x:c r="C209" t="str">
        <x:v>Cuerpo Humano</x:v>
      </x:c>
      <x:c r="D209" t="str">
        <x:v>CIE</x:v>
      </x:c>
      <x:c r="E209" t="n">
        <x:v>4</x:v>
      </x:c>
      <x:c r="F209" t="str">
        <x:v>C</x:v>
      </x:c>
      <x:c r="G209" t="str">
        <x:v>4C</x:v>
      </x:c>
      <x:c r="H209" t="str">
        <x:v>PROF-015</x:v>
      </x:c>
      <x:c r="I209" t="n">
        <x:v>2026</x:v>
      </x:c>
      <x:c r="J209" s="24" t="b">
        <x:v>1</x:v>
      </x:c>
    </x:row>
    <x:row r="210">
      <x:c r="A210" t="str">
        <x:v>2026-4C-MUF</x:v>
      </x:c>
      <x:c r="B210" t="str">
        <x:v>MUF</x:v>
      </x:c>
      <x:c r="C210" t="str">
        <x:v>Mundo Físico</x:v>
      </x:c>
      <x:c r="D210" t="str">
        <x:v>CIE</x:v>
      </x:c>
      <x:c r="E210" t="n">
        <x:v>4</x:v>
      </x:c>
      <x:c r="F210" t="str">
        <x:v>C</x:v>
      </x:c>
      <x:c r="G210" t="str">
        <x:v>4C</x:v>
      </x:c>
      <x:c r="H210" t="str">
        <x:v>PROF-017</x:v>
      </x:c>
      <x:c r="I210" t="n">
        <x:v>2026</x:v>
      </x:c>
      <x:c r="J210" s="24" t="b">
        <x:v>1</x:v>
      </x:c>
    </x:row>
    <x:row r="211">
      <x:c r="A211" t="str">
        <x:v>2026-4C-CIU</x:v>
      </x:c>
      <x:c r="B211" t="str">
        <x:v>CIU</x:v>
      </x:c>
      <x:c r="C211" t="str">
        <x:v>Ciudadanía</x:v>
      </x:c>
      <x:c r="D211" t="str">
        <x:v>SOC</x:v>
      </x:c>
      <x:c r="E211" t="n">
        <x:v>4</x:v>
      </x:c>
      <x:c r="F211" t="str">
        <x:v>C</x:v>
      </x:c>
      <x:c r="G211" t="str">
        <x:v>4C</x:v>
      </x:c>
      <x:c r="H211" t="str">
        <x:v>PROF-013</x:v>
      </x:c>
      <x:c r="I211" t="n">
        <x:v>2026</x:v>
      </x:c>
      <x:c r="J211" s="24" t="b">
        <x:v>1</x:v>
      </x:c>
    </x:row>
    <x:row r="212">
      <x:c r="A212" t="str">
        <x:v>2026-4C-GEG</x:v>
      </x:c>
      <x:c r="B212" t="str">
        <x:v>GEG</x:v>
      </x:c>
      <x:c r="C212" t="str">
        <x:v>Geografía</x:v>
      </x:c>
      <x:c r="D212" t="str">
        <x:v>SOC</x:v>
      </x:c>
      <x:c r="E212" t="n">
        <x:v>4</x:v>
      </x:c>
      <x:c r="F212" t="str">
        <x:v>C</x:v>
      </x:c>
      <x:c r="G212" t="str">
        <x:v>4C</x:v>
      </x:c>
      <x:c r="H212" t="str">
        <x:v>PROF-015</x:v>
      </x:c>
      <x:c r="I212" t="n">
        <x:v>2026</x:v>
      </x:c>
      <x:c r="J212" s="24" t="b">
        <x:v>1</x:v>
      </x:c>
    </x:row>
    <x:row r="213">
      <x:c r="A213" t="str">
        <x:v>2026-4C-HIS</x:v>
      </x:c>
      <x:c r="B213" t="str">
        <x:v>HIS</x:v>
      </x:c>
      <x:c r="C213" t="str">
        <x:v>Historia</x:v>
      </x:c>
      <x:c r="D213" t="str">
        <x:v>SOC</x:v>
      </x:c>
      <x:c r="E213" t="n">
        <x:v>4</x:v>
      </x:c>
      <x:c r="F213" t="str">
        <x:v>C</x:v>
      </x:c>
      <x:c r="G213" t="str">
        <x:v>4C</x:v>
      </x:c>
      <x:c r="H213" t="str">
        <x:v>PROF-013</x:v>
      </x:c>
      <x:c r="I213" t="n">
        <x:v>2026</x:v>
      </x:c>
      <x:c r="J213" s="24" t="b">
        <x:v>1</x:v>
      </x:c>
    </x:row>
    <x:row r="214">
      <x:c r="A214" t="str">
        <x:v>2026-4C-REL</x:v>
      </x:c>
      <x:c r="B214" t="str">
        <x:v>REL</x:v>
      </x:c>
      <x:c r="C214" t="str">
        <x:v>Religión</x:v>
      </x:c>
      <x:c r="D214" t="str">
        <x:v>REL</x:v>
      </x:c>
      <x:c r="E214" t="n">
        <x:v>4</x:v>
      </x:c>
      <x:c r="F214" t="str">
        <x:v>C</x:v>
      </x:c>
      <x:c r="G214" t="str">
        <x:v>4C</x:v>
      </x:c>
      <x:c r="H214" t="str">
        <x:v>PROF-021</x:v>
      </x:c>
      <x:c r="I214" t="n">
        <x:v>2026</x:v>
      </x:c>
      <x:c r="J214" s="24" t="b">
        <x:v>1</x:v>
      </x:c>
    </x:row>
    <x:row r="215">
      <x:c r="A215" t="str">
        <x:v>2026-4C-ING</x:v>
      </x:c>
      <x:c r="B215" t="str">
        <x:v>ING</x:v>
      </x:c>
      <x:c r="C215" t="str">
        <x:v>Inglés</x:v>
      </x:c>
      <x:c r="D215" t="str">
        <x:v>IDI</x:v>
      </x:c>
      <x:c r="E215" t="n">
        <x:v>4</x:v>
      </x:c>
      <x:c r="F215" t="str">
        <x:v>C</x:v>
      </x:c>
      <x:c r="G215" t="str">
        <x:v>4C</x:v>
      </x:c>
      <x:c r="H215" t="str">
        <x:v>PROF-021</x:v>
      </x:c>
      <x:c r="I215" t="n">
        <x:v>2026</x:v>
      </x:c>
      <x:c r="J215" s="24" t="b">
        <x:v>1</x:v>
      </x:c>
    </x:row>
    <x:row r="216">
      <x:c r="A216" t="str">
        <x:v>2026-4C-TAL</x:v>
      </x:c>
      <x:c r="B216" t="str">
        <x:v>TAL</x:v>
      </x:c>
      <x:c r="C216" t="str">
        <x:v>Taller</x:v>
      </x:c>
      <x:c r="D216" t="str">
        <x:v>TAL</x:v>
      </x:c>
      <x:c r="E216" t="n">
        <x:v>4</x:v>
      </x:c>
      <x:c r="F216" t="str">
        <x:v>C</x:v>
      </x:c>
      <x:c r="G216" t="str">
        <x:v>4C</x:v>
      </x:c>
      <x:c r="H216" t="str">
        <x:v>PROF-023</x:v>
      </x:c>
      <x:c r="I216" t="n">
        <x:v>2026</x:v>
      </x:c>
      <x:c r="J216" s="24" t="b">
        <x:v>1</x:v>
      </x:c>
    </x:row>
    <x:row r="217">
      <x:c r="A217" t="str">
        <x:v>2026-4C-EDF</x:v>
      </x:c>
      <x:c r="B217" t="str">
        <x:v>EDF</x:v>
      </x:c>
      <x:c r="C217" t="str">
        <x:v>Educación Física</x:v>
      </x:c>
      <x:c r="D217" t="str">
        <x:v>EDF</x:v>
      </x:c>
      <x:c r="E217" t="n">
        <x:v>4</x:v>
      </x:c>
      <x:c r="F217" t="str">
        <x:v>C</x:v>
      </x:c>
      <x:c r="G217" t="str">
        <x:v>4C</x:v>
      </x:c>
      <x:c r="H217" t="str">
        <x:v>PROF-023</x:v>
      </x:c>
      <x:c r="I217" t="n">
        <x:v>2026</x:v>
      </x:c>
      <x:c r="J217" s="24" t="b">
        <x:v>1</x:v>
      </x:c>
    </x:row>
    <x:row r="218">
      <x:c r="A218" t="str">
        <x:v>2026-4D-ARI</x:v>
      </x:c>
      <x:c r="B218" t="str">
        <x:v>ARI</x:v>
      </x:c>
      <x:c r="C218" t="str">
        <x:v>Aritmética</x:v>
      </x:c>
      <x:c r="D218" t="str">
        <x:v>MAT</x:v>
      </x:c>
      <x:c r="E218" t="n">
        <x:v>4</x:v>
      </x:c>
      <x:c r="F218" t="str">
        <x:v>D</x:v>
      </x:c>
      <x:c r="G218" t="str">
        <x:v>4D</x:v>
      </x:c>
      <x:c r="H218" t="str">
        <x:v>PROF-024</x:v>
      </x:c>
      <x:c r="I218" t="n">
        <x:v>2026</x:v>
      </x:c>
      <x:c r="J218" s="24" t="b">
        <x:v>1</x:v>
      </x:c>
    </x:row>
    <x:row r="219">
      <x:c r="A219" t="str">
        <x:v>2026-4D-ALG</x:v>
      </x:c>
      <x:c r="B219" t="str">
        <x:v>ALG</x:v>
      </x:c>
      <x:c r="C219" t="str">
        <x:v>Álgebra</x:v>
      </x:c>
      <x:c r="D219" t="str">
        <x:v>MAT</x:v>
      </x:c>
      <x:c r="E219" t="n">
        <x:v>4</x:v>
      </x:c>
      <x:c r="F219" t="str">
        <x:v>D</x:v>
      </x:c>
      <x:c r="G219" t="str">
        <x:v>4D</x:v>
      </x:c>
      <x:c r="H219" t="str">
        <x:v>PROF-010</x:v>
      </x:c>
      <x:c r="I219" t="n">
        <x:v>2026</x:v>
      </x:c>
      <x:c r="J219" s="24" t="b">
        <x:v>1</x:v>
      </x:c>
    </x:row>
    <x:row r="220">
      <x:c r="A220" t="str">
        <x:v>2026-4D-RZM</x:v>
      </x:c>
      <x:c r="B220" t="str">
        <x:v>RZM</x:v>
      </x:c>
      <x:c r="C220" t="str">
        <x:v>Razonamiento Matemático</x:v>
      </x:c>
      <x:c r="D220" t="str">
        <x:v>MAT</x:v>
      </x:c>
      <x:c r="E220" t="n">
        <x:v>4</x:v>
      </x:c>
      <x:c r="F220" t="str">
        <x:v>D</x:v>
      </x:c>
      <x:c r="G220" t="str">
        <x:v>4D</x:v>
      </x:c>
      <x:c r="H220" t="str">
        <x:v>PROF-010</x:v>
      </x:c>
      <x:c r="I220" t="n">
        <x:v>2026</x:v>
      </x:c>
      <x:c r="J220" s="24" t="b">
        <x:v>1</x:v>
      </x:c>
    </x:row>
    <x:row r="221">
      <x:c r="A221" t="str">
        <x:v>2026-4D-GEO</x:v>
      </x:c>
      <x:c r="B221" t="str">
        <x:v>GEO</x:v>
      </x:c>
      <x:c r="C221" t="str">
        <x:v>Geometría</x:v>
      </x:c>
      <x:c r="D221" t="str">
        <x:v>MAT</x:v>
      </x:c>
      <x:c r="E221" t="n">
        <x:v>4</x:v>
      </x:c>
      <x:c r="F221" t="str">
        <x:v>D</x:v>
      </x:c>
      <x:c r="G221" t="str">
        <x:v>4D</x:v>
      </x:c>
      <x:c r="H221" t="str">
        <x:v>PROF-012</x:v>
      </x:c>
      <x:c r="I221" t="n">
        <x:v>2026</x:v>
      </x:c>
      <x:c r="J221" s="24" t="b">
        <x:v>1</x:v>
      </x:c>
    </x:row>
    <x:row r="222">
      <x:c r="A222" t="str">
        <x:v>2026-4D-PDT</x:v>
      </x:c>
      <x:c r="B222" t="str">
        <x:v>PDT</x:v>
      </x:c>
      <x:c r="C222" t="str">
        <x:v>Producción de Textos</x:v>
      </x:c>
      <x:c r="D222" t="str">
        <x:v>COM</x:v>
      </x:c>
      <x:c r="E222" t="n">
        <x:v>4</x:v>
      </x:c>
      <x:c r="F222" t="str">
        <x:v>D</x:v>
      </x:c>
      <x:c r="G222" t="str">
        <x:v>4D</x:v>
      </x:c>
      <x:c r="H222" t="str">
        <x:v>PROF-018</x:v>
      </x:c>
      <x:c r="I222" t="n">
        <x:v>2026</x:v>
      </x:c>
      <x:c r="J222" s="24" t="b">
        <x:v>1</x:v>
      </x:c>
    </x:row>
    <x:row r="223">
      <x:c r="A223" t="str">
        <x:v>2026-4D-GRA</x:v>
      </x:c>
      <x:c r="B223" t="str">
        <x:v>GRA</x:v>
      </x:c>
      <x:c r="C223" t="str">
        <x:v>Gramática</x:v>
      </x:c>
      <x:c r="D223" t="str">
        <x:v>COM</x:v>
      </x:c>
      <x:c r="E223" t="n">
        <x:v>4</x:v>
      </x:c>
      <x:c r="F223" t="str">
        <x:v>D</x:v>
      </x:c>
      <x:c r="G223" t="str">
        <x:v>4D</x:v>
      </x:c>
      <x:c r="H223" t="str">
        <x:v>PROF-018</x:v>
      </x:c>
      <x:c r="I223" t="n">
        <x:v>2026</x:v>
      </x:c>
      <x:c r="J223" s="24" t="b">
        <x:v>1</x:v>
      </x:c>
    </x:row>
    <x:row r="224">
      <x:c r="A224" t="str">
        <x:v>2026-4D-RZV</x:v>
      </x:c>
      <x:c r="B224" t="str">
        <x:v>RZV</x:v>
      </x:c>
      <x:c r="C224" t="str">
        <x:v>Razonamiento Verbal</x:v>
      </x:c>
      <x:c r="D224" t="str">
        <x:v>COM</x:v>
      </x:c>
      <x:c r="E224" t="n">
        <x:v>4</x:v>
      </x:c>
      <x:c r="F224" t="str">
        <x:v>D</x:v>
      </x:c>
      <x:c r="G224" t="str">
        <x:v>4D</x:v>
      </x:c>
      <x:c r="H224" t="str">
        <x:v>PROF-020</x:v>
      </x:c>
      <x:c r="I224" t="n">
        <x:v>2026</x:v>
      </x:c>
      <x:c r="J224" s="24" t="b">
        <x:v>1</x:v>
      </x:c>
    </x:row>
    <x:row r="225">
      <x:c r="A225" t="str">
        <x:v>2026-4D-CUH</x:v>
      </x:c>
      <x:c r="B225" t="str">
        <x:v>CUH</x:v>
      </x:c>
      <x:c r="C225" t="str">
        <x:v>Cuerpo Humano</x:v>
      </x:c>
      <x:c r="D225" t="str">
        <x:v>CIE</x:v>
      </x:c>
      <x:c r="E225" t="n">
        <x:v>4</x:v>
      </x:c>
      <x:c r="F225" t="str">
        <x:v>D</x:v>
      </x:c>
      <x:c r="G225" t="str">
        <x:v>4D</x:v>
      </x:c>
      <x:c r="H225" t="str">
        <x:v>PROF-016</x:v>
      </x:c>
      <x:c r="I225" t="n">
        <x:v>2026</x:v>
      </x:c>
      <x:c r="J225" s="24" t="b">
        <x:v>1</x:v>
      </x:c>
    </x:row>
    <x:row r="226">
      <x:c r="A226" t="str">
        <x:v>2026-4D-MUF</x:v>
      </x:c>
      <x:c r="B226" t="str">
        <x:v>MUF</x:v>
      </x:c>
      <x:c r="C226" t="str">
        <x:v>Mundo Físico</x:v>
      </x:c>
      <x:c r="D226" t="str">
        <x:v>CIE</x:v>
      </x:c>
      <x:c r="E226" t="n">
        <x:v>4</x:v>
      </x:c>
      <x:c r="F226" t="str">
        <x:v>D</x:v>
      </x:c>
      <x:c r="G226" t="str">
        <x:v>4D</x:v>
      </x:c>
      <x:c r="H226" t="str">
        <x:v>PROF-016</x:v>
      </x:c>
      <x:c r="I226" t="n">
        <x:v>2026</x:v>
      </x:c>
      <x:c r="J226" s="24" t="b">
        <x:v>1</x:v>
      </x:c>
    </x:row>
    <x:row r="227">
      <x:c r="A227" t="str">
        <x:v>2026-4D-CIU</x:v>
      </x:c>
      <x:c r="B227" t="str">
        <x:v>CIU</x:v>
      </x:c>
      <x:c r="C227" t="str">
        <x:v>Ciudadanía</x:v>
      </x:c>
      <x:c r="D227" t="str">
        <x:v>SOC</x:v>
      </x:c>
      <x:c r="E227" t="n">
        <x:v>4</x:v>
      </x:c>
      <x:c r="F227" t="str">
        <x:v>D</x:v>
      </x:c>
      <x:c r="G227" t="str">
        <x:v>4D</x:v>
      </x:c>
      <x:c r="H227" t="str">
        <x:v>PROF-014</x:v>
      </x:c>
      <x:c r="I227" t="n">
        <x:v>2026</x:v>
      </x:c>
      <x:c r="J227" s="24" t="b">
        <x:v>1</x:v>
      </x:c>
    </x:row>
    <x:row r="228">
      <x:c r="A228" t="str">
        <x:v>2026-4D-GEG</x:v>
      </x:c>
      <x:c r="B228" t="str">
        <x:v>GEG</x:v>
      </x:c>
      <x:c r="C228" t="str">
        <x:v>Geografía</x:v>
      </x:c>
      <x:c r="D228" t="str">
        <x:v>SOC</x:v>
      </x:c>
      <x:c r="E228" t="n">
        <x:v>4</x:v>
      </x:c>
      <x:c r="F228" t="str">
        <x:v>D</x:v>
      </x:c>
      <x:c r="G228" t="str">
        <x:v>4D</x:v>
      </x:c>
      <x:c r="H228" t="str">
        <x:v>PROF-014</x:v>
      </x:c>
      <x:c r="I228" t="n">
        <x:v>2026</x:v>
      </x:c>
      <x:c r="J228" s="24" t="b">
        <x:v>1</x:v>
      </x:c>
    </x:row>
    <x:row r="229">
      <x:c r="A229" t="str">
        <x:v>2026-4D-HIS</x:v>
      </x:c>
      <x:c r="B229" t="str">
        <x:v>HIS</x:v>
      </x:c>
      <x:c r="C229" t="str">
        <x:v>Historia</x:v>
      </x:c>
      <x:c r="D229" t="str">
        <x:v>SOC</x:v>
      </x:c>
      <x:c r="E229" t="n">
        <x:v>4</x:v>
      </x:c>
      <x:c r="F229" t="str">
        <x:v>D</x:v>
      </x:c>
      <x:c r="G229" t="str">
        <x:v>4D</x:v>
      </x:c>
      <x:c r="H229" t="str">
        <x:v>PROF-012</x:v>
      </x:c>
      <x:c r="I229" t="n">
        <x:v>2026</x:v>
      </x:c>
      <x:c r="J229" s="24" t="b">
        <x:v>1</x:v>
      </x:c>
    </x:row>
    <x:row r="230">
      <x:c r="A230" t="str">
        <x:v>2026-4D-REL</x:v>
      </x:c>
      <x:c r="B230" t="str">
        <x:v>REL</x:v>
      </x:c>
      <x:c r="C230" t="str">
        <x:v>Religión</x:v>
      </x:c>
      <x:c r="D230" t="str">
        <x:v>REL</x:v>
      </x:c>
      <x:c r="E230" t="n">
        <x:v>4</x:v>
      </x:c>
      <x:c r="F230" t="str">
        <x:v>D</x:v>
      </x:c>
      <x:c r="G230" t="str">
        <x:v>4D</x:v>
      </x:c>
      <x:c r="H230" t="str">
        <x:v>PROF-022</x:v>
      </x:c>
      <x:c r="I230" t="n">
        <x:v>2026</x:v>
      </x:c>
      <x:c r="J230" s="24" t="b">
        <x:v>1</x:v>
      </x:c>
    </x:row>
    <x:row r="231">
      <x:c r="A231" t="str">
        <x:v>2026-4D-ING</x:v>
      </x:c>
      <x:c r="B231" t="str">
        <x:v>ING</x:v>
      </x:c>
      <x:c r="C231" t="str">
        <x:v>Inglés</x:v>
      </x:c>
      <x:c r="D231" t="str">
        <x:v>IDI</x:v>
      </x:c>
      <x:c r="E231" t="n">
        <x:v>4</x:v>
      </x:c>
      <x:c r="F231" t="str">
        <x:v>D</x:v>
      </x:c>
      <x:c r="G231" t="str">
        <x:v>4D</x:v>
      </x:c>
      <x:c r="H231" t="str">
        <x:v>PROF-020</x:v>
      </x:c>
      <x:c r="I231" t="n">
        <x:v>2026</x:v>
      </x:c>
      <x:c r="J231" s="24" t="b">
        <x:v>1</x:v>
      </x:c>
    </x:row>
    <x:row r="232">
      <x:c r="A232" t="str">
        <x:v>2026-4D-TAL</x:v>
      </x:c>
      <x:c r="B232" t="str">
        <x:v>TAL</x:v>
      </x:c>
      <x:c r="C232" t="str">
        <x:v>Taller</x:v>
      </x:c>
      <x:c r="D232" t="str">
        <x:v>TAL</x:v>
      </x:c>
      <x:c r="E232" t="n">
        <x:v>4</x:v>
      </x:c>
      <x:c r="F232" t="str">
        <x:v>D</x:v>
      </x:c>
      <x:c r="G232" t="str">
        <x:v>4D</x:v>
      </x:c>
      <x:c r="H232" t="str">
        <x:v>PROF-022</x:v>
      </x:c>
      <x:c r="I232" t="n">
        <x:v>2026</x:v>
      </x:c>
      <x:c r="J232" s="24" t="b">
        <x:v>1</x:v>
      </x:c>
    </x:row>
    <x:row r="233">
      <x:c r="A233" t="str">
        <x:v>2026-4D-EDF</x:v>
      </x:c>
      <x:c r="B233" t="str">
        <x:v>EDF</x:v>
      </x:c>
      <x:c r="C233" t="str">
        <x:v>Educación Física</x:v>
      </x:c>
      <x:c r="D233" t="str">
        <x:v>EDF</x:v>
      </x:c>
      <x:c r="E233" t="n">
        <x:v>4</x:v>
      </x:c>
      <x:c r="F233" t="str">
        <x:v>D</x:v>
      </x:c>
      <x:c r="G233" t="str">
        <x:v>4D</x:v>
      </x:c>
      <x:c r="H233" t="str">
        <x:v>PROF-024</x:v>
      </x:c>
      <x:c r="I233" t="n">
        <x:v>2026</x:v>
      </x:c>
      <x:c r="J233" s="24" t="b">
        <x:v>1</x:v>
      </x:c>
    </x:row>
    <x:row r="234">
      <x:c r="A234" t="str">
        <x:v>2026-5A-ARI</x:v>
      </x:c>
      <x:c r="B234" t="str">
        <x:v>ARI</x:v>
      </x:c>
      <x:c r="C234" t="str">
        <x:v>Aritmética</x:v>
      </x:c>
      <x:c r="D234" t="str">
        <x:v>MAT</x:v>
      </x:c>
      <x:c r="E234" t="n">
        <x:v>5</x:v>
      </x:c>
      <x:c r="F234" t="str">
        <x:v>A</x:v>
      </x:c>
      <x:c r="G234" t="str">
        <x:v>5A</x:v>
      </x:c>
      <x:c r="H234" t="str">
        <x:v>PROF-024</x:v>
      </x:c>
      <x:c r="I234" t="n">
        <x:v>2026</x:v>
      </x:c>
      <x:c r="J234" s="24" t="b">
        <x:v>1</x:v>
      </x:c>
    </x:row>
    <x:row r="235">
      <x:c r="A235" t="str">
        <x:v>2026-5A-ALG</x:v>
      </x:c>
      <x:c r="B235" t="str">
        <x:v>ALG</x:v>
      </x:c>
      <x:c r="C235" t="str">
        <x:v>Álgebra</x:v>
      </x:c>
      <x:c r="D235" t="str">
        <x:v>MAT</x:v>
      </x:c>
      <x:c r="E235" t="n">
        <x:v>5</x:v>
      </x:c>
      <x:c r="F235" t="str">
        <x:v>A</x:v>
      </x:c>
      <x:c r="G235" t="str">
        <x:v>5A</x:v>
      </x:c>
      <x:c r="H235" t="str">
        <x:v>PROF-010</x:v>
      </x:c>
      <x:c r="I235" t="n">
        <x:v>2026</x:v>
      </x:c>
      <x:c r="J235" s="24" t="b">
        <x:v>1</x:v>
      </x:c>
    </x:row>
    <x:row r="236">
      <x:c r="A236" t="str">
        <x:v>2026-5A-RZM</x:v>
      </x:c>
      <x:c r="B236" t="str">
        <x:v>RZM</x:v>
      </x:c>
      <x:c r="C236" t="str">
        <x:v>Razonamiento Matemático</x:v>
      </x:c>
      <x:c r="D236" t="str">
        <x:v>MAT</x:v>
      </x:c>
      <x:c r="E236" t="n">
        <x:v>5</x:v>
      </x:c>
      <x:c r="F236" t="str">
        <x:v>A</x:v>
      </x:c>
      <x:c r="G236" t="str">
        <x:v>5A</x:v>
      </x:c>
      <x:c r="H236" t="str">
        <x:v>PROF-010</x:v>
      </x:c>
      <x:c r="I236" t="n">
        <x:v>2026</x:v>
      </x:c>
      <x:c r="J236" s="24" t="b">
        <x:v>1</x:v>
      </x:c>
    </x:row>
    <x:row r="237">
      <x:c r="A237" t="str">
        <x:v>2026-5A-GEO</x:v>
      </x:c>
      <x:c r="B237" t="str">
        <x:v>GEO</x:v>
      </x:c>
      <x:c r="C237" t="str">
        <x:v>Geometría</x:v>
      </x:c>
      <x:c r="D237" t="str">
        <x:v>MAT</x:v>
      </x:c>
      <x:c r="E237" t="n">
        <x:v>5</x:v>
      </x:c>
      <x:c r="F237" t="str">
        <x:v>A</x:v>
      </x:c>
      <x:c r="G237" t="str">
        <x:v>5A</x:v>
      </x:c>
      <x:c r="H237" t="str">
        <x:v>PROF-012</x:v>
      </x:c>
      <x:c r="I237" t="n">
        <x:v>2026</x:v>
      </x:c>
      <x:c r="J237" s="24" t="b">
        <x:v>1</x:v>
      </x:c>
    </x:row>
    <x:row r="238">
      <x:c r="A238" t="str">
        <x:v>2026-5A-PDT</x:v>
      </x:c>
      <x:c r="B238" t="str">
        <x:v>PDT</x:v>
      </x:c>
      <x:c r="C238" t="str">
        <x:v>Producción de Textos</x:v>
      </x:c>
      <x:c r="D238" t="str">
        <x:v>COM</x:v>
      </x:c>
      <x:c r="E238" t="n">
        <x:v>5</x:v>
      </x:c>
      <x:c r="F238" t="str">
        <x:v>A</x:v>
      </x:c>
      <x:c r="G238" t="str">
        <x:v>5A</x:v>
      </x:c>
      <x:c r="H238" t="str">
        <x:v>PROF-018</x:v>
      </x:c>
      <x:c r="I238" t="n">
        <x:v>2026</x:v>
      </x:c>
      <x:c r="J238" s="24" t="b">
        <x:v>1</x:v>
      </x:c>
    </x:row>
    <x:row r="239">
      <x:c r="A239" t="str">
        <x:v>2026-5A-GRA</x:v>
      </x:c>
      <x:c r="B239" t="str">
        <x:v>GRA</x:v>
      </x:c>
      <x:c r="C239" t="str">
        <x:v>Gramática</x:v>
      </x:c>
      <x:c r="D239" t="str">
        <x:v>COM</x:v>
      </x:c>
      <x:c r="E239" t="n">
        <x:v>5</x:v>
      </x:c>
      <x:c r="F239" t="str">
        <x:v>A</x:v>
      </x:c>
      <x:c r="G239" t="str">
        <x:v>5A</x:v>
      </x:c>
      <x:c r="H239" t="str">
        <x:v>PROF-018</x:v>
      </x:c>
      <x:c r="I239" t="n">
        <x:v>2026</x:v>
      </x:c>
      <x:c r="J239" s="24" t="b">
        <x:v>1</x:v>
      </x:c>
    </x:row>
    <x:row r="240">
      <x:c r="A240" t="str">
        <x:v>2026-5A-RZV</x:v>
      </x:c>
      <x:c r="B240" t="str">
        <x:v>RZV</x:v>
      </x:c>
      <x:c r="C240" t="str">
        <x:v>Razonamiento Verbal</x:v>
      </x:c>
      <x:c r="D240" t="str">
        <x:v>COM</x:v>
      </x:c>
      <x:c r="E240" t="n">
        <x:v>5</x:v>
      </x:c>
      <x:c r="F240" t="str">
        <x:v>A</x:v>
      </x:c>
      <x:c r="G240" t="str">
        <x:v>5A</x:v>
      </x:c>
      <x:c r="H240" t="str">
        <x:v>PROF-020</x:v>
      </x:c>
      <x:c r="I240" t="n">
        <x:v>2026</x:v>
      </x:c>
      <x:c r="J240" s="24" t="b">
        <x:v>1</x:v>
      </x:c>
    </x:row>
    <x:row r="241">
      <x:c r="A241" t="str">
        <x:v>2026-5A-CUH</x:v>
      </x:c>
      <x:c r="B241" t="str">
        <x:v>CUH</x:v>
      </x:c>
      <x:c r="C241" t="str">
        <x:v>Cuerpo Humano</x:v>
      </x:c>
      <x:c r="D241" t="str">
        <x:v>CIE</x:v>
      </x:c>
      <x:c r="E241" t="n">
        <x:v>5</x:v>
      </x:c>
      <x:c r="F241" t="str">
        <x:v>A</x:v>
      </x:c>
      <x:c r="G241" t="str">
        <x:v>5A</x:v>
      </x:c>
      <x:c r="H241" t="str">
        <x:v>PROF-016</x:v>
      </x:c>
      <x:c r="I241" t="n">
        <x:v>2026</x:v>
      </x:c>
      <x:c r="J241" s="24" t="b">
        <x:v>1</x:v>
      </x:c>
    </x:row>
    <x:row r="242">
      <x:c r="A242" t="str">
        <x:v>2026-5A-MUF</x:v>
      </x:c>
      <x:c r="B242" t="str">
        <x:v>MUF</x:v>
      </x:c>
      <x:c r="C242" t="str">
        <x:v>Mundo Físico</x:v>
      </x:c>
      <x:c r="D242" t="str">
        <x:v>CIE</x:v>
      </x:c>
      <x:c r="E242" t="n">
        <x:v>5</x:v>
      </x:c>
      <x:c r="F242" t="str">
        <x:v>A</x:v>
      </x:c>
      <x:c r="G242" t="str">
        <x:v>5A</x:v>
      </x:c>
      <x:c r="H242" t="str">
        <x:v>PROF-016</x:v>
      </x:c>
      <x:c r="I242" t="n">
        <x:v>2026</x:v>
      </x:c>
      <x:c r="J242" s="24" t="b">
        <x:v>1</x:v>
      </x:c>
    </x:row>
    <x:row r="243">
      <x:c r="A243" t="str">
        <x:v>2026-5A-CIU</x:v>
      </x:c>
      <x:c r="B243" t="str">
        <x:v>CIU</x:v>
      </x:c>
      <x:c r="C243" t="str">
        <x:v>Ciudadanía</x:v>
      </x:c>
      <x:c r="D243" t="str">
        <x:v>SOC</x:v>
      </x:c>
      <x:c r="E243" t="n">
        <x:v>5</x:v>
      </x:c>
      <x:c r="F243" t="str">
        <x:v>A</x:v>
      </x:c>
      <x:c r="G243" t="str">
        <x:v>5A</x:v>
      </x:c>
      <x:c r="H243" t="str">
        <x:v>PROF-014</x:v>
      </x:c>
      <x:c r="I243" t="n">
        <x:v>2026</x:v>
      </x:c>
      <x:c r="J243" s="24" t="b">
        <x:v>1</x:v>
      </x:c>
    </x:row>
    <x:row r="244">
      <x:c r="A244" t="str">
        <x:v>2026-5A-GEG</x:v>
      </x:c>
      <x:c r="B244" t="str">
        <x:v>GEG</x:v>
      </x:c>
      <x:c r="C244" t="str">
        <x:v>Geografía</x:v>
      </x:c>
      <x:c r="D244" t="str">
        <x:v>SOC</x:v>
      </x:c>
      <x:c r="E244" t="n">
        <x:v>5</x:v>
      </x:c>
      <x:c r="F244" t="str">
        <x:v>A</x:v>
      </x:c>
      <x:c r="G244" t="str">
        <x:v>5A</x:v>
      </x:c>
      <x:c r="H244" t="str">
        <x:v>PROF-014</x:v>
      </x:c>
      <x:c r="I244" t="n">
        <x:v>2026</x:v>
      </x:c>
      <x:c r="J244" s="24" t="b">
        <x:v>1</x:v>
      </x:c>
    </x:row>
    <x:row r="245">
      <x:c r="A245" t="str">
        <x:v>2026-5A-HIS</x:v>
      </x:c>
      <x:c r="B245" t="str">
        <x:v>HIS</x:v>
      </x:c>
      <x:c r="C245" t="str">
        <x:v>Historia</x:v>
      </x:c>
      <x:c r="D245" t="str">
        <x:v>SOC</x:v>
      </x:c>
      <x:c r="E245" t="n">
        <x:v>5</x:v>
      </x:c>
      <x:c r="F245" t="str">
        <x:v>A</x:v>
      </x:c>
      <x:c r="G245" t="str">
        <x:v>5A</x:v>
      </x:c>
      <x:c r="H245" t="str">
        <x:v>PROF-012</x:v>
      </x:c>
      <x:c r="I245" t="n">
        <x:v>2026</x:v>
      </x:c>
      <x:c r="J245" s="24" t="b">
        <x:v>1</x:v>
      </x:c>
    </x:row>
    <x:row r="246">
      <x:c r="A246" t="str">
        <x:v>2026-5A-REL</x:v>
      </x:c>
      <x:c r="B246" t="str">
        <x:v>REL</x:v>
      </x:c>
      <x:c r="C246" t="str">
        <x:v>Religión</x:v>
      </x:c>
      <x:c r="D246" t="str">
        <x:v>REL</x:v>
      </x:c>
      <x:c r="E246" t="n">
        <x:v>5</x:v>
      </x:c>
      <x:c r="F246" t="str">
        <x:v>A</x:v>
      </x:c>
      <x:c r="G246" t="str">
        <x:v>5A</x:v>
      </x:c>
      <x:c r="H246" t="str">
        <x:v>PROF-022</x:v>
      </x:c>
      <x:c r="I246" t="n">
        <x:v>2026</x:v>
      </x:c>
      <x:c r="J246" s="24" t="b">
        <x:v>1</x:v>
      </x:c>
    </x:row>
    <x:row r="247">
      <x:c r="A247" t="str">
        <x:v>2026-5A-ING</x:v>
      </x:c>
      <x:c r="B247" t="str">
        <x:v>ING</x:v>
      </x:c>
      <x:c r="C247" t="str">
        <x:v>Inglés</x:v>
      </x:c>
      <x:c r="D247" t="str">
        <x:v>IDI</x:v>
      </x:c>
      <x:c r="E247" t="n">
        <x:v>5</x:v>
      </x:c>
      <x:c r="F247" t="str">
        <x:v>A</x:v>
      </x:c>
      <x:c r="G247" t="str">
        <x:v>5A</x:v>
      </x:c>
      <x:c r="H247" t="str">
        <x:v>PROF-020</x:v>
      </x:c>
      <x:c r="I247" t="n">
        <x:v>2026</x:v>
      </x:c>
      <x:c r="J247" s="24" t="b">
        <x:v>1</x:v>
      </x:c>
    </x:row>
    <x:row r="248">
      <x:c r="A248" t="str">
        <x:v>2026-5A-TAL</x:v>
      </x:c>
      <x:c r="B248" t="str">
        <x:v>TAL</x:v>
      </x:c>
      <x:c r="C248" t="str">
        <x:v>Taller</x:v>
      </x:c>
      <x:c r="D248" t="str">
        <x:v>TAL</x:v>
      </x:c>
      <x:c r="E248" t="n">
        <x:v>5</x:v>
      </x:c>
      <x:c r="F248" t="str">
        <x:v>A</x:v>
      </x:c>
      <x:c r="G248" t="str">
        <x:v>5A</x:v>
      </x:c>
      <x:c r="H248" t="str">
        <x:v>PROF-022</x:v>
      </x:c>
      <x:c r="I248" t="n">
        <x:v>2026</x:v>
      </x:c>
      <x:c r="J248" s="24" t="b">
        <x:v>1</x:v>
      </x:c>
    </x:row>
    <x:row r="249">
      <x:c r="A249" t="str">
        <x:v>2026-5A-EDF</x:v>
      </x:c>
      <x:c r="B249" t="str">
        <x:v>EDF</x:v>
      </x:c>
      <x:c r="C249" t="str">
        <x:v>Educación Física</x:v>
      </x:c>
      <x:c r="D249" t="str">
        <x:v>EDF</x:v>
      </x:c>
      <x:c r="E249" t="n">
        <x:v>5</x:v>
      </x:c>
      <x:c r="F249" t="str">
        <x:v>A</x:v>
      </x:c>
      <x:c r="G249" t="str">
        <x:v>5A</x:v>
      </x:c>
      <x:c r="H249" t="str">
        <x:v>PROF-024</x:v>
      </x:c>
      <x:c r="I249" t="n">
        <x:v>2026</x:v>
      </x:c>
      <x:c r="J249" s="24" t="b">
        <x:v>1</x:v>
      </x:c>
    </x:row>
    <x:row r="250">
      <x:c r="A250" t="str">
        <x:v>2026-5B-ARI</x:v>
      </x:c>
      <x:c r="B250" t="str">
        <x:v>ARI</x:v>
      </x:c>
      <x:c r="C250" t="str">
        <x:v>Aritmética</x:v>
      </x:c>
      <x:c r="D250" t="str">
        <x:v>MAT</x:v>
      </x:c>
      <x:c r="E250" t="n">
        <x:v>5</x:v>
      </x:c>
      <x:c r="F250" t="str">
        <x:v>B</x:v>
      </x:c>
      <x:c r="G250" t="str">
        <x:v>5B</x:v>
      </x:c>
      <x:c r="H250" t="str">
        <x:v>PROF-024</x:v>
      </x:c>
      <x:c r="I250" t="n">
        <x:v>2026</x:v>
      </x:c>
      <x:c r="J250" s="24" t="b">
        <x:v>1</x:v>
      </x:c>
    </x:row>
    <x:row r="251">
      <x:c r="A251" t="str">
        <x:v>2026-5B-ALG</x:v>
      </x:c>
      <x:c r="B251" t="str">
        <x:v>ALG</x:v>
      </x:c>
      <x:c r="C251" t="str">
        <x:v>Álgebra</x:v>
      </x:c>
      <x:c r="D251" t="str">
        <x:v>MAT</x:v>
      </x:c>
      <x:c r="E251" t="n">
        <x:v>5</x:v>
      </x:c>
      <x:c r="F251" t="str">
        <x:v>B</x:v>
      </x:c>
      <x:c r="G251" t="str">
        <x:v>5B</x:v>
      </x:c>
      <x:c r="H251" t="str">
        <x:v>PROF-010</x:v>
      </x:c>
      <x:c r="I251" t="n">
        <x:v>2026</x:v>
      </x:c>
      <x:c r="J251" s="24" t="b">
        <x:v>1</x:v>
      </x:c>
    </x:row>
    <x:row r="252">
      <x:c r="A252" t="str">
        <x:v>2026-5B-RZM</x:v>
      </x:c>
      <x:c r="B252" t="str">
        <x:v>RZM</x:v>
      </x:c>
      <x:c r="C252" t="str">
        <x:v>Razonamiento Matemático</x:v>
      </x:c>
      <x:c r="D252" t="str">
        <x:v>MAT</x:v>
      </x:c>
      <x:c r="E252" t="n">
        <x:v>5</x:v>
      </x:c>
      <x:c r="F252" t="str">
        <x:v>B</x:v>
      </x:c>
      <x:c r="G252" t="str">
        <x:v>5B</x:v>
      </x:c>
      <x:c r="H252" t="str">
        <x:v>PROF-010</x:v>
      </x:c>
      <x:c r="I252" t="n">
        <x:v>2026</x:v>
      </x:c>
      <x:c r="J252" s="24" t="b">
        <x:v>1</x:v>
      </x:c>
    </x:row>
    <x:row r="253">
      <x:c r="A253" t="str">
        <x:v>2026-5B-GEO</x:v>
      </x:c>
      <x:c r="B253" t="str">
        <x:v>GEO</x:v>
      </x:c>
      <x:c r="C253" t="str">
        <x:v>Geometría</x:v>
      </x:c>
      <x:c r="D253" t="str">
        <x:v>MAT</x:v>
      </x:c>
      <x:c r="E253" t="n">
        <x:v>5</x:v>
      </x:c>
      <x:c r="F253" t="str">
        <x:v>B</x:v>
      </x:c>
      <x:c r="G253" t="str">
        <x:v>5B</x:v>
      </x:c>
      <x:c r="H253" t="str">
        <x:v>PROF-012</x:v>
      </x:c>
      <x:c r="I253" t="n">
        <x:v>2026</x:v>
      </x:c>
      <x:c r="J253" s="24" t="b">
        <x:v>1</x:v>
      </x:c>
    </x:row>
    <x:row r="254">
      <x:c r="A254" t="str">
        <x:v>2026-5B-PDT</x:v>
      </x:c>
      <x:c r="B254" t="str">
        <x:v>PDT</x:v>
      </x:c>
      <x:c r="C254" t="str">
        <x:v>Producción de Textos</x:v>
      </x:c>
      <x:c r="D254" t="str">
        <x:v>COM</x:v>
      </x:c>
      <x:c r="E254" t="n">
        <x:v>5</x:v>
      </x:c>
      <x:c r="F254" t="str">
        <x:v>B</x:v>
      </x:c>
      <x:c r="G254" t="str">
        <x:v>5B</x:v>
      </x:c>
      <x:c r="H254" t="str">
        <x:v>PROF-018</x:v>
      </x:c>
      <x:c r="I254" t="n">
        <x:v>2026</x:v>
      </x:c>
      <x:c r="J254" s="24" t="b">
        <x:v>1</x:v>
      </x:c>
    </x:row>
    <x:row r="255">
      <x:c r="A255" t="str">
        <x:v>2026-5B-GRA</x:v>
      </x:c>
      <x:c r="B255" t="str">
        <x:v>GRA</x:v>
      </x:c>
      <x:c r="C255" t="str">
        <x:v>Gramática</x:v>
      </x:c>
      <x:c r="D255" t="str">
        <x:v>COM</x:v>
      </x:c>
      <x:c r="E255" t="n">
        <x:v>5</x:v>
      </x:c>
      <x:c r="F255" t="str">
        <x:v>B</x:v>
      </x:c>
      <x:c r="G255" t="str">
        <x:v>5B</x:v>
      </x:c>
      <x:c r="H255" t="str">
        <x:v>PROF-018</x:v>
      </x:c>
      <x:c r="I255" t="n">
        <x:v>2026</x:v>
      </x:c>
      <x:c r="J255" s="24" t="b">
        <x:v>1</x:v>
      </x:c>
    </x:row>
    <x:row r="256">
      <x:c r="A256" t="str">
        <x:v>2026-5B-RZV</x:v>
      </x:c>
      <x:c r="B256" t="str">
        <x:v>RZV</x:v>
      </x:c>
      <x:c r="C256" t="str">
        <x:v>Razonamiento Verbal</x:v>
      </x:c>
      <x:c r="D256" t="str">
        <x:v>COM</x:v>
      </x:c>
      <x:c r="E256" t="n">
        <x:v>5</x:v>
      </x:c>
      <x:c r="F256" t="str">
        <x:v>B</x:v>
      </x:c>
      <x:c r="G256" t="str">
        <x:v>5B</x:v>
      </x:c>
      <x:c r="H256" t="str">
        <x:v>PROF-020</x:v>
      </x:c>
      <x:c r="I256" t="n">
        <x:v>2026</x:v>
      </x:c>
      <x:c r="J256" s="24" t="b">
        <x:v>1</x:v>
      </x:c>
    </x:row>
    <x:row r="257">
      <x:c r="A257" t="str">
        <x:v>2026-5B-CUH</x:v>
      </x:c>
      <x:c r="B257" t="str">
        <x:v>CUH</x:v>
      </x:c>
      <x:c r="C257" t="str">
        <x:v>Cuerpo Humano</x:v>
      </x:c>
      <x:c r="D257" t="str">
        <x:v>CIE</x:v>
      </x:c>
      <x:c r="E257" t="n">
        <x:v>5</x:v>
      </x:c>
      <x:c r="F257" t="str">
        <x:v>B</x:v>
      </x:c>
      <x:c r="G257" t="str">
        <x:v>5B</x:v>
      </x:c>
      <x:c r="H257" t="str">
        <x:v>PROF-016</x:v>
      </x:c>
      <x:c r="I257" t="n">
        <x:v>2026</x:v>
      </x:c>
      <x:c r="J257" s="24" t="b">
        <x:v>1</x:v>
      </x:c>
    </x:row>
    <x:row r="258">
      <x:c r="A258" t="str">
        <x:v>2026-5B-MUF</x:v>
      </x:c>
      <x:c r="B258" t="str">
        <x:v>MUF</x:v>
      </x:c>
      <x:c r="C258" t="str">
        <x:v>Mundo Físico</x:v>
      </x:c>
      <x:c r="D258" t="str">
        <x:v>CIE</x:v>
      </x:c>
      <x:c r="E258" t="n">
        <x:v>5</x:v>
      </x:c>
      <x:c r="F258" t="str">
        <x:v>B</x:v>
      </x:c>
      <x:c r="G258" t="str">
        <x:v>5B</x:v>
      </x:c>
      <x:c r="H258" t="str">
        <x:v>PROF-016</x:v>
      </x:c>
      <x:c r="I258" t="n">
        <x:v>2026</x:v>
      </x:c>
      <x:c r="J258" s="24" t="b">
        <x:v>1</x:v>
      </x:c>
    </x:row>
    <x:row r="259">
      <x:c r="A259" t="str">
        <x:v>2026-5B-CIU</x:v>
      </x:c>
      <x:c r="B259" t="str">
        <x:v>CIU</x:v>
      </x:c>
      <x:c r="C259" t="str">
        <x:v>Ciudadanía</x:v>
      </x:c>
      <x:c r="D259" t="str">
        <x:v>SOC</x:v>
      </x:c>
      <x:c r="E259" t="n">
        <x:v>5</x:v>
      </x:c>
      <x:c r="F259" t="str">
        <x:v>B</x:v>
      </x:c>
      <x:c r="G259" t="str">
        <x:v>5B</x:v>
      </x:c>
      <x:c r="H259" t="str">
        <x:v>PROF-014</x:v>
      </x:c>
      <x:c r="I259" t="n">
        <x:v>2026</x:v>
      </x:c>
      <x:c r="J259" s="24" t="b">
        <x:v>1</x:v>
      </x:c>
    </x:row>
    <x:row r="260">
      <x:c r="A260" t="str">
        <x:v>2026-5B-GEG</x:v>
      </x:c>
      <x:c r="B260" t="str">
        <x:v>GEG</x:v>
      </x:c>
      <x:c r="C260" t="str">
        <x:v>Geografía</x:v>
      </x:c>
      <x:c r="D260" t="str">
        <x:v>SOC</x:v>
      </x:c>
      <x:c r="E260" t="n">
        <x:v>5</x:v>
      </x:c>
      <x:c r="F260" t="str">
        <x:v>B</x:v>
      </x:c>
      <x:c r="G260" t="str">
        <x:v>5B</x:v>
      </x:c>
      <x:c r="H260" t="str">
        <x:v>PROF-014</x:v>
      </x:c>
      <x:c r="I260" t="n">
        <x:v>2026</x:v>
      </x:c>
      <x:c r="J260" s="24" t="b">
        <x:v>1</x:v>
      </x:c>
    </x:row>
    <x:row r="261">
      <x:c r="A261" t="str">
        <x:v>2026-5B-HIS</x:v>
      </x:c>
      <x:c r="B261" t="str">
        <x:v>HIS</x:v>
      </x:c>
      <x:c r="C261" t="str">
        <x:v>Historia</x:v>
      </x:c>
      <x:c r="D261" t="str">
        <x:v>SOC</x:v>
      </x:c>
      <x:c r="E261" t="n">
        <x:v>5</x:v>
      </x:c>
      <x:c r="F261" t="str">
        <x:v>B</x:v>
      </x:c>
      <x:c r="G261" t="str">
        <x:v>5B</x:v>
      </x:c>
      <x:c r="H261" t="str">
        <x:v>PROF-012</x:v>
      </x:c>
      <x:c r="I261" t="n">
        <x:v>2026</x:v>
      </x:c>
      <x:c r="J261" s="24" t="b">
        <x:v>1</x:v>
      </x:c>
    </x:row>
    <x:row r="262">
      <x:c r="A262" t="str">
        <x:v>2026-5B-REL</x:v>
      </x:c>
      <x:c r="B262" t="str">
        <x:v>REL</x:v>
      </x:c>
      <x:c r="C262" t="str">
        <x:v>Religión</x:v>
      </x:c>
      <x:c r="D262" t="str">
        <x:v>REL</x:v>
      </x:c>
      <x:c r="E262" t="n">
        <x:v>5</x:v>
      </x:c>
      <x:c r="F262" t="str">
        <x:v>B</x:v>
      </x:c>
      <x:c r="G262" t="str">
        <x:v>5B</x:v>
      </x:c>
      <x:c r="H262" t="str">
        <x:v>PROF-022</x:v>
      </x:c>
      <x:c r="I262" t="n">
        <x:v>2026</x:v>
      </x:c>
      <x:c r="J262" s="24" t="b">
        <x:v>1</x:v>
      </x:c>
    </x:row>
    <x:row r="263">
      <x:c r="A263" t="str">
        <x:v>2026-5B-ING</x:v>
      </x:c>
      <x:c r="B263" t="str">
        <x:v>ING</x:v>
      </x:c>
      <x:c r="C263" t="str">
        <x:v>Inglés</x:v>
      </x:c>
      <x:c r="D263" t="str">
        <x:v>IDI</x:v>
      </x:c>
      <x:c r="E263" t="n">
        <x:v>5</x:v>
      </x:c>
      <x:c r="F263" t="str">
        <x:v>B</x:v>
      </x:c>
      <x:c r="G263" t="str">
        <x:v>5B</x:v>
      </x:c>
      <x:c r="H263" t="str">
        <x:v>PROF-020</x:v>
      </x:c>
      <x:c r="I263" t="n">
        <x:v>2026</x:v>
      </x:c>
      <x:c r="J263" s="24" t="b">
        <x:v>1</x:v>
      </x:c>
    </x:row>
    <x:row r="264">
      <x:c r="A264" t="str">
        <x:v>2026-5B-TAL</x:v>
      </x:c>
      <x:c r="B264" t="str">
        <x:v>TAL</x:v>
      </x:c>
      <x:c r="C264" t="str">
        <x:v>Taller</x:v>
      </x:c>
      <x:c r="D264" t="str">
        <x:v>TAL</x:v>
      </x:c>
      <x:c r="E264" t="n">
        <x:v>5</x:v>
      </x:c>
      <x:c r="F264" t="str">
        <x:v>B</x:v>
      </x:c>
      <x:c r="G264" t="str">
        <x:v>5B</x:v>
      </x:c>
      <x:c r="H264" t="str">
        <x:v>PROF-022</x:v>
      </x:c>
      <x:c r="I264" t="n">
        <x:v>2026</x:v>
      </x:c>
      <x:c r="J264" s="24" t="b">
        <x:v>1</x:v>
      </x:c>
    </x:row>
    <x:row r="265">
      <x:c r="A265" t="str">
        <x:v>2026-5B-EDF</x:v>
      </x:c>
      <x:c r="B265" t="str">
        <x:v>EDF</x:v>
      </x:c>
      <x:c r="C265" t="str">
        <x:v>Educación Física</x:v>
      </x:c>
      <x:c r="D265" t="str">
        <x:v>EDF</x:v>
      </x:c>
      <x:c r="E265" t="n">
        <x:v>5</x:v>
      </x:c>
      <x:c r="F265" t="str">
        <x:v>B</x:v>
      </x:c>
      <x:c r="G265" t="str">
        <x:v>5B</x:v>
      </x:c>
      <x:c r="H265" t="str">
        <x:v>PROF-024</x:v>
      </x:c>
      <x:c r="I265" t="n">
        <x:v>2026</x:v>
      </x:c>
      <x:c r="J265" s="24" t="b">
        <x:v>1</x:v>
      </x:c>
    </x:row>
    <x:row r="266">
      <x:c r="A266" t="str">
        <x:v>2026-5C-ARI</x:v>
      </x:c>
      <x:c r="B266" t="str">
        <x:v>ARI</x:v>
      </x:c>
      <x:c r="C266" t="str">
        <x:v>Aritmética</x:v>
      </x:c>
      <x:c r="D266" t="str">
        <x:v>MAT</x:v>
      </x:c>
      <x:c r="E266" t="n">
        <x:v>5</x:v>
      </x:c>
      <x:c r="F266" t="str">
        <x:v>C</x:v>
      </x:c>
      <x:c r="G266" t="str">
        <x:v>5C</x:v>
      </x:c>
      <x:c r="H266" t="str">
        <x:v>PROF-024</x:v>
      </x:c>
      <x:c r="I266" t="n">
        <x:v>2026</x:v>
      </x:c>
      <x:c r="J266" s="24" t="b">
        <x:v>1</x:v>
      </x:c>
    </x:row>
    <x:row r="267">
      <x:c r="A267" t="str">
        <x:v>2026-5C-ALG</x:v>
      </x:c>
      <x:c r="B267" t="str">
        <x:v>ALG</x:v>
      </x:c>
      <x:c r="C267" t="str">
        <x:v>Álgebra</x:v>
      </x:c>
      <x:c r="D267" t="str">
        <x:v>MAT</x:v>
      </x:c>
      <x:c r="E267" t="n">
        <x:v>5</x:v>
      </x:c>
      <x:c r="F267" t="str">
        <x:v>C</x:v>
      </x:c>
      <x:c r="G267" t="str">
        <x:v>5C</x:v>
      </x:c>
      <x:c r="H267" t="str">
        <x:v>PROF-010</x:v>
      </x:c>
      <x:c r="I267" t="n">
        <x:v>2026</x:v>
      </x:c>
      <x:c r="J267" s="24" t="b">
        <x:v>1</x:v>
      </x:c>
    </x:row>
    <x:row r="268">
      <x:c r="A268" t="str">
        <x:v>2026-5C-RZM</x:v>
      </x:c>
      <x:c r="B268" t="str">
        <x:v>RZM</x:v>
      </x:c>
      <x:c r="C268" t="str">
        <x:v>Razonamiento Matemático</x:v>
      </x:c>
      <x:c r="D268" t="str">
        <x:v>MAT</x:v>
      </x:c>
      <x:c r="E268" t="n">
        <x:v>5</x:v>
      </x:c>
      <x:c r="F268" t="str">
        <x:v>C</x:v>
      </x:c>
      <x:c r="G268" t="str">
        <x:v>5C</x:v>
      </x:c>
      <x:c r="H268" t="str">
        <x:v>PROF-010</x:v>
      </x:c>
      <x:c r="I268" t="n">
        <x:v>2026</x:v>
      </x:c>
      <x:c r="J268" s="24" t="b">
        <x:v>1</x:v>
      </x:c>
    </x:row>
    <x:row r="269">
      <x:c r="A269" t="str">
        <x:v>2026-5C-GEO</x:v>
      </x:c>
      <x:c r="B269" t="str">
        <x:v>GEO</x:v>
      </x:c>
      <x:c r="C269" t="str">
        <x:v>Geometría</x:v>
      </x:c>
      <x:c r="D269" t="str">
        <x:v>MAT</x:v>
      </x:c>
      <x:c r="E269" t="n">
        <x:v>5</x:v>
      </x:c>
      <x:c r="F269" t="str">
        <x:v>C</x:v>
      </x:c>
      <x:c r="G269" t="str">
        <x:v>5C</x:v>
      </x:c>
      <x:c r="H269" t="str">
        <x:v>PROF-012</x:v>
      </x:c>
      <x:c r="I269" t="n">
        <x:v>2026</x:v>
      </x:c>
      <x:c r="J269" s="24" t="b">
        <x:v>1</x:v>
      </x:c>
    </x:row>
    <x:row r="270">
      <x:c r="A270" t="str">
        <x:v>2026-5C-PDT</x:v>
      </x:c>
      <x:c r="B270" t="str">
        <x:v>PDT</x:v>
      </x:c>
      <x:c r="C270" t="str">
        <x:v>Producción de Textos</x:v>
      </x:c>
      <x:c r="D270" t="str">
        <x:v>COM</x:v>
      </x:c>
      <x:c r="E270" t="n">
        <x:v>5</x:v>
      </x:c>
      <x:c r="F270" t="str">
        <x:v>C</x:v>
      </x:c>
      <x:c r="G270" t="str">
        <x:v>5C</x:v>
      </x:c>
      <x:c r="H270" t="str">
        <x:v>PROF-018</x:v>
      </x:c>
      <x:c r="I270" t="n">
        <x:v>2026</x:v>
      </x:c>
      <x:c r="J270" s="24" t="b">
        <x:v>1</x:v>
      </x:c>
    </x:row>
    <x:row r="271">
      <x:c r="A271" t="str">
        <x:v>2026-5C-GRA</x:v>
      </x:c>
      <x:c r="B271" t="str">
        <x:v>GRA</x:v>
      </x:c>
      <x:c r="C271" t="str">
        <x:v>Gramática</x:v>
      </x:c>
      <x:c r="D271" t="str">
        <x:v>COM</x:v>
      </x:c>
      <x:c r="E271" t="n">
        <x:v>5</x:v>
      </x:c>
      <x:c r="F271" t="str">
        <x:v>C</x:v>
      </x:c>
      <x:c r="G271" t="str">
        <x:v>5C</x:v>
      </x:c>
      <x:c r="H271" t="str">
        <x:v>PROF-018</x:v>
      </x:c>
      <x:c r="I271" t="n">
        <x:v>2026</x:v>
      </x:c>
      <x:c r="J271" s="24" t="b">
        <x:v>1</x:v>
      </x:c>
    </x:row>
    <x:row r="272">
      <x:c r="A272" t="str">
        <x:v>2026-5C-RZV</x:v>
      </x:c>
      <x:c r="B272" t="str">
        <x:v>RZV</x:v>
      </x:c>
      <x:c r="C272" t="str">
        <x:v>Razonamiento Verbal</x:v>
      </x:c>
      <x:c r="D272" t="str">
        <x:v>COM</x:v>
      </x:c>
      <x:c r="E272" t="n">
        <x:v>5</x:v>
      </x:c>
      <x:c r="F272" t="str">
        <x:v>C</x:v>
      </x:c>
      <x:c r="G272" t="str">
        <x:v>5C</x:v>
      </x:c>
      <x:c r="H272" t="str">
        <x:v>PROF-020</x:v>
      </x:c>
      <x:c r="I272" t="n">
        <x:v>2026</x:v>
      </x:c>
      <x:c r="J272" s="24" t="b">
        <x:v>1</x:v>
      </x:c>
    </x:row>
    <x:row r="273">
      <x:c r="A273" t="str">
        <x:v>2026-5C-CUH</x:v>
      </x:c>
      <x:c r="B273" t="str">
        <x:v>CUH</x:v>
      </x:c>
      <x:c r="C273" t="str">
        <x:v>Cuerpo Humano</x:v>
      </x:c>
      <x:c r="D273" t="str">
        <x:v>CIE</x:v>
      </x:c>
      <x:c r="E273" t="n">
        <x:v>5</x:v>
      </x:c>
      <x:c r="F273" t="str">
        <x:v>C</x:v>
      </x:c>
      <x:c r="G273" t="str">
        <x:v>5C</x:v>
      </x:c>
      <x:c r="H273" t="str">
        <x:v>PROF-016</x:v>
      </x:c>
      <x:c r="I273" t="n">
        <x:v>2026</x:v>
      </x:c>
      <x:c r="J273" s="24" t="b">
        <x:v>1</x:v>
      </x:c>
    </x:row>
    <x:row r="274">
      <x:c r="A274" t="str">
        <x:v>2026-5C-MUF</x:v>
      </x:c>
      <x:c r="B274" t="str">
        <x:v>MUF</x:v>
      </x:c>
      <x:c r="C274" t="str">
        <x:v>Mundo Físico</x:v>
      </x:c>
      <x:c r="D274" t="str">
        <x:v>CIE</x:v>
      </x:c>
      <x:c r="E274" t="n">
        <x:v>5</x:v>
      </x:c>
      <x:c r="F274" t="str">
        <x:v>C</x:v>
      </x:c>
      <x:c r="G274" t="str">
        <x:v>5C</x:v>
      </x:c>
      <x:c r="H274" t="str">
        <x:v>PROF-016</x:v>
      </x:c>
      <x:c r="I274" t="n">
        <x:v>2026</x:v>
      </x:c>
      <x:c r="J274" s="24" t="b">
        <x:v>1</x:v>
      </x:c>
    </x:row>
    <x:row r="275">
      <x:c r="A275" t="str">
        <x:v>2026-5C-CIU</x:v>
      </x:c>
      <x:c r="B275" t="str">
        <x:v>CIU</x:v>
      </x:c>
      <x:c r="C275" t="str">
        <x:v>Ciudadanía</x:v>
      </x:c>
      <x:c r="D275" t="str">
        <x:v>SOC</x:v>
      </x:c>
      <x:c r="E275" t="n">
        <x:v>5</x:v>
      </x:c>
      <x:c r="F275" t="str">
        <x:v>C</x:v>
      </x:c>
      <x:c r="G275" t="str">
        <x:v>5C</x:v>
      </x:c>
      <x:c r="H275" t="str">
        <x:v>PROF-014</x:v>
      </x:c>
      <x:c r="I275" t="n">
        <x:v>2026</x:v>
      </x:c>
      <x:c r="J275" s="24" t="b">
        <x:v>1</x:v>
      </x:c>
    </x:row>
    <x:row r="276">
      <x:c r="A276" t="str">
        <x:v>2026-5C-GEG</x:v>
      </x:c>
      <x:c r="B276" t="str">
        <x:v>GEG</x:v>
      </x:c>
      <x:c r="C276" t="str">
        <x:v>Geografía</x:v>
      </x:c>
      <x:c r="D276" t="str">
        <x:v>SOC</x:v>
      </x:c>
      <x:c r="E276" t="n">
        <x:v>5</x:v>
      </x:c>
      <x:c r="F276" t="str">
        <x:v>C</x:v>
      </x:c>
      <x:c r="G276" t="str">
        <x:v>5C</x:v>
      </x:c>
      <x:c r="H276" t="str">
        <x:v>PROF-014</x:v>
      </x:c>
      <x:c r="I276" t="n">
        <x:v>2026</x:v>
      </x:c>
      <x:c r="J276" s="24" t="b">
        <x:v>1</x:v>
      </x:c>
    </x:row>
    <x:row r="277">
      <x:c r="A277" t="str">
        <x:v>2026-5C-HIS</x:v>
      </x:c>
      <x:c r="B277" t="str">
        <x:v>HIS</x:v>
      </x:c>
      <x:c r="C277" t="str">
        <x:v>Historia</x:v>
      </x:c>
      <x:c r="D277" t="str">
        <x:v>SOC</x:v>
      </x:c>
      <x:c r="E277" t="n">
        <x:v>5</x:v>
      </x:c>
      <x:c r="F277" t="str">
        <x:v>C</x:v>
      </x:c>
      <x:c r="G277" t="str">
        <x:v>5C</x:v>
      </x:c>
      <x:c r="H277" t="str">
        <x:v>PROF-012</x:v>
      </x:c>
      <x:c r="I277" t="n">
        <x:v>2026</x:v>
      </x:c>
      <x:c r="J277" s="24" t="b">
        <x:v>1</x:v>
      </x:c>
    </x:row>
    <x:row r="278">
      <x:c r="A278" t="str">
        <x:v>2026-5C-REL</x:v>
      </x:c>
      <x:c r="B278" t="str">
        <x:v>REL</x:v>
      </x:c>
      <x:c r="C278" t="str">
        <x:v>Religión</x:v>
      </x:c>
      <x:c r="D278" t="str">
        <x:v>REL</x:v>
      </x:c>
      <x:c r="E278" t="n">
        <x:v>5</x:v>
      </x:c>
      <x:c r="F278" t="str">
        <x:v>C</x:v>
      </x:c>
      <x:c r="G278" t="str">
        <x:v>5C</x:v>
      </x:c>
      <x:c r="H278" t="str">
        <x:v>PROF-022</x:v>
      </x:c>
      <x:c r="I278" t="n">
        <x:v>2026</x:v>
      </x:c>
      <x:c r="J278" s="24" t="b">
        <x:v>1</x:v>
      </x:c>
    </x:row>
    <x:row r="279">
      <x:c r="A279" t="str">
        <x:v>2026-5C-ING</x:v>
      </x:c>
      <x:c r="B279" t="str">
        <x:v>ING</x:v>
      </x:c>
      <x:c r="C279" t="str">
        <x:v>Inglés</x:v>
      </x:c>
      <x:c r="D279" t="str">
        <x:v>IDI</x:v>
      </x:c>
      <x:c r="E279" t="n">
        <x:v>5</x:v>
      </x:c>
      <x:c r="F279" t="str">
        <x:v>C</x:v>
      </x:c>
      <x:c r="G279" t="str">
        <x:v>5C</x:v>
      </x:c>
      <x:c r="H279" t="str">
        <x:v>PROF-020</x:v>
      </x:c>
      <x:c r="I279" t="n">
        <x:v>2026</x:v>
      </x:c>
      <x:c r="J279" s="24" t="b">
        <x:v>1</x:v>
      </x:c>
    </x:row>
    <x:row r="280">
      <x:c r="A280" t="str">
        <x:v>2026-5C-TAL</x:v>
      </x:c>
      <x:c r="B280" t="str">
        <x:v>TAL</x:v>
      </x:c>
      <x:c r="C280" t="str">
        <x:v>Taller</x:v>
      </x:c>
      <x:c r="D280" t="str">
        <x:v>TAL</x:v>
      </x:c>
      <x:c r="E280" t="n">
        <x:v>5</x:v>
      </x:c>
      <x:c r="F280" t="str">
        <x:v>C</x:v>
      </x:c>
      <x:c r="G280" t="str">
        <x:v>5C</x:v>
      </x:c>
      <x:c r="H280" t="str">
        <x:v>PROF-022</x:v>
      </x:c>
      <x:c r="I280" t="n">
        <x:v>2026</x:v>
      </x:c>
      <x:c r="J280" s="24" t="b">
        <x:v>1</x:v>
      </x:c>
    </x:row>
    <x:row r="281">
      <x:c r="A281" t="str">
        <x:v>2026-5C-EDF</x:v>
      </x:c>
      <x:c r="B281" t="str">
        <x:v>EDF</x:v>
      </x:c>
      <x:c r="C281" t="str">
        <x:v>Educación Física</x:v>
      </x:c>
      <x:c r="D281" t="str">
        <x:v>EDF</x:v>
      </x:c>
      <x:c r="E281" t="n">
        <x:v>5</x:v>
      </x:c>
      <x:c r="F281" t="str">
        <x:v>C</x:v>
      </x:c>
      <x:c r="G281" t="str">
        <x:v>5C</x:v>
      </x:c>
      <x:c r="H281" t="str">
        <x:v>PROF-024</x:v>
      </x:c>
      <x:c r="I281" t="n">
        <x:v>2026</x:v>
      </x:c>
      <x:c r="J281" s="24" t="b">
        <x:v>1</x:v>
      </x:c>
    </x:row>
    <x:row r="282">
      <x:c r="A282" t="str">
        <x:v>2026-6A-ARI</x:v>
      </x:c>
      <x:c r="B282" t="str">
        <x:v>ARI</x:v>
      </x:c>
      <x:c r="C282" t="str">
        <x:v>Aritmética</x:v>
      </x:c>
      <x:c r="D282" t="str">
        <x:v>MAT</x:v>
      </x:c>
      <x:c r="E282" t="n">
        <x:v>6</x:v>
      </x:c>
      <x:c r="F282" t="str">
        <x:v>A</x:v>
      </x:c>
      <x:c r="G282" t="str">
        <x:v>6A</x:v>
      </x:c>
      <x:c r="H282" t="str">
        <x:v>PROF-024</x:v>
      </x:c>
      <x:c r="I282" t="n">
        <x:v>2026</x:v>
      </x:c>
      <x:c r="J282" s="24" t="b">
        <x:v>1</x:v>
      </x:c>
    </x:row>
    <x:row r="283">
      <x:c r="A283" t="str">
        <x:v>2026-6A-ALG</x:v>
      </x:c>
      <x:c r="B283" t="str">
        <x:v>ALG</x:v>
      </x:c>
      <x:c r="C283" t="str">
        <x:v>Álgebra</x:v>
      </x:c>
      <x:c r="D283" t="str">
        <x:v>MAT</x:v>
      </x:c>
      <x:c r="E283" t="n">
        <x:v>6</x:v>
      </x:c>
      <x:c r="F283" t="str">
        <x:v>A</x:v>
      </x:c>
      <x:c r="G283" t="str">
        <x:v>6A</x:v>
      </x:c>
      <x:c r="H283" t="str">
        <x:v>PROF-010</x:v>
      </x:c>
      <x:c r="I283" t="n">
        <x:v>2026</x:v>
      </x:c>
      <x:c r="J283" s="24" t="b">
        <x:v>1</x:v>
      </x:c>
    </x:row>
    <x:row r="284">
      <x:c r="A284" t="str">
        <x:v>2026-6A-RZM</x:v>
      </x:c>
      <x:c r="B284" t="str">
        <x:v>RZM</x:v>
      </x:c>
      <x:c r="C284" t="str">
        <x:v>Razonamiento Matemático</x:v>
      </x:c>
      <x:c r="D284" t="str">
        <x:v>MAT</x:v>
      </x:c>
      <x:c r="E284" t="n">
        <x:v>6</x:v>
      </x:c>
      <x:c r="F284" t="str">
        <x:v>A</x:v>
      </x:c>
      <x:c r="G284" t="str">
        <x:v>6A</x:v>
      </x:c>
      <x:c r="H284" t="str">
        <x:v>PROF-010</x:v>
      </x:c>
      <x:c r="I284" t="n">
        <x:v>2026</x:v>
      </x:c>
      <x:c r="J284" s="24" t="b">
        <x:v>1</x:v>
      </x:c>
    </x:row>
    <x:row r="285">
      <x:c r="A285" t="str">
        <x:v>2026-6A-GEO</x:v>
      </x:c>
      <x:c r="B285" t="str">
        <x:v>GEO</x:v>
      </x:c>
      <x:c r="C285" t="str">
        <x:v>Geometría</x:v>
      </x:c>
      <x:c r="D285" t="str">
        <x:v>MAT</x:v>
      </x:c>
      <x:c r="E285" t="n">
        <x:v>6</x:v>
      </x:c>
      <x:c r="F285" t="str">
        <x:v>A</x:v>
      </x:c>
      <x:c r="G285" t="str">
        <x:v>6A</x:v>
      </x:c>
      <x:c r="H285" t="str">
        <x:v>PROF-012</x:v>
      </x:c>
      <x:c r="I285" t="n">
        <x:v>2026</x:v>
      </x:c>
      <x:c r="J285" s="24" t="b">
        <x:v>1</x:v>
      </x:c>
    </x:row>
    <x:row r="286">
      <x:c r="A286" t="str">
        <x:v>2026-6A-PDT</x:v>
      </x:c>
      <x:c r="B286" t="str">
        <x:v>PDT</x:v>
      </x:c>
      <x:c r="C286" t="str">
        <x:v>Producción de Textos</x:v>
      </x:c>
      <x:c r="D286" t="str">
        <x:v>COM</x:v>
      </x:c>
      <x:c r="E286" t="n">
        <x:v>6</x:v>
      </x:c>
      <x:c r="F286" t="str">
        <x:v>A</x:v>
      </x:c>
      <x:c r="G286" t="str">
        <x:v>6A</x:v>
      </x:c>
      <x:c r="H286" t="str">
        <x:v>PROF-018</x:v>
      </x:c>
      <x:c r="I286" t="n">
        <x:v>2026</x:v>
      </x:c>
      <x:c r="J286" s="24" t="b">
        <x:v>1</x:v>
      </x:c>
    </x:row>
    <x:row r="287">
      <x:c r="A287" t="str">
        <x:v>2026-6A-GRA</x:v>
      </x:c>
      <x:c r="B287" t="str">
        <x:v>GRA</x:v>
      </x:c>
      <x:c r="C287" t="str">
        <x:v>Gramática</x:v>
      </x:c>
      <x:c r="D287" t="str">
        <x:v>COM</x:v>
      </x:c>
      <x:c r="E287" t="n">
        <x:v>6</x:v>
      </x:c>
      <x:c r="F287" t="str">
        <x:v>A</x:v>
      </x:c>
      <x:c r="G287" t="str">
        <x:v>6A</x:v>
      </x:c>
      <x:c r="H287" t="str">
        <x:v>PROF-018</x:v>
      </x:c>
      <x:c r="I287" t="n">
        <x:v>2026</x:v>
      </x:c>
      <x:c r="J287" s="24" t="b">
        <x:v>1</x:v>
      </x:c>
    </x:row>
    <x:row r="288">
      <x:c r="A288" t="str">
        <x:v>2026-6A-RZV</x:v>
      </x:c>
      <x:c r="B288" t="str">
        <x:v>RZV</x:v>
      </x:c>
      <x:c r="C288" t="str">
        <x:v>Razonamiento Verbal</x:v>
      </x:c>
      <x:c r="D288" t="str">
        <x:v>COM</x:v>
      </x:c>
      <x:c r="E288" t="n">
        <x:v>6</x:v>
      </x:c>
      <x:c r="F288" t="str">
        <x:v>A</x:v>
      </x:c>
      <x:c r="G288" t="str">
        <x:v>6A</x:v>
      </x:c>
      <x:c r="H288" t="str">
        <x:v>PROF-020</x:v>
      </x:c>
      <x:c r="I288" t="n">
        <x:v>2026</x:v>
      </x:c>
      <x:c r="J288" s="24" t="b">
        <x:v>1</x:v>
      </x:c>
    </x:row>
    <x:row r="289">
      <x:c r="A289" t="str">
        <x:v>2026-6A-CUH</x:v>
      </x:c>
      <x:c r="B289" t="str">
        <x:v>CUH</x:v>
      </x:c>
      <x:c r="C289" t="str">
        <x:v>Cuerpo Humano</x:v>
      </x:c>
      <x:c r="D289" t="str">
        <x:v>CIE</x:v>
      </x:c>
      <x:c r="E289" t="n">
        <x:v>6</x:v>
      </x:c>
      <x:c r="F289" t="str">
        <x:v>A</x:v>
      </x:c>
      <x:c r="G289" t="str">
        <x:v>6A</x:v>
      </x:c>
      <x:c r="H289" t="str">
        <x:v>PROF-016</x:v>
      </x:c>
      <x:c r="I289" t="n">
        <x:v>2026</x:v>
      </x:c>
      <x:c r="J289" s="24" t="b">
        <x:v>1</x:v>
      </x:c>
    </x:row>
    <x:row r="290">
      <x:c r="A290" t="str">
        <x:v>2026-6A-MUF</x:v>
      </x:c>
      <x:c r="B290" t="str">
        <x:v>MUF</x:v>
      </x:c>
      <x:c r="C290" t="str">
        <x:v>Mundo Físico</x:v>
      </x:c>
      <x:c r="D290" t="str">
        <x:v>CIE</x:v>
      </x:c>
      <x:c r="E290" t="n">
        <x:v>6</x:v>
      </x:c>
      <x:c r="F290" t="str">
        <x:v>A</x:v>
      </x:c>
      <x:c r="G290" t="str">
        <x:v>6A</x:v>
      </x:c>
      <x:c r="H290" t="str">
        <x:v>PROF-016</x:v>
      </x:c>
      <x:c r="I290" t="n">
        <x:v>2026</x:v>
      </x:c>
      <x:c r="J290" s="24" t="b">
        <x:v>1</x:v>
      </x:c>
    </x:row>
    <x:row r="291">
      <x:c r="A291" t="str">
        <x:v>2026-6A-CIU</x:v>
      </x:c>
      <x:c r="B291" t="str">
        <x:v>CIU</x:v>
      </x:c>
      <x:c r="C291" t="str">
        <x:v>Ciudadanía</x:v>
      </x:c>
      <x:c r="D291" t="str">
        <x:v>SOC</x:v>
      </x:c>
      <x:c r="E291" t="n">
        <x:v>6</x:v>
      </x:c>
      <x:c r="F291" t="str">
        <x:v>A</x:v>
      </x:c>
      <x:c r="G291" t="str">
        <x:v>6A</x:v>
      </x:c>
      <x:c r="H291" t="str">
        <x:v>PROF-014</x:v>
      </x:c>
      <x:c r="I291" t="n">
        <x:v>2026</x:v>
      </x:c>
      <x:c r="J291" s="24" t="b">
        <x:v>1</x:v>
      </x:c>
    </x:row>
    <x:row r="292">
      <x:c r="A292" t="str">
        <x:v>2026-6A-GEG</x:v>
      </x:c>
      <x:c r="B292" t="str">
        <x:v>GEG</x:v>
      </x:c>
      <x:c r="C292" t="str">
        <x:v>Geografía</x:v>
      </x:c>
      <x:c r="D292" t="str">
        <x:v>SOC</x:v>
      </x:c>
      <x:c r="E292" t="n">
        <x:v>6</x:v>
      </x:c>
      <x:c r="F292" t="str">
        <x:v>A</x:v>
      </x:c>
      <x:c r="G292" t="str">
        <x:v>6A</x:v>
      </x:c>
      <x:c r="H292" t="str">
        <x:v>PROF-014</x:v>
      </x:c>
      <x:c r="I292" t="n">
        <x:v>2026</x:v>
      </x:c>
      <x:c r="J292" s="24" t="b">
        <x:v>1</x:v>
      </x:c>
    </x:row>
    <x:row r="293">
      <x:c r="A293" t="str">
        <x:v>2026-6A-HIS</x:v>
      </x:c>
      <x:c r="B293" t="str">
        <x:v>HIS</x:v>
      </x:c>
      <x:c r="C293" t="str">
        <x:v>Historia</x:v>
      </x:c>
      <x:c r="D293" t="str">
        <x:v>SOC</x:v>
      </x:c>
      <x:c r="E293" t="n">
        <x:v>6</x:v>
      </x:c>
      <x:c r="F293" t="str">
        <x:v>A</x:v>
      </x:c>
      <x:c r="G293" t="str">
        <x:v>6A</x:v>
      </x:c>
      <x:c r="H293" t="str">
        <x:v>PROF-012</x:v>
      </x:c>
      <x:c r="I293" t="n">
        <x:v>2026</x:v>
      </x:c>
      <x:c r="J293" s="24" t="b">
        <x:v>1</x:v>
      </x:c>
    </x:row>
    <x:row r="294">
      <x:c r="A294" t="str">
        <x:v>2026-6A-REL</x:v>
      </x:c>
      <x:c r="B294" t="str">
        <x:v>REL</x:v>
      </x:c>
      <x:c r="C294" t="str">
        <x:v>Religión</x:v>
      </x:c>
      <x:c r="D294" t="str">
        <x:v>REL</x:v>
      </x:c>
      <x:c r="E294" t="n">
        <x:v>6</x:v>
      </x:c>
      <x:c r="F294" t="str">
        <x:v>A</x:v>
      </x:c>
      <x:c r="G294" t="str">
        <x:v>6A</x:v>
      </x:c>
      <x:c r="H294" t="str">
        <x:v>PROF-022</x:v>
      </x:c>
      <x:c r="I294" t="n">
        <x:v>2026</x:v>
      </x:c>
      <x:c r="J294" s="24" t="b">
        <x:v>1</x:v>
      </x:c>
    </x:row>
    <x:row r="295">
      <x:c r="A295" t="str">
        <x:v>2026-6A-ING</x:v>
      </x:c>
      <x:c r="B295" t="str">
        <x:v>ING</x:v>
      </x:c>
      <x:c r="C295" t="str">
        <x:v>Inglés</x:v>
      </x:c>
      <x:c r="D295" t="str">
        <x:v>IDI</x:v>
      </x:c>
      <x:c r="E295" t="n">
        <x:v>6</x:v>
      </x:c>
      <x:c r="F295" t="str">
        <x:v>A</x:v>
      </x:c>
      <x:c r="G295" t="str">
        <x:v>6A</x:v>
      </x:c>
      <x:c r="H295" t="str">
        <x:v>PROF-020</x:v>
      </x:c>
      <x:c r="I295" t="n">
        <x:v>2026</x:v>
      </x:c>
      <x:c r="J295" s="24" t="b">
        <x:v>1</x:v>
      </x:c>
    </x:row>
    <x:row r="296">
      <x:c r="A296" t="str">
        <x:v>2026-6A-TAL</x:v>
      </x:c>
      <x:c r="B296" t="str">
        <x:v>TAL</x:v>
      </x:c>
      <x:c r="C296" t="str">
        <x:v>Taller</x:v>
      </x:c>
      <x:c r="D296" t="str">
        <x:v>TAL</x:v>
      </x:c>
      <x:c r="E296" t="n">
        <x:v>6</x:v>
      </x:c>
      <x:c r="F296" t="str">
        <x:v>A</x:v>
      </x:c>
      <x:c r="G296" t="str">
        <x:v>6A</x:v>
      </x:c>
      <x:c r="H296" t="str">
        <x:v>PROF-022</x:v>
      </x:c>
      <x:c r="I296" t="n">
        <x:v>2026</x:v>
      </x:c>
      <x:c r="J296" s="24" t="b">
        <x:v>1</x:v>
      </x:c>
    </x:row>
    <x:row r="297">
      <x:c r="A297" t="str">
        <x:v>2026-6A-EDF</x:v>
      </x:c>
      <x:c r="B297" t="str">
        <x:v>EDF</x:v>
      </x:c>
      <x:c r="C297" t="str">
        <x:v>Educación Física</x:v>
      </x:c>
      <x:c r="D297" t="str">
        <x:v>EDF</x:v>
      </x:c>
      <x:c r="E297" t="n">
        <x:v>6</x:v>
      </x:c>
      <x:c r="F297" t="str">
        <x:v>A</x:v>
      </x:c>
      <x:c r="G297" t="str">
        <x:v>6A</x:v>
      </x:c>
      <x:c r="H297" t="str">
        <x:v>PROF-024</x:v>
      </x:c>
      <x:c r="I297" t="n">
        <x:v>2026</x:v>
      </x:c>
      <x:c r="J297" s="24" t="b">
        <x:v>1</x:v>
      </x:c>
    </x:row>
    <x:row r="298">
      <x:c r="A298" t="str">
        <x:v>2026-6B-ARI</x:v>
      </x:c>
      <x:c r="B298" t="str">
        <x:v>ARI</x:v>
      </x:c>
      <x:c r="C298" t="str">
        <x:v>Aritmética</x:v>
      </x:c>
      <x:c r="D298" t="str">
        <x:v>MAT</x:v>
      </x:c>
      <x:c r="E298" t="n">
        <x:v>6</x:v>
      </x:c>
      <x:c r="F298" t="str">
        <x:v>B</x:v>
      </x:c>
      <x:c r="G298" t="str">
        <x:v>6B</x:v>
      </x:c>
      <x:c r="H298" t="str">
        <x:v>PROF-024</x:v>
      </x:c>
      <x:c r="I298" t="n">
        <x:v>2026</x:v>
      </x:c>
      <x:c r="J298" s="24" t="b">
        <x:v>1</x:v>
      </x:c>
    </x:row>
    <x:row r="299">
      <x:c r="A299" t="str">
        <x:v>2026-6B-ALG</x:v>
      </x:c>
      <x:c r="B299" t="str">
        <x:v>ALG</x:v>
      </x:c>
      <x:c r="C299" t="str">
        <x:v>Álgebra</x:v>
      </x:c>
      <x:c r="D299" t="str">
        <x:v>MAT</x:v>
      </x:c>
      <x:c r="E299" t="n">
        <x:v>6</x:v>
      </x:c>
      <x:c r="F299" t="str">
        <x:v>B</x:v>
      </x:c>
      <x:c r="G299" t="str">
        <x:v>6B</x:v>
      </x:c>
      <x:c r="H299" t="str">
        <x:v>PROF-010</x:v>
      </x:c>
      <x:c r="I299" t="n">
        <x:v>2026</x:v>
      </x:c>
      <x:c r="J299" s="24" t="b">
        <x:v>1</x:v>
      </x:c>
    </x:row>
    <x:row r="300">
      <x:c r="A300" t="str">
        <x:v>2026-6B-RZM</x:v>
      </x:c>
      <x:c r="B300" t="str">
        <x:v>RZM</x:v>
      </x:c>
      <x:c r="C300" t="str">
        <x:v>Razonamiento Matemático</x:v>
      </x:c>
      <x:c r="D300" t="str">
        <x:v>MAT</x:v>
      </x:c>
      <x:c r="E300" t="n">
        <x:v>6</x:v>
      </x:c>
      <x:c r="F300" t="str">
        <x:v>B</x:v>
      </x:c>
      <x:c r="G300" t="str">
        <x:v>6B</x:v>
      </x:c>
      <x:c r="H300" t="str">
        <x:v>PROF-010</x:v>
      </x:c>
      <x:c r="I300" t="n">
        <x:v>2026</x:v>
      </x:c>
      <x:c r="J300" s="24" t="b">
        <x:v>1</x:v>
      </x:c>
    </x:row>
    <x:row r="301">
      <x:c r="A301" t="str">
        <x:v>2026-6B-GEO</x:v>
      </x:c>
      <x:c r="B301" t="str">
        <x:v>GEO</x:v>
      </x:c>
      <x:c r="C301" t="str">
        <x:v>Geometría</x:v>
      </x:c>
      <x:c r="D301" t="str">
        <x:v>MAT</x:v>
      </x:c>
      <x:c r="E301" t="n">
        <x:v>6</x:v>
      </x:c>
      <x:c r="F301" t="str">
        <x:v>B</x:v>
      </x:c>
      <x:c r="G301" t="str">
        <x:v>6B</x:v>
      </x:c>
      <x:c r="H301" t="str">
        <x:v>PROF-012</x:v>
      </x:c>
      <x:c r="I301" t="n">
        <x:v>2026</x:v>
      </x:c>
      <x:c r="J301" s="24" t="b">
        <x:v>1</x:v>
      </x:c>
    </x:row>
    <x:row r="302">
      <x:c r="A302" t="str">
        <x:v>2026-6B-PDT</x:v>
      </x:c>
      <x:c r="B302" t="str">
        <x:v>PDT</x:v>
      </x:c>
      <x:c r="C302" t="str">
        <x:v>Producción de Textos</x:v>
      </x:c>
      <x:c r="D302" t="str">
        <x:v>COM</x:v>
      </x:c>
      <x:c r="E302" t="n">
        <x:v>6</x:v>
      </x:c>
      <x:c r="F302" t="str">
        <x:v>B</x:v>
      </x:c>
      <x:c r="G302" t="str">
        <x:v>6B</x:v>
      </x:c>
      <x:c r="H302" t="str">
        <x:v>PROF-018</x:v>
      </x:c>
      <x:c r="I302" t="n">
        <x:v>2026</x:v>
      </x:c>
      <x:c r="J302" s="24" t="b">
        <x:v>1</x:v>
      </x:c>
    </x:row>
    <x:row r="303">
      <x:c r="A303" t="str">
        <x:v>2026-6B-GRA</x:v>
      </x:c>
      <x:c r="B303" t="str">
        <x:v>GRA</x:v>
      </x:c>
      <x:c r="C303" t="str">
        <x:v>Gramática</x:v>
      </x:c>
      <x:c r="D303" t="str">
        <x:v>COM</x:v>
      </x:c>
      <x:c r="E303" t="n">
        <x:v>6</x:v>
      </x:c>
      <x:c r="F303" t="str">
        <x:v>B</x:v>
      </x:c>
      <x:c r="G303" t="str">
        <x:v>6B</x:v>
      </x:c>
      <x:c r="H303" t="str">
        <x:v>PROF-018</x:v>
      </x:c>
      <x:c r="I303" t="n">
        <x:v>2026</x:v>
      </x:c>
      <x:c r="J303" s="24" t="b">
        <x:v>1</x:v>
      </x:c>
    </x:row>
    <x:row r="304">
      <x:c r="A304" t="str">
        <x:v>2026-6B-RZV</x:v>
      </x:c>
      <x:c r="B304" t="str">
        <x:v>RZV</x:v>
      </x:c>
      <x:c r="C304" t="str">
        <x:v>Razonamiento Verbal</x:v>
      </x:c>
      <x:c r="D304" t="str">
        <x:v>COM</x:v>
      </x:c>
      <x:c r="E304" t="n">
        <x:v>6</x:v>
      </x:c>
      <x:c r="F304" t="str">
        <x:v>B</x:v>
      </x:c>
      <x:c r="G304" t="str">
        <x:v>6B</x:v>
      </x:c>
      <x:c r="H304" t="str">
        <x:v>PROF-020</x:v>
      </x:c>
      <x:c r="I304" t="n">
        <x:v>2026</x:v>
      </x:c>
      <x:c r="J304" s="24" t="b">
        <x:v>1</x:v>
      </x:c>
    </x:row>
    <x:row r="305">
      <x:c r="A305" t="str">
        <x:v>2026-6B-CUH</x:v>
      </x:c>
      <x:c r="B305" t="str">
        <x:v>CUH</x:v>
      </x:c>
      <x:c r="C305" t="str">
        <x:v>Cuerpo Humano</x:v>
      </x:c>
      <x:c r="D305" t="str">
        <x:v>CIE</x:v>
      </x:c>
      <x:c r="E305" t="n">
        <x:v>6</x:v>
      </x:c>
      <x:c r="F305" t="str">
        <x:v>B</x:v>
      </x:c>
      <x:c r="G305" t="str">
        <x:v>6B</x:v>
      </x:c>
      <x:c r="H305" t="str">
        <x:v>PROF-016</x:v>
      </x:c>
      <x:c r="I305" t="n">
        <x:v>2026</x:v>
      </x:c>
      <x:c r="J305" s="24" t="b">
        <x:v>1</x:v>
      </x:c>
    </x:row>
    <x:row r="306">
      <x:c r="A306" t="str">
        <x:v>2026-6B-MUF</x:v>
      </x:c>
      <x:c r="B306" t="str">
        <x:v>MUF</x:v>
      </x:c>
      <x:c r="C306" t="str">
        <x:v>Mundo Físico</x:v>
      </x:c>
      <x:c r="D306" t="str">
        <x:v>CIE</x:v>
      </x:c>
      <x:c r="E306" t="n">
        <x:v>6</x:v>
      </x:c>
      <x:c r="F306" t="str">
        <x:v>B</x:v>
      </x:c>
      <x:c r="G306" t="str">
        <x:v>6B</x:v>
      </x:c>
      <x:c r="H306" t="str">
        <x:v>PROF-016</x:v>
      </x:c>
      <x:c r="I306" t="n">
        <x:v>2026</x:v>
      </x:c>
      <x:c r="J306" s="24" t="b">
        <x:v>1</x:v>
      </x:c>
    </x:row>
    <x:row r="307">
      <x:c r="A307" t="str">
        <x:v>2026-6B-CIU</x:v>
      </x:c>
      <x:c r="B307" t="str">
        <x:v>CIU</x:v>
      </x:c>
      <x:c r="C307" t="str">
        <x:v>Ciudadanía</x:v>
      </x:c>
      <x:c r="D307" t="str">
        <x:v>SOC</x:v>
      </x:c>
      <x:c r="E307" t="n">
        <x:v>6</x:v>
      </x:c>
      <x:c r="F307" t="str">
        <x:v>B</x:v>
      </x:c>
      <x:c r="G307" t="str">
        <x:v>6B</x:v>
      </x:c>
      <x:c r="H307" t="str">
        <x:v>PROF-014</x:v>
      </x:c>
      <x:c r="I307" t="n">
        <x:v>2026</x:v>
      </x:c>
      <x:c r="J307" s="24" t="b">
        <x:v>1</x:v>
      </x:c>
    </x:row>
    <x:row r="308">
      <x:c r="A308" t="str">
        <x:v>2026-6B-GEG</x:v>
      </x:c>
      <x:c r="B308" t="str">
        <x:v>GEG</x:v>
      </x:c>
      <x:c r="C308" t="str">
        <x:v>Geografía</x:v>
      </x:c>
      <x:c r="D308" t="str">
        <x:v>SOC</x:v>
      </x:c>
      <x:c r="E308" t="n">
        <x:v>6</x:v>
      </x:c>
      <x:c r="F308" t="str">
        <x:v>B</x:v>
      </x:c>
      <x:c r="G308" t="str">
        <x:v>6B</x:v>
      </x:c>
      <x:c r="H308" t="str">
        <x:v>PROF-014</x:v>
      </x:c>
      <x:c r="I308" t="n">
        <x:v>2026</x:v>
      </x:c>
      <x:c r="J308" s="24" t="b">
        <x:v>1</x:v>
      </x:c>
    </x:row>
    <x:row r="309">
      <x:c r="A309" t="str">
        <x:v>2026-6B-HIS</x:v>
      </x:c>
      <x:c r="B309" t="str">
        <x:v>HIS</x:v>
      </x:c>
      <x:c r="C309" t="str">
        <x:v>Historia</x:v>
      </x:c>
      <x:c r="D309" t="str">
        <x:v>SOC</x:v>
      </x:c>
      <x:c r="E309" t="n">
        <x:v>6</x:v>
      </x:c>
      <x:c r="F309" t="str">
        <x:v>B</x:v>
      </x:c>
      <x:c r="G309" t="str">
        <x:v>6B</x:v>
      </x:c>
      <x:c r="H309" t="str">
        <x:v>PROF-012</x:v>
      </x:c>
      <x:c r="I309" t="n">
        <x:v>2026</x:v>
      </x:c>
      <x:c r="J309" s="24" t="b">
        <x:v>1</x:v>
      </x:c>
    </x:row>
    <x:row r="310">
      <x:c r="A310" t="str">
        <x:v>2026-6B-REL</x:v>
      </x:c>
      <x:c r="B310" t="str">
        <x:v>REL</x:v>
      </x:c>
      <x:c r="C310" t="str">
        <x:v>Religión</x:v>
      </x:c>
      <x:c r="D310" t="str">
        <x:v>REL</x:v>
      </x:c>
      <x:c r="E310" t="n">
        <x:v>6</x:v>
      </x:c>
      <x:c r="F310" t="str">
        <x:v>B</x:v>
      </x:c>
      <x:c r="G310" t="str">
        <x:v>6B</x:v>
      </x:c>
      <x:c r="H310" t="str">
        <x:v>PROF-022</x:v>
      </x:c>
      <x:c r="I310" t="n">
        <x:v>2026</x:v>
      </x:c>
      <x:c r="J310" s="24" t="b">
        <x:v>1</x:v>
      </x:c>
    </x:row>
    <x:row r="311">
      <x:c r="A311" t="str">
        <x:v>2026-6B-ING</x:v>
      </x:c>
      <x:c r="B311" t="str">
        <x:v>ING</x:v>
      </x:c>
      <x:c r="C311" t="str">
        <x:v>Inglés</x:v>
      </x:c>
      <x:c r="D311" t="str">
        <x:v>IDI</x:v>
      </x:c>
      <x:c r="E311" t="n">
        <x:v>6</x:v>
      </x:c>
      <x:c r="F311" t="str">
        <x:v>B</x:v>
      </x:c>
      <x:c r="G311" t="str">
        <x:v>6B</x:v>
      </x:c>
      <x:c r="H311" t="str">
        <x:v>PROF-020</x:v>
      </x:c>
      <x:c r="I311" t="n">
        <x:v>2026</x:v>
      </x:c>
      <x:c r="J311" s="24" t="b">
        <x:v>1</x:v>
      </x:c>
    </x:row>
    <x:row r="312">
      <x:c r="A312" t="str">
        <x:v>2026-6B-TAL</x:v>
      </x:c>
      <x:c r="B312" t="str">
        <x:v>TAL</x:v>
      </x:c>
      <x:c r="C312" t="str">
        <x:v>Taller</x:v>
      </x:c>
      <x:c r="D312" t="str">
        <x:v>TAL</x:v>
      </x:c>
      <x:c r="E312" t="n">
        <x:v>6</x:v>
      </x:c>
      <x:c r="F312" t="str">
        <x:v>B</x:v>
      </x:c>
      <x:c r="G312" t="str">
        <x:v>6B</x:v>
      </x:c>
      <x:c r="H312" t="str">
        <x:v>PROF-022</x:v>
      </x:c>
      <x:c r="I312" t="n">
        <x:v>2026</x:v>
      </x:c>
      <x:c r="J312" s="24" t="b">
        <x:v>1</x:v>
      </x:c>
    </x:row>
    <x:row r="313">
      <x:c r="A313" t="str">
        <x:v>2026-6B-EDF</x:v>
      </x:c>
      <x:c r="B313" t="str">
        <x:v>EDF</x:v>
      </x:c>
      <x:c r="C313" t="str">
        <x:v>Educación Física</x:v>
      </x:c>
      <x:c r="D313" t="str">
        <x:v>EDF</x:v>
      </x:c>
      <x:c r="E313" t="n">
        <x:v>6</x:v>
      </x:c>
      <x:c r="F313" t="str">
        <x:v>B</x:v>
      </x:c>
      <x:c r="G313" t="str">
        <x:v>6B</x:v>
      </x:c>
      <x:c r="H313" t="str">
        <x:v>PROF-024</x:v>
      </x:c>
      <x:c r="I313" t="n">
        <x:v>2026</x:v>
      </x:c>
      <x:c r="J313" s="24" t="b">
        <x:v>1</x:v>
      </x:c>
    </x:row>
    <x:row r="314">
      <x:c r="A314" t="str">
        <x:v>2026-6C-ARI</x:v>
      </x:c>
      <x:c r="B314" t="str">
        <x:v>ARI</x:v>
      </x:c>
      <x:c r="C314" t="str">
        <x:v>Aritmética</x:v>
      </x:c>
      <x:c r="D314" t="str">
        <x:v>MAT</x:v>
      </x:c>
      <x:c r="E314" t="n">
        <x:v>6</x:v>
      </x:c>
      <x:c r="F314" t="str">
        <x:v>C</x:v>
      </x:c>
      <x:c r="G314" t="str">
        <x:v>6C</x:v>
      </x:c>
      <x:c r="H314" t="str">
        <x:v>PROF-024</x:v>
      </x:c>
      <x:c r="I314" t="n">
        <x:v>2026</x:v>
      </x:c>
      <x:c r="J314" s="24" t="b">
        <x:v>1</x:v>
      </x:c>
    </x:row>
    <x:row r="315">
      <x:c r="A315" t="str">
        <x:v>2026-6C-ALG</x:v>
      </x:c>
      <x:c r="B315" t="str">
        <x:v>ALG</x:v>
      </x:c>
      <x:c r="C315" t="str">
        <x:v>Álgebra</x:v>
      </x:c>
      <x:c r="D315" t="str">
        <x:v>MAT</x:v>
      </x:c>
      <x:c r="E315" t="n">
        <x:v>6</x:v>
      </x:c>
      <x:c r="F315" t="str">
        <x:v>C</x:v>
      </x:c>
      <x:c r="G315" t="str">
        <x:v>6C</x:v>
      </x:c>
      <x:c r="H315" t="str">
        <x:v>PROF-010</x:v>
      </x:c>
      <x:c r="I315" t="n">
        <x:v>2026</x:v>
      </x:c>
      <x:c r="J315" s="24" t="b">
        <x:v>1</x:v>
      </x:c>
    </x:row>
    <x:row r="316">
      <x:c r="A316" t="str">
        <x:v>2026-6C-RZM</x:v>
      </x:c>
      <x:c r="B316" t="str">
        <x:v>RZM</x:v>
      </x:c>
      <x:c r="C316" t="str">
        <x:v>Razonamiento Matemático</x:v>
      </x:c>
      <x:c r="D316" t="str">
        <x:v>MAT</x:v>
      </x:c>
      <x:c r="E316" t="n">
        <x:v>6</x:v>
      </x:c>
      <x:c r="F316" t="str">
        <x:v>C</x:v>
      </x:c>
      <x:c r="G316" t="str">
        <x:v>6C</x:v>
      </x:c>
      <x:c r="H316" t="str">
        <x:v>PROF-010</x:v>
      </x:c>
      <x:c r="I316" t="n">
        <x:v>2026</x:v>
      </x:c>
      <x:c r="J316" s="24" t="b">
        <x:v>1</x:v>
      </x:c>
    </x:row>
    <x:row r="317">
      <x:c r="A317" t="str">
        <x:v>2026-6C-GEO</x:v>
      </x:c>
      <x:c r="B317" t="str">
        <x:v>GEO</x:v>
      </x:c>
      <x:c r="C317" t="str">
        <x:v>Geometría</x:v>
      </x:c>
      <x:c r="D317" t="str">
        <x:v>MAT</x:v>
      </x:c>
      <x:c r="E317" t="n">
        <x:v>6</x:v>
      </x:c>
      <x:c r="F317" t="str">
        <x:v>C</x:v>
      </x:c>
      <x:c r="G317" t="str">
        <x:v>6C</x:v>
      </x:c>
      <x:c r="H317" t="str">
        <x:v>PROF-012</x:v>
      </x:c>
      <x:c r="I317" t="n">
        <x:v>2026</x:v>
      </x:c>
      <x:c r="J317" s="24" t="b">
        <x:v>1</x:v>
      </x:c>
    </x:row>
    <x:row r="318">
      <x:c r="A318" t="str">
        <x:v>2026-6C-PDT</x:v>
      </x:c>
      <x:c r="B318" t="str">
        <x:v>PDT</x:v>
      </x:c>
      <x:c r="C318" t="str">
        <x:v>Producción de Textos</x:v>
      </x:c>
      <x:c r="D318" t="str">
        <x:v>COM</x:v>
      </x:c>
      <x:c r="E318" t="n">
        <x:v>6</x:v>
      </x:c>
      <x:c r="F318" t="str">
        <x:v>C</x:v>
      </x:c>
      <x:c r="G318" t="str">
        <x:v>6C</x:v>
      </x:c>
      <x:c r="H318" t="str">
        <x:v>PROF-018</x:v>
      </x:c>
      <x:c r="I318" t="n">
        <x:v>2026</x:v>
      </x:c>
      <x:c r="J318" s="24" t="b">
        <x:v>1</x:v>
      </x:c>
    </x:row>
    <x:row r="319">
      <x:c r="A319" t="str">
        <x:v>2026-6C-GRA</x:v>
      </x:c>
      <x:c r="B319" t="str">
        <x:v>GRA</x:v>
      </x:c>
      <x:c r="C319" t="str">
        <x:v>Gramática</x:v>
      </x:c>
      <x:c r="D319" t="str">
        <x:v>COM</x:v>
      </x:c>
      <x:c r="E319" t="n">
        <x:v>6</x:v>
      </x:c>
      <x:c r="F319" t="str">
        <x:v>C</x:v>
      </x:c>
      <x:c r="G319" t="str">
        <x:v>6C</x:v>
      </x:c>
      <x:c r="H319" t="str">
        <x:v>PROF-018</x:v>
      </x:c>
      <x:c r="I319" t="n">
        <x:v>2026</x:v>
      </x:c>
      <x:c r="J319" s="24" t="b">
        <x:v>1</x:v>
      </x:c>
    </x:row>
    <x:row r="320">
      <x:c r="A320" t="str">
        <x:v>2026-6C-RZV</x:v>
      </x:c>
      <x:c r="B320" t="str">
        <x:v>RZV</x:v>
      </x:c>
      <x:c r="C320" t="str">
        <x:v>Razonamiento Verbal</x:v>
      </x:c>
      <x:c r="D320" t="str">
        <x:v>COM</x:v>
      </x:c>
      <x:c r="E320" t="n">
        <x:v>6</x:v>
      </x:c>
      <x:c r="F320" t="str">
        <x:v>C</x:v>
      </x:c>
      <x:c r="G320" t="str">
        <x:v>6C</x:v>
      </x:c>
      <x:c r="H320" t="str">
        <x:v>PROF-020</x:v>
      </x:c>
      <x:c r="I320" t="n">
        <x:v>2026</x:v>
      </x:c>
      <x:c r="J320" s="24" t="b">
        <x:v>1</x:v>
      </x:c>
    </x:row>
    <x:row r="321">
      <x:c r="A321" t="str">
        <x:v>2026-6C-CUH</x:v>
      </x:c>
      <x:c r="B321" t="str">
        <x:v>CUH</x:v>
      </x:c>
      <x:c r="C321" t="str">
        <x:v>Cuerpo Humano</x:v>
      </x:c>
      <x:c r="D321" t="str">
        <x:v>CIE</x:v>
      </x:c>
      <x:c r="E321" t="n">
        <x:v>6</x:v>
      </x:c>
      <x:c r="F321" t="str">
        <x:v>C</x:v>
      </x:c>
      <x:c r="G321" t="str">
        <x:v>6C</x:v>
      </x:c>
      <x:c r="H321" t="str">
        <x:v>PROF-016</x:v>
      </x:c>
      <x:c r="I321" t="n">
        <x:v>2026</x:v>
      </x:c>
      <x:c r="J321" s="24" t="b">
        <x:v>1</x:v>
      </x:c>
    </x:row>
    <x:row r="322">
      <x:c r="A322" t="str">
        <x:v>2026-6C-MUF</x:v>
      </x:c>
      <x:c r="B322" t="str">
        <x:v>MUF</x:v>
      </x:c>
      <x:c r="C322" t="str">
        <x:v>Mundo Físico</x:v>
      </x:c>
      <x:c r="D322" t="str">
        <x:v>CIE</x:v>
      </x:c>
      <x:c r="E322" t="n">
        <x:v>6</x:v>
      </x:c>
      <x:c r="F322" t="str">
        <x:v>C</x:v>
      </x:c>
      <x:c r="G322" t="str">
        <x:v>6C</x:v>
      </x:c>
      <x:c r="H322" t="str">
        <x:v>PROF-016</x:v>
      </x:c>
      <x:c r="I322" t="n">
        <x:v>2026</x:v>
      </x:c>
      <x:c r="J322" s="24" t="b">
        <x:v>1</x:v>
      </x:c>
    </x:row>
    <x:row r="323">
      <x:c r="A323" t="str">
        <x:v>2026-6C-CIU</x:v>
      </x:c>
      <x:c r="B323" t="str">
        <x:v>CIU</x:v>
      </x:c>
      <x:c r="C323" t="str">
        <x:v>Ciudadanía</x:v>
      </x:c>
      <x:c r="D323" t="str">
        <x:v>SOC</x:v>
      </x:c>
      <x:c r="E323" t="n">
        <x:v>6</x:v>
      </x:c>
      <x:c r="F323" t="str">
        <x:v>C</x:v>
      </x:c>
      <x:c r="G323" t="str">
        <x:v>6C</x:v>
      </x:c>
      <x:c r="H323" t="str">
        <x:v>PROF-014</x:v>
      </x:c>
      <x:c r="I323" t="n">
        <x:v>2026</x:v>
      </x:c>
      <x:c r="J323" s="24" t="b">
        <x:v>1</x:v>
      </x:c>
    </x:row>
    <x:row r="324">
      <x:c r="A324" t="str">
        <x:v>2026-6C-GEG</x:v>
      </x:c>
      <x:c r="B324" t="str">
        <x:v>GEG</x:v>
      </x:c>
      <x:c r="C324" t="str">
        <x:v>Geografía</x:v>
      </x:c>
      <x:c r="D324" t="str">
        <x:v>SOC</x:v>
      </x:c>
      <x:c r="E324" t="n">
        <x:v>6</x:v>
      </x:c>
      <x:c r="F324" t="str">
        <x:v>C</x:v>
      </x:c>
      <x:c r="G324" t="str">
        <x:v>6C</x:v>
      </x:c>
      <x:c r="H324" t="str">
        <x:v>PROF-014</x:v>
      </x:c>
      <x:c r="I324" t="n">
        <x:v>2026</x:v>
      </x:c>
      <x:c r="J324" s="24" t="b">
        <x:v>1</x:v>
      </x:c>
    </x:row>
    <x:row r="325">
      <x:c r="A325" t="str">
        <x:v>2026-6C-HIS</x:v>
      </x:c>
      <x:c r="B325" t="str">
        <x:v>HIS</x:v>
      </x:c>
      <x:c r="C325" t="str">
        <x:v>Historia</x:v>
      </x:c>
      <x:c r="D325" t="str">
        <x:v>SOC</x:v>
      </x:c>
      <x:c r="E325" t="n">
        <x:v>6</x:v>
      </x:c>
      <x:c r="F325" t="str">
        <x:v>C</x:v>
      </x:c>
      <x:c r="G325" t="str">
        <x:v>6C</x:v>
      </x:c>
      <x:c r="H325" t="str">
        <x:v>PROF-012</x:v>
      </x:c>
      <x:c r="I325" t="n">
        <x:v>2026</x:v>
      </x:c>
      <x:c r="J325" s="24" t="b">
        <x:v>1</x:v>
      </x:c>
    </x:row>
    <x:row r="326">
      <x:c r="A326" t="str">
        <x:v>2026-6C-REL</x:v>
      </x:c>
      <x:c r="B326" t="str">
        <x:v>REL</x:v>
      </x:c>
      <x:c r="C326" t="str">
        <x:v>Religión</x:v>
      </x:c>
      <x:c r="D326" t="str">
        <x:v>REL</x:v>
      </x:c>
      <x:c r="E326" t="n">
        <x:v>6</x:v>
      </x:c>
      <x:c r="F326" t="str">
        <x:v>C</x:v>
      </x:c>
      <x:c r="G326" t="str">
        <x:v>6C</x:v>
      </x:c>
      <x:c r="H326" t="str">
        <x:v>PROF-022</x:v>
      </x:c>
      <x:c r="I326" t="n">
        <x:v>2026</x:v>
      </x:c>
      <x:c r="J326" s="24" t="b">
        <x:v>1</x:v>
      </x:c>
    </x:row>
    <x:row r="327">
      <x:c r="A327" t="str">
        <x:v>2026-6C-ING</x:v>
      </x:c>
      <x:c r="B327" t="str">
        <x:v>ING</x:v>
      </x:c>
      <x:c r="C327" t="str">
        <x:v>Inglés</x:v>
      </x:c>
      <x:c r="D327" t="str">
        <x:v>IDI</x:v>
      </x:c>
      <x:c r="E327" t="n">
        <x:v>6</x:v>
      </x:c>
      <x:c r="F327" t="str">
        <x:v>C</x:v>
      </x:c>
      <x:c r="G327" t="str">
        <x:v>6C</x:v>
      </x:c>
      <x:c r="H327" t="str">
        <x:v>PROF-020</x:v>
      </x:c>
      <x:c r="I327" t="n">
        <x:v>2026</x:v>
      </x:c>
      <x:c r="J327" s="24" t="b">
        <x:v>1</x:v>
      </x:c>
    </x:row>
    <x:row r="328">
      <x:c r="A328" t="str">
        <x:v>2026-6C-TAL</x:v>
      </x:c>
      <x:c r="B328" t="str">
        <x:v>TAL</x:v>
      </x:c>
      <x:c r="C328" t="str">
        <x:v>Taller</x:v>
      </x:c>
      <x:c r="D328" t="str">
        <x:v>TAL</x:v>
      </x:c>
      <x:c r="E328" t="n">
        <x:v>6</x:v>
      </x:c>
      <x:c r="F328" t="str">
        <x:v>C</x:v>
      </x:c>
      <x:c r="G328" t="str">
        <x:v>6C</x:v>
      </x:c>
      <x:c r="H328" t="str">
        <x:v>PROF-022</x:v>
      </x:c>
      <x:c r="I328" t="n">
        <x:v>2026</x:v>
      </x:c>
      <x:c r="J328" s="24" t="b">
        <x:v>1</x:v>
      </x:c>
    </x:row>
    <x:row r="329">
      <x:c r="A329" t="str">
        <x:v>2026-6C-EDF</x:v>
      </x:c>
      <x:c r="B329" t="str">
        <x:v>EDF</x:v>
      </x:c>
      <x:c r="C329" t="str">
        <x:v>Educación Física</x:v>
      </x:c>
      <x:c r="D329" t="str">
        <x:v>EDF</x:v>
      </x:c>
      <x:c r="E329" t="n">
        <x:v>6</x:v>
      </x:c>
      <x:c r="F329" t="str">
        <x:v>C</x:v>
      </x:c>
      <x:c r="G329" t="str">
        <x:v>6C</x:v>
      </x:c>
      <x:c r="H329" t="str">
        <x:v>PROF-024</x:v>
      </x:c>
      <x:c r="I329" t="n">
        <x:v>2026</x:v>
      </x:c>
      <x:c r="J329" s="24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8" hidden="0" customWidth="1"/>
    <x:col min="4" max="4" width="8" hidden="0" customWidth="1"/>
    <x:col min="5" max="5" width="16" hidden="0" customWidth="1"/>
    <x:col min="6" max="6" width="10" hidden="0" customWidth="1"/>
    <x:col min="7" max="7" width="24" hidden="0" customWidth="1"/>
    <x:col min="8" max="8" width="10" hidden="0" customWidth="1"/>
    <x:col min="9" max="9" width="10" hidden="0" customWidth="1"/>
  </x:cols>
  <x:sheetData>
    <x:row r="1" ht="28" customHeight="1">
      <x:c r="A1" s="40" t="str">
        <x:v>profesor_codigo</x:v>
      </x:c>
      <x:c r="B1" s="40" t="str">
        <x:v>curso_codigo</x:v>
      </x:c>
      <x:c r="C1" s="40" t="str">
        <x:v>grado</x:v>
      </x:c>
      <x:c r="D1" s="40" t="str">
        <x:v>seccion</x:v>
      </x:c>
      <x:c r="E1" s="40" t="str">
        <x:v>seccion_codigo</x:v>
      </x:c>
      <x:c r="F1" s="40" t="str">
        <x:v>anio</x:v>
      </x:c>
      <x:c r="G1" s="40" t="str">
        <x:v>oferta_codigo</x:v>
      </x:c>
      <x:c r="H1" s="40" t="str">
        <x:v>es_tutor</x:v>
      </x:c>
      <x:c r="I1" s="40" t="str">
        <x:v>activo</x:v>
      </x:c>
    </x:row>
    <x:row r="2">
      <x:c r="A2" t="str">
        <x:v>PROF-001</x:v>
      </x:c>
      <x:c r="B2" t="str">
        <x:v>ARI</x:v>
      </x:c>
      <x:c r="C2" t="n">
        <x:v>1</x:v>
      </x:c>
      <x:c r="D2" t="str">
        <x:v>A</x:v>
      </x:c>
      <x:c r="E2" t="str">
        <x:v>1A</x:v>
      </x:c>
      <x:c r="F2" t="n">
        <x:v>2026</x:v>
      </x:c>
      <x:c r="G2" t="str">
        <x:v>2026-1A-ARI</x:v>
      </x:c>
      <x:c r="H2" s="24" t="b">
        <x:v>1</x:v>
      </x:c>
      <x:c r="I2" s="24" t="b">
        <x:v>1</x:v>
      </x:c>
    </x:row>
    <x:row r="3">
      <x:c r="A3" t="str">
        <x:v>PROF-001</x:v>
      </x:c>
      <x:c r="B3" t="str">
        <x:v>PDT</x:v>
      </x:c>
      <x:c r="C3" t="n">
        <x:v>1</x:v>
      </x:c>
      <x:c r="D3" t="str">
        <x:v>A</x:v>
      </x:c>
      <x:c r="E3" t="str">
        <x:v>1A</x:v>
      </x:c>
      <x:c r="F3" t="n">
        <x:v>2026</x:v>
      </x:c>
      <x:c r="G3" t="str">
        <x:v>2026-1A-PDT</x:v>
      </x:c>
      <x:c r="H3" s="24" t="b">
        <x:v>1</x:v>
      </x:c>
      <x:c r="I3" s="24" t="b">
        <x:v>1</x:v>
      </x:c>
    </x:row>
    <x:row r="4">
      <x:c r="A4" t="str">
        <x:v>PROF-001</x:v>
      </x:c>
      <x:c r="B4" t="str">
        <x:v>GRA</x:v>
      </x:c>
      <x:c r="C4" t="n">
        <x:v>1</x:v>
      </x:c>
      <x:c r="D4" t="str">
        <x:v>A</x:v>
      </x:c>
      <x:c r="E4" t="str">
        <x:v>1A</x:v>
      </x:c>
      <x:c r="F4" t="n">
        <x:v>2026</x:v>
      </x:c>
      <x:c r="G4" t="str">
        <x:v>2026-1A-GRA</x:v>
      </x:c>
      <x:c r="H4" s="24" t="b">
        <x:v>1</x:v>
      </x:c>
      <x:c r="I4" s="24" t="b">
        <x:v>1</x:v>
      </x:c>
    </x:row>
    <x:row r="5">
      <x:c r="A5" t="str">
        <x:v>PROF-001</x:v>
      </x:c>
      <x:c r="B5" t="str">
        <x:v>RZV</x:v>
      </x:c>
      <x:c r="C5" t="n">
        <x:v>1</x:v>
      </x:c>
      <x:c r="D5" t="str">
        <x:v>A</x:v>
      </x:c>
      <x:c r="E5" t="str">
        <x:v>1A</x:v>
      </x:c>
      <x:c r="F5" t="n">
        <x:v>2026</x:v>
      </x:c>
      <x:c r="G5" t="str">
        <x:v>2026-1A-RZV</x:v>
      </x:c>
      <x:c r="H5" s="24" t="b">
        <x:v>1</x:v>
      </x:c>
      <x:c r="I5" s="24" t="b">
        <x:v>1</x:v>
      </x:c>
    </x:row>
    <x:row r="6">
      <x:c r="A6" t="str">
        <x:v>PROF-001</x:v>
      </x:c>
      <x:c r="B6" t="str">
        <x:v>CUH</x:v>
      </x:c>
      <x:c r="C6" t="n">
        <x:v>1</x:v>
      </x:c>
      <x:c r="D6" t="str">
        <x:v>A</x:v>
      </x:c>
      <x:c r="E6" t="str">
        <x:v>1A</x:v>
      </x:c>
      <x:c r="F6" t="n">
        <x:v>2026</x:v>
      </x:c>
      <x:c r="G6" t="str">
        <x:v>2026-1A-CUH</x:v>
      </x:c>
      <x:c r="H6" s="24" t="b">
        <x:v>1</x:v>
      </x:c>
      <x:c r="I6" s="24" t="b">
        <x:v>1</x:v>
      </x:c>
    </x:row>
    <x:row r="7">
      <x:c r="A7" t="str">
        <x:v>PROF-001</x:v>
      </x:c>
      <x:c r="B7" t="str">
        <x:v>MUF</x:v>
      </x:c>
      <x:c r="C7" t="n">
        <x:v>1</x:v>
      </x:c>
      <x:c r="D7" t="str">
        <x:v>A</x:v>
      </x:c>
      <x:c r="E7" t="str">
        <x:v>1A</x:v>
      </x:c>
      <x:c r="F7" t="n">
        <x:v>2026</x:v>
      </x:c>
      <x:c r="G7" t="str">
        <x:v>2026-1A-MUF</x:v>
      </x:c>
      <x:c r="H7" s="24" t="b">
        <x:v>1</x:v>
      </x:c>
      <x:c r="I7" s="24" t="b">
        <x:v>1</x:v>
      </x:c>
    </x:row>
    <x:row r="8">
      <x:c r="A8" t="str">
        <x:v>PROF-001</x:v>
      </x:c>
      <x:c r="B8" t="str">
        <x:v>CIU</x:v>
      </x:c>
      <x:c r="C8" t="n">
        <x:v>1</x:v>
      </x:c>
      <x:c r="D8" t="str">
        <x:v>A</x:v>
      </x:c>
      <x:c r="E8" t="str">
        <x:v>1A</x:v>
      </x:c>
      <x:c r="F8" t="n">
        <x:v>2026</x:v>
      </x:c>
      <x:c r="G8" t="str">
        <x:v>2026-1A-CIU</x:v>
      </x:c>
      <x:c r="H8" s="24" t="b">
        <x:v>1</x:v>
      </x:c>
      <x:c r="I8" s="24" t="b">
        <x:v>1</x:v>
      </x:c>
    </x:row>
    <x:row r="9">
      <x:c r="A9" t="str">
        <x:v>PROF-001</x:v>
      </x:c>
      <x:c r="B9" t="str">
        <x:v>GEG</x:v>
      </x:c>
      <x:c r="C9" t="n">
        <x:v>1</x:v>
      </x:c>
      <x:c r="D9" t="str">
        <x:v>A</x:v>
      </x:c>
      <x:c r="E9" t="str">
        <x:v>1A</x:v>
      </x:c>
      <x:c r="F9" t="n">
        <x:v>2026</x:v>
      </x:c>
      <x:c r="G9" t="str">
        <x:v>2026-1A-GEG</x:v>
      </x:c>
      <x:c r="H9" s="24" t="b">
        <x:v>1</x:v>
      </x:c>
      <x:c r="I9" s="24" t="b">
        <x:v>1</x:v>
      </x:c>
    </x:row>
    <x:row r="10">
      <x:c r="A10" t="str">
        <x:v>PROF-001</x:v>
      </x:c>
      <x:c r="B10" t="str">
        <x:v>HIS</x:v>
      </x:c>
      <x:c r="C10" t="n">
        <x:v>1</x:v>
      </x:c>
      <x:c r="D10" t="str">
        <x:v>A</x:v>
      </x:c>
      <x:c r="E10" t="str">
        <x:v>1A</x:v>
      </x:c>
      <x:c r="F10" t="n">
        <x:v>2026</x:v>
      </x:c>
      <x:c r="G10" t="str">
        <x:v>2026-1A-HIS</x:v>
      </x:c>
      <x:c r="H10" s="24" t="b">
        <x:v>1</x:v>
      </x:c>
      <x:c r="I10" s="24" t="b">
        <x:v>1</x:v>
      </x:c>
    </x:row>
    <x:row r="11">
      <x:c r="A11" t="str">
        <x:v>PROF-001</x:v>
      </x:c>
      <x:c r="B11" t="str">
        <x:v>REL</x:v>
      </x:c>
      <x:c r="C11" t="n">
        <x:v>1</x:v>
      </x:c>
      <x:c r="D11" t="str">
        <x:v>A</x:v>
      </x:c>
      <x:c r="E11" t="str">
        <x:v>1A</x:v>
      </x:c>
      <x:c r="F11" t="n">
        <x:v>2026</x:v>
      </x:c>
      <x:c r="G11" t="str">
        <x:v>2026-1A-REL</x:v>
      </x:c>
      <x:c r="H11" s="24" t="b">
        <x:v>1</x:v>
      </x:c>
      <x:c r="I11" s="24" t="b">
        <x:v>1</x:v>
      </x:c>
    </x:row>
    <x:row r="12">
      <x:c r="A12" t="str">
        <x:v>PROF-001</x:v>
      </x:c>
      <x:c r="B12" t="str">
        <x:v>ING</x:v>
      </x:c>
      <x:c r="C12" t="n">
        <x:v>1</x:v>
      </x:c>
      <x:c r="D12" t="str">
        <x:v>A</x:v>
      </x:c>
      <x:c r="E12" t="str">
        <x:v>1A</x:v>
      </x:c>
      <x:c r="F12" t="n">
        <x:v>2026</x:v>
      </x:c>
      <x:c r="G12" t="str">
        <x:v>2026-1A-ING</x:v>
      </x:c>
      <x:c r="H12" s="24" t="b">
        <x:v>1</x:v>
      </x:c>
      <x:c r="I12" s="24" t="b">
        <x:v>1</x:v>
      </x:c>
    </x:row>
    <x:row r="13">
      <x:c r="A13" t="str">
        <x:v>PROF-001</x:v>
      </x:c>
      <x:c r="B13" t="str">
        <x:v>TAL</x:v>
      </x:c>
      <x:c r="C13" t="n">
        <x:v>1</x:v>
      </x:c>
      <x:c r="D13" t="str">
        <x:v>A</x:v>
      </x:c>
      <x:c r="E13" t="str">
        <x:v>1A</x:v>
      </x:c>
      <x:c r="F13" t="n">
        <x:v>2026</x:v>
      </x:c>
      <x:c r="G13" t="str">
        <x:v>2026-1A-TAL</x:v>
      </x:c>
      <x:c r="H13" s="24" t="b">
        <x:v>1</x:v>
      </x:c>
      <x:c r="I13" s="24" t="b">
        <x:v>1</x:v>
      </x:c>
    </x:row>
    <x:row r="14">
      <x:c r="A14" t="str">
        <x:v>PROF-001</x:v>
      </x:c>
      <x:c r="B14" t="str">
        <x:v>EDF</x:v>
      </x:c>
      <x:c r="C14" t="n">
        <x:v>1</x:v>
      </x:c>
      <x:c r="D14" t="str">
        <x:v>A</x:v>
      </x:c>
      <x:c r="E14" t="str">
        <x:v>1A</x:v>
      </x:c>
      <x:c r="F14" t="n">
        <x:v>2026</x:v>
      </x:c>
      <x:c r="G14" t="str">
        <x:v>2026-1A-EDF</x:v>
      </x:c>
      <x:c r="H14" s="24" t="b">
        <x:v>1</x:v>
      </x:c>
      <x:c r="I14" s="24" t="b">
        <x:v>1</x:v>
      </x:c>
    </x:row>
    <x:row r="15">
      <x:c r="A15" t="str">
        <x:v>PROF-002</x:v>
      </x:c>
      <x:c r="B15" t="str">
        <x:v>ARI</x:v>
      </x:c>
      <x:c r="C15" t="n">
        <x:v>1</x:v>
      </x:c>
      <x:c r="D15" t="str">
        <x:v>B</x:v>
      </x:c>
      <x:c r="E15" t="str">
        <x:v>1B</x:v>
      </x:c>
      <x:c r="F15" t="n">
        <x:v>2026</x:v>
      </x:c>
      <x:c r="G15" t="str">
        <x:v>2026-1B-ARI</x:v>
      </x:c>
      <x:c r="H15" s="24" t="b">
        <x:v>1</x:v>
      </x:c>
      <x:c r="I15" s="24" t="b">
        <x:v>1</x:v>
      </x:c>
    </x:row>
    <x:row r="16">
      <x:c r="A16" t="str">
        <x:v>PROF-002</x:v>
      </x:c>
      <x:c r="B16" t="str">
        <x:v>PDT</x:v>
      </x:c>
      <x:c r="C16" t="n">
        <x:v>1</x:v>
      </x:c>
      <x:c r="D16" t="str">
        <x:v>B</x:v>
      </x:c>
      <x:c r="E16" t="str">
        <x:v>1B</x:v>
      </x:c>
      <x:c r="F16" t="n">
        <x:v>2026</x:v>
      </x:c>
      <x:c r="G16" t="str">
        <x:v>2026-1B-PDT</x:v>
      </x:c>
      <x:c r="H16" s="24" t="b">
        <x:v>1</x:v>
      </x:c>
      <x:c r="I16" s="24" t="b">
        <x:v>1</x:v>
      </x:c>
    </x:row>
    <x:row r="17">
      <x:c r="A17" t="str">
        <x:v>PROF-002</x:v>
      </x:c>
      <x:c r="B17" t="str">
        <x:v>GRA</x:v>
      </x:c>
      <x:c r="C17" t="n">
        <x:v>1</x:v>
      </x:c>
      <x:c r="D17" t="str">
        <x:v>B</x:v>
      </x:c>
      <x:c r="E17" t="str">
        <x:v>1B</x:v>
      </x:c>
      <x:c r="F17" t="n">
        <x:v>2026</x:v>
      </x:c>
      <x:c r="G17" t="str">
        <x:v>2026-1B-GRA</x:v>
      </x:c>
      <x:c r="H17" s="24" t="b">
        <x:v>1</x:v>
      </x:c>
      <x:c r="I17" s="24" t="b">
        <x:v>1</x:v>
      </x:c>
    </x:row>
    <x:row r="18">
      <x:c r="A18" t="str">
        <x:v>PROF-002</x:v>
      </x:c>
      <x:c r="B18" t="str">
        <x:v>RZV</x:v>
      </x:c>
      <x:c r="C18" t="n">
        <x:v>1</x:v>
      </x:c>
      <x:c r="D18" t="str">
        <x:v>B</x:v>
      </x:c>
      <x:c r="E18" t="str">
        <x:v>1B</x:v>
      </x:c>
      <x:c r="F18" t="n">
        <x:v>2026</x:v>
      </x:c>
      <x:c r="G18" t="str">
        <x:v>2026-1B-RZV</x:v>
      </x:c>
      <x:c r="H18" s="24" t="b">
        <x:v>1</x:v>
      </x:c>
      <x:c r="I18" s="24" t="b">
        <x:v>1</x:v>
      </x:c>
    </x:row>
    <x:row r="19">
      <x:c r="A19" t="str">
        <x:v>PROF-002</x:v>
      </x:c>
      <x:c r="B19" t="str">
        <x:v>CUH</x:v>
      </x:c>
      <x:c r="C19" t="n">
        <x:v>1</x:v>
      </x:c>
      <x:c r="D19" t="str">
        <x:v>B</x:v>
      </x:c>
      <x:c r="E19" t="str">
        <x:v>1B</x:v>
      </x:c>
      <x:c r="F19" t="n">
        <x:v>2026</x:v>
      </x:c>
      <x:c r="G19" t="str">
        <x:v>2026-1B-CUH</x:v>
      </x:c>
      <x:c r="H19" s="24" t="b">
        <x:v>1</x:v>
      </x:c>
      <x:c r="I19" s="24" t="b">
        <x:v>1</x:v>
      </x:c>
    </x:row>
    <x:row r="20">
      <x:c r="A20" t="str">
        <x:v>PROF-002</x:v>
      </x:c>
      <x:c r="B20" t="str">
        <x:v>MUF</x:v>
      </x:c>
      <x:c r="C20" t="n">
        <x:v>1</x:v>
      </x:c>
      <x:c r="D20" t="str">
        <x:v>B</x:v>
      </x:c>
      <x:c r="E20" t="str">
        <x:v>1B</x:v>
      </x:c>
      <x:c r="F20" t="n">
        <x:v>2026</x:v>
      </x:c>
      <x:c r="G20" t="str">
        <x:v>2026-1B-MUF</x:v>
      </x:c>
      <x:c r="H20" s="24" t="b">
        <x:v>1</x:v>
      </x:c>
      <x:c r="I20" s="24" t="b">
        <x:v>1</x:v>
      </x:c>
    </x:row>
    <x:row r="21">
      <x:c r="A21" t="str">
        <x:v>PROF-002</x:v>
      </x:c>
      <x:c r="B21" t="str">
        <x:v>CIU</x:v>
      </x:c>
      <x:c r="C21" t="n">
        <x:v>1</x:v>
      </x:c>
      <x:c r="D21" t="str">
        <x:v>B</x:v>
      </x:c>
      <x:c r="E21" t="str">
        <x:v>1B</x:v>
      </x:c>
      <x:c r="F21" t="n">
        <x:v>2026</x:v>
      </x:c>
      <x:c r="G21" t="str">
        <x:v>2026-1B-CIU</x:v>
      </x:c>
      <x:c r="H21" s="24" t="b">
        <x:v>1</x:v>
      </x:c>
      <x:c r="I21" s="24" t="b">
        <x:v>1</x:v>
      </x:c>
    </x:row>
    <x:row r="22">
      <x:c r="A22" t="str">
        <x:v>PROF-002</x:v>
      </x:c>
      <x:c r="B22" t="str">
        <x:v>GEG</x:v>
      </x:c>
      <x:c r="C22" t="n">
        <x:v>1</x:v>
      </x:c>
      <x:c r="D22" t="str">
        <x:v>B</x:v>
      </x:c>
      <x:c r="E22" t="str">
        <x:v>1B</x:v>
      </x:c>
      <x:c r="F22" t="n">
        <x:v>2026</x:v>
      </x:c>
      <x:c r="G22" t="str">
        <x:v>2026-1B-GEG</x:v>
      </x:c>
      <x:c r="H22" s="24" t="b">
        <x:v>1</x:v>
      </x:c>
      <x:c r="I22" s="24" t="b">
        <x:v>1</x:v>
      </x:c>
    </x:row>
    <x:row r="23">
      <x:c r="A23" t="str">
        <x:v>PROF-002</x:v>
      </x:c>
      <x:c r="B23" t="str">
        <x:v>HIS</x:v>
      </x:c>
      <x:c r="C23" t="n">
        <x:v>1</x:v>
      </x:c>
      <x:c r="D23" t="str">
        <x:v>B</x:v>
      </x:c>
      <x:c r="E23" t="str">
        <x:v>1B</x:v>
      </x:c>
      <x:c r="F23" t="n">
        <x:v>2026</x:v>
      </x:c>
      <x:c r="G23" t="str">
        <x:v>2026-1B-HIS</x:v>
      </x:c>
      <x:c r="H23" s="24" t="b">
        <x:v>1</x:v>
      </x:c>
      <x:c r="I23" s="24" t="b">
        <x:v>1</x:v>
      </x:c>
    </x:row>
    <x:row r="24">
      <x:c r="A24" t="str">
        <x:v>PROF-002</x:v>
      </x:c>
      <x:c r="B24" t="str">
        <x:v>REL</x:v>
      </x:c>
      <x:c r="C24" t="n">
        <x:v>1</x:v>
      </x:c>
      <x:c r="D24" t="str">
        <x:v>B</x:v>
      </x:c>
      <x:c r="E24" t="str">
        <x:v>1B</x:v>
      </x:c>
      <x:c r="F24" t="n">
        <x:v>2026</x:v>
      </x:c>
      <x:c r="G24" t="str">
        <x:v>2026-1B-REL</x:v>
      </x:c>
      <x:c r="H24" s="24" t="b">
        <x:v>1</x:v>
      </x:c>
      <x:c r="I24" s="24" t="b">
        <x:v>1</x:v>
      </x:c>
    </x:row>
    <x:row r="25">
      <x:c r="A25" t="str">
        <x:v>PROF-002</x:v>
      </x:c>
      <x:c r="B25" t="str">
        <x:v>ING</x:v>
      </x:c>
      <x:c r="C25" t="n">
        <x:v>1</x:v>
      </x:c>
      <x:c r="D25" t="str">
        <x:v>B</x:v>
      </x:c>
      <x:c r="E25" t="str">
        <x:v>1B</x:v>
      </x:c>
      <x:c r="F25" t="n">
        <x:v>2026</x:v>
      </x:c>
      <x:c r="G25" t="str">
        <x:v>2026-1B-ING</x:v>
      </x:c>
      <x:c r="H25" s="24" t="b">
        <x:v>1</x:v>
      </x:c>
      <x:c r="I25" s="24" t="b">
        <x:v>1</x:v>
      </x:c>
    </x:row>
    <x:row r="26">
      <x:c r="A26" t="str">
        <x:v>PROF-002</x:v>
      </x:c>
      <x:c r="B26" t="str">
        <x:v>TAL</x:v>
      </x:c>
      <x:c r="C26" t="n">
        <x:v>1</x:v>
      </x:c>
      <x:c r="D26" t="str">
        <x:v>B</x:v>
      </x:c>
      <x:c r="E26" t="str">
        <x:v>1B</x:v>
      </x:c>
      <x:c r="F26" t="n">
        <x:v>2026</x:v>
      </x:c>
      <x:c r="G26" t="str">
        <x:v>2026-1B-TAL</x:v>
      </x:c>
      <x:c r="H26" s="24" t="b">
        <x:v>1</x:v>
      </x:c>
      <x:c r="I26" s="24" t="b">
        <x:v>1</x:v>
      </x:c>
    </x:row>
    <x:row r="27">
      <x:c r="A27" t="str">
        <x:v>PROF-002</x:v>
      </x:c>
      <x:c r="B27" t="str">
        <x:v>EDF</x:v>
      </x:c>
      <x:c r="C27" t="n">
        <x:v>1</x:v>
      </x:c>
      <x:c r="D27" t="str">
        <x:v>B</x:v>
      </x:c>
      <x:c r="E27" t="str">
        <x:v>1B</x:v>
      </x:c>
      <x:c r="F27" t="n">
        <x:v>2026</x:v>
      </x:c>
      <x:c r="G27" t="str">
        <x:v>2026-1B-EDF</x:v>
      </x:c>
      <x:c r="H27" s="24" t="b">
        <x:v>1</x:v>
      </x:c>
      <x:c r="I27" s="24" t="b">
        <x:v>1</x:v>
      </x:c>
    </x:row>
    <x:row r="28">
      <x:c r="A28" t="str">
        <x:v>PROF-003</x:v>
      </x:c>
      <x:c r="B28" t="str">
        <x:v>ARI</x:v>
      </x:c>
      <x:c r="C28" t="n">
        <x:v>1</x:v>
      </x:c>
      <x:c r="D28" t="str">
        <x:v>C</x:v>
      </x:c>
      <x:c r="E28" t="str">
        <x:v>1C</x:v>
      </x:c>
      <x:c r="F28" t="n">
        <x:v>2026</x:v>
      </x:c>
      <x:c r="G28" t="str">
        <x:v>2026-1C-ARI</x:v>
      </x:c>
      <x:c r="H28" s="24" t="b">
        <x:v>1</x:v>
      </x:c>
      <x:c r="I28" s="24" t="b">
        <x:v>1</x:v>
      </x:c>
    </x:row>
    <x:row r="29">
      <x:c r="A29" t="str">
        <x:v>PROF-003</x:v>
      </x:c>
      <x:c r="B29" t="str">
        <x:v>PDT</x:v>
      </x:c>
      <x:c r="C29" t="n">
        <x:v>1</x:v>
      </x:c>
      <x:c r="D29" t="str">
        <x:v>C</x:v>
      </x:c>
      <x:c r="E29" t="str">
        <x:v>1C</x:v>
      </x:c>
      <x:c r="F29" t="n">
        <x:v>2026</x:v>
      </x:c>
      <x:c r="G29" t="str">
        <x:v>2026-1C-PDT</x:v>
      </x:c>
      <x:c r="H29" s="24" t="b">
        <x:v>1</x:v>
      </x:c>
      <x:c r="I29" s="24" t="b">
        <x:v>1</x:v>
      </x:c>
    </x:row>
    <x:row r="30">
      <x:c r="A30" t="str">
        <x:v>PROF-003</x:v>
      </x:c>
      <x:c r="B30" t="str">
        <x:v>GRA</x:v>
      </x:c>
      <x:c r="C30" t="n">
        <x:v>1</x:v>
      </x:c>
      <x:c r="D30" t="str">
        <x:v>C</x:v>
      </x:c>
      <x:c r="E30" t="str">
        <x:v>1C</x:v>
      </x:c>
      <x:c r="F30" t="n">
        <x:v>2026</x:v>
      </x:c>
      <x:c r="G30" t="str">
        <x:v>2026-1C-GRA</x:v>
      </x:c>
      <x:c r="H30" s="24" t="b">
        <x:v>1</x:v>
      </x:c>
      <x:c r="I30" s="24" t="b">
        <x:v>1</x:v>
      </x:c>
    </x:row>
    <x:row r="31">
      <x:c r="A31" t="str">
        <x:v>PROF-003</x:v>
      </x:c>
      <x:c r="B31" t="str">
        <x:v>RZV</x:v>
      </x:c>
      <x:c r="C31" t="n">
        <x:v>1</x:v>
      </x:c>
      <x:c r="D31" t="str">
        <x:v>C</x:v>
      </x:c>
      <x:c r="E31" t="str">
        <x:v>1C</x:v>
      </x:c>
      <x:c r="F31" t="n">
        <x:v>2026</x:v>
      </x:c>
      <x:c r="G31" t="str">
        <x:v>2026-1C-RZV</x:v>
      </x:c>
      <x:c r="H31" s="24" t="b">
        <x:v>1</x:v>
      </x:c>
      <x:c r="I31" s="24" t="b">
        <x:v>1</x:v>
      </x:c>
    </x:row>
    <x:row r="32">
      <x:c r="A32" t="str">
        <x:v>PROF-003</x:v>
      </x:c>
      <x:c r="B32" t="str">
        <x:v>CUH</x:v>
      </x:c>
      <x:c r="C32" t="n">
        <x:v>1</x:v>
      </x:c>
      <x:c r="D32" t="str">
        <x:v>C</x:v>
      </x:c>
      <x:c r="E32" t="str">
        <x:v>1C</x:v>
      </x:c>
      <x:c r="F32" t="n">
        <x:v>2026</x:v>
      </x:c>
      <x:c r="G32" t="str">
        <x:v>2026-1C-CUH</x:v>
      </x:c>
      <x:c r="H32" s="24" t="b">
        <x:v>1</x:v>
      </x:c>
      <x:c r="I32" s="24" t="b">
        <x:v>1</x:v>
      </x:c>
    </x:row>
    <x:row r="33">
      <x:c r="A33" t="str">
        <x:v>PROF-003</x:v>
      </x:c>
      <x:c r="B33" t="str">
        <x:v>MUF</x:v>
      </x:c>
      <x:c r="C33" t="n">
        <x:v>1</x:v>
      </x:c>
      <x:c r="D33" t="str">
        <x:v>C</x:v>
      </x:c>
      <x:c r="E33" t="str">
        <x:v>1C</x:v>
      </x:c>
      <x:c r="F33" t="n">
        <x:v>2026</x:v>
      </x:c>
      <x:c r="G33" t="str">
        <x:v>2026-1C-MUF</x:v>
      </x:c>
      <x:c r="H33" s="24" t="b">
        <x:v>1</x:v>
      </x:c>
      <x:c r="I33" s="24" t="b">
        <x:v>1</x:v>
      </x:c>
    </x:row>
    <x:row r="34">
      <x:c r="A34" t="str">
        <x:v>PROF-003</x:v>
      </x:c>
      <x:c r="B34" t="str">
        <x:v>CIU</x:v>
      </x:c>
      <x:c r="C34" t="n">
        <x:v>1</x:v>
      </x:c>
      <x:c r="D34" t="str">
        <x:v>C</x:v>
      </x:c>
      <x:c r="E34" t="str">
        <x:v>1C</x:v>
      </x:c>
      <x:c r="F34" t="n">
        <x:v>2026</x:v>
      </x:c>
      <x:c r="G34" t="str">
        <x:v>2026-1C-CIU</x:v>
      </x:c>
      <x:c r="H34" s="24" t="b">
        <x:v>1</x:v>
      </x:c>
      <x:c r="I34" s="24" t="b">
        <x:v>1</x:v>
      </x:c>
    </x:row>
    <x:row r="35">
      <x:c r="A35" t="str">
        <x:v>PROF-003</x:v>
      </x:c>
      <x:c r="B35" t="str">
        <x:v>GEG</x:v>
      </x:c>
      <x:c r="C35" t="n">
        <x:v>1</x:v>
      </x:c>
      <x:c r="D35" t="str">
        <x:v>C</x:v>
      </x:c>
      <x:c r="E35" t="str">
        <x:v>1C</x:v>
      </x:c>
      <x:c r="F35" t="n">
        <x:v>2026</x:v>
      </x:c>
      <x:c r="G35" t="str">
        <x:v>2026-1C-GEG</x:v>
      </x:c>
      <x:c r="H35" s="24" t="b">
        <x:v>1</x:v>
      </x:c>
      <x:c r="I35" s="24" t="b">
        <x:v>1</x:v>
      </x:c>
    </x:row>
    <x:row r="36">
      <x:c r="A36" t="str">
        <x:v>PROF-003</x:v>
      </x:c>
      <x:c r="B36" t="str">
        <x:v>HIS</x:v>
      </x:c>
      <x:c r="C36" t="n">
        <x:v>1</x:v>
      </x:c>
      <x:c r="D36" t="str">
        <x:v>C</x:v>
      </x:c>
      <x:c r="E36" t="str">
        <x:v>1C</x:v>
      </x:c>
      <x:c r="F36" t="n">
        <x:v>2026</x:v>
      </x:c>
      <x:c r="G36" t="str">
        <x:v>2026-1C-HIS</x:v>
      </x:c>
      <x:c r="H36" s="24" t="b">
        <x:v>1</x:v>
      </x:c>
      <x:c r="I36" s="24" t="b">
        <x:v>1</x:v>
      </x:c>
    </x:row>
    <x:row r="37">
      <x:c r="A37" t="str">
        <x:v>PROF-003</x:v>
      </x:c>
      <x:c r="B37" t="str">
        <x:v>REL</x:v>
      </x:c>
      <x:c r="C37" t="n">
        <x:v>1</x:v>
      </x:c>
      <x:c r="D37" t="str">
        <x:v>C</x:v>
      </x:c>
      <x:c r="E37" t="str">
        <x:v>1C</x:v>
      </x:c>
      <x:c r="F37" t="n">
        <x:v>2026</x:v>
      </x:c>
      <x:c r="G37" t="str">
        <x:v>2026-1C-REL</x:v>
      </x:c>
      <x:c r="H37" s="24" t="b">
        <x:v>1</x:v>
      </x:c>
      <x:c r="I37" s="24" t="b">
        <x:v>1</x:v>
      </x:c>
    </x:row>
    <x:row r="38">
      <x:c r="A38" t="str">
        <x:v>PROF-003</x:v>
      </x:c>
      <x:c r="B38" t="str">
        <x:v>ING</x:v>
      </x:c>
      <x:c r="C38" t="n">
        <x:v>1</x:v>
      </x:c>
      <x:c r="D38" t="str">
        <x:v>C</x:v>
      </x:c>
      <x:c r="E38" t="str">
        <x:v>1C</x:v>
      </x:c>
      <x:c r="F38" t="n">
        <x:v>2026</x:v>
      </x:c>
      <x:c r="G38" t="str">
        <x:v>2026-1C-ING</x:v>
      </x:c>
      <x:c r="H38" s="24" t="b">
        <x:v>1</x:v>
      </x:c>
      <x:c r="I38" s="24" t="b">
        <x:v>1</x:v>
      </x:c>
    </x:row>
    <x:row r="39">
      <x:c r="A39" t="str">
        <x:v>PROF-003</x:v>
      </x:c>
      <x:c r="B39" t="str">
        <x:v>TAL</x:v>
      </x:c>
      <x:c r="C39" t="n">
        <x:v>1</x:v>
      </x:c>
      <x:c r="D39" t="str">
        <x:v>C</x:v>
      </x:c>
      <x:c r="E39" t="str">
        <x:v>1C</x:v>
      </x:c>
      <x:c r="F39" t="n">
        <x:v>2026</x:v>
      </x:c>
      <x:c r="G39" t="str">
        <x:v>2026-1C-TAL</x:v>
      </x:c>
      <x:c r="H39" s="24" t="b">
        <x:v>1</x:v>
      </x:c>
      <x:c r="I39" s="24" t="b">
        <x:v>1</x:v>
      </x:c>
    </x:row>
    <x:row r="40">
      <x:c r="A40" t="str">
        <x:v>PROF-003</x:v>
      </x:c>
      <x:c r="B40" t="str">
        <x:v>EDF</x:v>
      </x:c>
      <x:c r="C40" t="n">
        <x:v>1</x:v>
      </x:c>
      <x:c r="D40" t="str">
        <x:v>C</x:v>
      </x:c>
      <x:c r="E40" t="str">
        <x:v>1C</x:v>
      </x:c>
      <x:c r="F40" t="n">
        <x:v>2026</x:v>
      </x:c>
      <x:c r="G40" t="str">
        <x:v>2026-1C-EDF</x:v>
      </x:c>
      <x:c r="H40" s="24" t="b">
        <x:v>1</x:v>
      </x:c>
      <x:c r="I40" s="24" t="b">
        <x:v>1</x:v>
      </x:c>
    </x:row>
    <x:row r="41">
      <x:c r="A41" t="str">
        <x:v>PROF-004</x:v>
      </x:c>
      <x:c r="B41" t="str">
        <x:v>ARI</x:v>
      </x:c>
      <x:c r="C41" t="n">
        <x:v>1</x:v>
      </x:c>
      <x:c r="D41" t="str">
        <x:v>D</x:v>
      </x:c>
      <x:c r="E41" t="str">
        <x:v>1D</x:v>
      </x:c>
      <x:c r="F41" t="n">
        <x:v>2026</x:v>
      </x:c>
      <x:c r="G41" t="str">
        <x:v>2026-1D-ARI</x:v>
      </x:c>
      <x:c r="H41" s="24" t="b">
        <x:v>1</x:v>
      </x:c>
      <x:c r="I41" s="24" t="b">
        <x:v>1</x:v>
      </x:c>
    </x:row>
    <x:row r="42">
      <x:c r="A42" t="str">
        <x:v>PROF-004</x:v>
      </x:c>
      <x:c r="B42" t="str">
        <x:v>PDT</x:v>
      </x:c>
      <x:c r="C42" t="n">
        <x:v>1</x:v>
      </x:c>
      <x:c r="D42" t="str">
        <x:v>D</x:v>
      </x:c>
      <x:c r="E42" t="str">
        <x:v>1D</x:v>
      </x:c>
      <x:c r="F42" t="n">
        <x:v>2026</x:v>
      </x:c>
      <x:c r="G42" t="str">
        <x:v>2026-1D-PDT</x:v>
      </x:c>
      <x:c r="H42" s="24" t="b">
        <x:v>1</x:v>
      </x:c>
      <x:c r="I42" s="24" t="b">
        <x:v>1</x:v>
      </x:c>
    </x:row>
    <x:row r="43">
      <x:c r="A43" t="str">
        <x:v>PROF-004</x:v>
      </x:c>
      <x:c r="B43" t="str">
        <x:v>GRA</x:v>
      </x:c>
      <x:c r="C43" t="n">
        <x:v>1</x:v>
      </x:c>
      <x:c r="D43" t="str">
        <x:v>D</x:v>
      </x:c>
      <x:c r="E43" t="str">
        <x:v>1D</x:v>
      </x:c>
      <x:c r="F43" t="n">
        <x:v>2026</x:v>
      </x:c>
      <x:c r="G43" t="str">
        <x:v>2026-1D-GRA</x:v>
      </x:c>
      <x:c r="H43" s="24" t="b">
        <x:v>1</x:v>
      </x:c>
      <x:c r="I43" s="24" t="b">
        <x:v>1</x:v>
      </x:c>
    </x:row>
    <x:row r="44">
      <x:c r="A44" t="str">
        <x:v>PROF-004</x:v>
      </x:c>
      <x:c r="B44" t="str">
        <x:v>RZV</x:v>
      </x:c>
      <x:c r="C44" t="n">
        <x:v>1</x:v>
      </x:c>
      <x:c r="D44" t="str">
        <x:v>D</x:v>
      </x:c>
      <x:c r="E44" t="str">
        <x:v>1D</x:v>
      </x:c>
      <x:c r="F44" t="n">
        <x:v>2026</x:v>
      </x:c>
      <x:c r="G44" t="str">
        <x:v>2026-1D-RZV</x:v>
      </x:c>
      <x:c r="H44" s="24" t="b">
        <x:v>1</x:v>
      </x:c>
      <x:c r="I44" s="24" t="b">
        <x:v>1</x:v>
      </x:c>
    </x:row>
    <x:row r="45">
      <x:c r="A45" t="str">
        <x:v>PROF-004</x:v>
      </x:c>
      <x:c r="B45" t="str">
        <x:v>CUH</x:v>
      </x:c>
      <x:c r="C45" t="n">
        <x:v>1</x:v>
      </x:c>
      <x:c r="D45" t="str">
        <x:v>D</x:v>
      </x:c>
      <x:c r="E45" t="str">
        <x:v>1D</x:v>
      </x:c>
      <x:c r="F45" t="n">
        <x:v>2026</x:v>
      </x:c>
      <x:c r="G45" t="str">
        <x:v>2026-1D-CUH</x:v>
      </x:c>
      <x:c r="H45" s="24" t="b">
        <x:v>1</x:v>
      </x:c>
      <x:c r="I45" s="24" t="b">
        <x:v>1</x:v>
      </x:c>
    </x:row>
    <x:row r="46">
      <x:c r="A46" t="str">
        <x:v>PROF-004</x:v>
      </x:c>
      <x:c r="B46" t="str">
        <x:v>MUF</x:v>
      </x:c>
      <x:c r="C46" t="n">
        <x:v>1</x:v>
      </x:c>
      <x:c r="D46" t="str">
        <x:v>D</x:v>
      </x:c>
      <x:c r="E46" t="str">
        <x:v>1D</x:v>
      </x:c>
      <x:c r="F46" t="n">
        <x:v>2026</x:v>
      </x:c>
      <x:c r="G46" t="str">
        <x:v>2026-1D-MUF</x:v>
      </x:c>
      <x:c r="H46" s="24" t="b">
        <x:v>1</x:v>
      </x:c>
      <x:c r="I46" s="24" t="b">
        <x:v>1</x:v>
      </x:c>
    </x:row>
    <x:row r="47">
      <x:c r="A47" t="str">
        <x:v>PROF-004</x:v>
      </x:c>
      <x:c r="B47" t="str">
        <x:v>CIU</x:v>
      </x:c>
      <x:c r="C47" t="n">
        <x:v>1</x:v>
      </x:c>
      <x:c r="D47" t="str">
        <x:v>D</x:v>
      </x:c>
      <x:c r="E47" t="str">
        <x:v>1D</x:v>
      </x:c>
      <x:c r="F47" t="n">
        <x:v>2026</x:v>
      </x:c>
      <x:c r="G47" t="str">
        <x:v>2026-1D-CIU</x:v>
      </x:c>
      <x:c r="H47" s="24" t="b">
        <x:v>1</x:v>
      </x:c>
      <x:c r="I47" s="24" t="b">
        <x:v>1</x:v>
      </x:c>
    </x:row>
    <x:row r="48">
      <x:c r="A48" t="str">
        <x:v>PROF-004</x:v>
      </x:c>
      <x:c r="B48" t="str">
        <x:v>GEG</x:v>
      </x:c>
      <x:c r="C48" t="n">
        <x:v>1</x:v>
      </x:c>
      <x:c r="D48" t="str">
        <x:v>D</x:v>
      </x:c>
      <x:c r="E48" t="str">
        <x:v>1D</x:v>
      </x:c>
      <x:c r="F48" t="n">
        <x:v>2026</x:v>
      </x:c>
      <x:c r="G48" t="str">
        <x:v>2026-1D-GEG</x:v>
      </x:c>
      <x:c r="H48" s="24" t="b">
        <x:v>1</x:v>
      </x:c>
      <x:c r="I48" s="24" t="b">
        <x:v>1</x:v>
      </x:c>
    </x:row>
    <x:row r="49">
      <x:c r="A49" t="str">
        <x:v>PROF-004</x:v>
      </x:c>
      <x:c r="B49" t="str">
        <x:v>HIS</x:v>
      </x:c>
      <x:c r="C49" t="n">
        <x:v>1</x:v>
      </x:c>
      <x:c r="D49" t="str">
        <x:v>D</x:v>
      </x:c>
      <x:c r="E49" t="str">
        <x:v>1D</x:v>
      </x:c>
      <x:c r="F49" t="n">
        <x:v>2026</x:v>
      </x:c>
      <x:c r="G49" t="str">
        <x:v>2026-1D-HIS</x:v>
      </x:c>
      <x:c r="H49" s="24" t="b">
        <x:v>1</x:v>
      </x:c>
      <x:c r="I49" s="24" t="b">
        <x:v>1</x:v>
      </x:c>
    </x:row>
    <x:row r="50">
      <x:c r="A50" t="str">
        <x:v>PROF-004</x:v>
      </x:c>
      <x:c r="B50" t="str">
        <x:v>REL</x:v>
      </x:c>
      <x:c r="C50" t="n">
        <x:v>1</x:v>
      </x:c>
      <x:c r="D50" t="str">
        <x:v>D</x:v>
      </x:c>
      <x:c r="E50" t="str">
        <x:v>1D</x:v>
      </x:c>
      <x:c r="F50" t="n">
        <x:v>2026</x:v>
      </x:c>
      <x:c r="G50" t="str">
        <x:v>2026-1D-REL</x:v>
      </x:c>
      <x:c r="H50" s="24" t="b">
        <x:v>1</x:v>
      </x:c>
      <x:c r="I50" s="24" t="b">
        <x:v>1</x:v>
      </x:c>
    </x:row>
    <x:row r="51">
      <x:c r="A51" t="str">
        <x:v>PROF-004</x:v>
      </x:c>
      <x:c r="B51" t="str">
        <x:v>ING</x:v>
      </x:c>
      <x:c r="C51" t="n">
        <x:v>1</x:v>
      </x:c>
      <x:c r="D51" t="str">
        <x:v>D</x:v>
      </x:c>
      <x:c r="E51" t="str">
        <x:v>1D</x:v>
      </x:c>
      <x:c r="F51" t="n">
        <x:v>2026</x:v>
      </x:c>
      <x:c r="G51" t="str">
        <x:v>2026-1D-ING</x:v>
      </x:c>
      <x:c r="H51" s="24" t="b">
        <x:v>1</x:v>
      </x:c>
      <x:c r="I51" s="24" t="b">
        <x:v>1</x:v>
      </x:c>
    </x:row>
    <x:row r="52">
      <x:c r="A52" t="str">
        <x:v>PROF-004</x:v>
      </x:c>
      <x:c r="B52" t="str">
        <x:v>TAL</x:v>
      </x:c>
      <x:c r="C52" t="n">
        <x:v>1</x:v>
      </x:c>
      <x:c r="D52" t="str">
        <x:v>D</x:v>
      </x:c>
      <x:c r="E52" t="str">
        <x:v>1D</x:v>
      </x:c>
      <x:c r="F52" t="n">
        <x:v>2026</x:v>
      </x:c>
      <x:c r="G52" t="str">
        <x:v>2026-1D-TAL</x:v>
      </x:c>
      <x:c r="H52" s="24" t="b">
        <x:v>1</x:v>
      </x:c>
      <x:c r="I52" s="24" t="b">
        <x:v>1</x:v>
      </x:c>
    </x:row>
    <x:row r="53">
      <x:c r="A53" t="str">
        <x:v>PROF-004</x:v>
      </x:c>
      <x:c r="B53" t="str">
        <x:v>EDF</x:v>
      </x:c>
      <x:c r="C53" t="n">
        <x:v>1</x:v>
      </x:c>
      <x:c r="D53" t="str">
        <x:v>D</x:v>
      </x:c>
      <x:c r="E53" t="str">
        <x:v>1D</x:v>
      </x:c>
      <x:c r="F53" t="n">
        <x:v>2026</x:v>
      </x:c>
      <x:c r="G53" t="str">
        <x:v>2026-1D-EDF</x:v>
      </x:c>
      <x:c r="H53" s="24" t="b">
        <x:v>1</x:v>
      </x:c>
      <x:c r="I53" s="24" t="b">
        <x:v>1</x:v>
      </x:c>
    </x:row>
    <x:row r="54">
      <x:c r="A54" t="str">
        <x:v>PROF-005</x:v>
      </x:c>
      <x:c r="B54" t="str">
        <x:v>ARI</x:v>
      </x:c>
      <x:c r="C54" t="n">
        <x:v>2</x:v>
      </x:c>
      <x:c r="D54" t="str">
        <x:v>A</x:v>
      </x:c>
      <x:c r="E54" t="str">
        <x:v>2A</x:v>
      </x:c>
      <x:c r="F54" t="n">
        <x:v>2026</x:v>
      </x:c>
      <x:c r="G54" t="str">
        <x:v>2026-2A-ARI</x:v>
      </x:c>
      <x:c r="H54" s="24" t="b">
        <x:v>1</x:v>
      </x:c>
      <x:c r="I54" s="24" t="b">
        <x:v>1</x:v>
      </x:c>
    </x:row>
    <x:row r="55">
      <x:c r="A55" t="str">
        <x:v>PROF-005</x:v>
      </x:c>
      <x:c r="B55" t="str">
        <x:v>PDT</x:v>
      </x:c>
      <x:c r="C55" t="n">
        <x:v>2</x:v>
      </x:c>
      <x:c r="D55" t="str">
        <x:v>A</x:v>
      </x:c>
      <x:c r="E55" t="str">
        <x:v>2A</x:v>
      </x:c>
      <x:c r="F55" t="n">
        <x:v>2026</x:v>
      </x:c>
      <x:c r="G55" t="str">
        <x:v>2026-2A-PDT</x:v>
      </x:c>
      <x:c r="H55" s="24" t="b">
        <x:v>1</x:v>
      </x:c>
      <x:c r="I55" s="24" t="b">
        <x:v>1</x:v>
      </x:c>
    </x:row>
    <x:row r="56">
      <x:c r="A56" t="str">
        <x:v>PROF-005</x:v>
      </x:c>
      <x:c r="B56" t="str">
        <x:v>GRA</x:v>
      </x:c>
      <x:c r="C56" t="n">
        <x:v>2</x:v>
      </x:c>
      <x:c r="D56" t="str">
        <x:v>A</x:v>
      </x:c>
      <x:c r="E56" t="str">
        <x:v>2A</x:v>
      </x:c>
      <x:c r="F56" t="n">
        <x:v>2026</x:v>
      </x:c>
      <x:c r="G56" t="str">
        <x:v>2026-2A-GRA</x:v>
      </x:c>
      <x:c r="H56" s="24" t="b">
        <x:v>1</x:v>
      </x:c>
      <x:c r="I56" s="24" t="b">
        <x:v>1</x:v>
      </x:c>
    </x:row>
    <x:row r="57">
      <x:c r="A57" t="str">
        <x:v>PROF-005</x:v>
      </x:c>
      <x:c r="B57" t="str">
        <x:v>RZV</x:v>
      </x:c>
      <x:c r="C57" t="n">
        <x:v>2</x:v>
      </x:c>
      <x:c r="D57" t="str">
        <x:v>A</x:v>
      </x:c>
      <x:c r="E57" t="str">
        <x:v>2A</x:v>
      </x:c>
      <x:c r="F57" t="n">
        <x:v>2026</x:v>
      </x:c>
      <x:c r="G57" t="str">
        <x:v>2026-2A-RZV</x:v>
      </x:c>
      <x:c r="H57" s="24" t="b">
        <x:v>1</x:v>
      </x:c>
      <x:c r="I57" s="24" t="b">
        <x:v>1</x:v>
      </x:c>
    </x:row>
    <x:row r="58">
      <x:c r="A58" t="str">
        <x:v>PROF-005</x:v>
      </x:c>
      <x:c r="B58" t="str">
        <x:v>CUH</x:v>
      </x:c>
      <x:c r="C58" t="n">
        <x:v>2</x:v>
      </x:c>
      <x:c r="D58" t="str">
        <x:v>A</x:v>
      </x:c>
      <x:c r="E58" t="str">
        <x:v>2A</x:v>
      </x:c>
      <x:c r="F58" t="n">
        <x:v>2026</x:v>
      </x:c>
      <x:c r="G58" t="str">
        <x:v>2026-2A-CUH</x:v>
      </x:c>
      <x:c r="H58" s="24" t="b">
        <x:v>1</x:v>
      </x:c>
      <x:c r="I58" s="24" t="b">
        <x:v>1</x:v>
      </x:c>
    </x:row>
    <x:row r="59">
      <x:c r="A59" t="str">
        <x:v>PROF-005</x:v>
      </x:c>
      <x:c r="B59" t="str">
        <x:v>MUF</x:v>
      </x:c>
      <x:c r="C59" t="n">
        <x:v>2</x:v>
      </x:c>
      <x:c r="D59" t="str">
        <x:v>A</x:v>
      </x:c>
      <x:c r="E59" t="str">
        <x:v>2A</x:v>
      </x:c>
      <x:c r="F59" t="n">
        <x:v>2026</x:v>
      </x:c>
      <x:c r="G59" t="str">
        <x:v>2026-2A-MUF</x:v>
      </x:c>
      <x:c r="H59" s="24" t="b">
        <x:v>1</x:v>
      </x:c>
      <x:c r="I59" s="24" t="b">
        <x:v>1</x:v>
      </x:c>
    </x:row>
    <x:row r="60">
      <x:c r="A60" t="str">
        <x:v>PROF-005</x:v>
      </x:c>
      <x:c r="B60" t="str">
        <x:v>CIU</x:v>
      </x:c>
      <x:c r="C60" t="n">
        <x:v>2</x:v>
      </x:c>
      <x:c r="D60" t="str">
        <x:v>A</x:v>
      </x:c>
      <x:c r="E60" t="str">
        <x:v>2A</x:v>
      </x:c>
      <x:c r="F60" t="n">
        <x:v>2026</x:v>
      </x:c>
      <x:c r="G60" t="str">
        <x:v>2026-2A-CIU</x:v>
      </x:c>
      <x:c r="H60" s="24" t="b">
        <x:v>1</x:v>
      </x:c>
      <x:c r="I60" s="24" t="b">
        <x:v>1</x:v>
      </x:c>
    </x:row>
    <x:row r="61">
      <x:c r="A61" t="str">
        <x:v>PROF-005</x:v>
      </x:c>
      <x:c r="B61" t="str">
        <x:v>GEG</x:v>
      </x:c>
      <x:c r="C61" t="n">
        <x:v>2</x:v>
      </x:c>
      <x:c r="D61" t="str">
        <x:v>A</x:v>
      </x:c>
      <x:c r="E61" t="str">
        <x:v>2A</x:v>
      </x:c>
      <x:c r="F61" t="n">
        <x:v>2026</x:v>
      </x:c>
      <x:c r="G61" t="str">
        <x:v>2026-2A-GEG</x:v>
      </x:c>
      <x:c r="H61" s="24" t="b">
        <x:v>1</x:v>
      </x:c>
      <x:c r="I61" s="24" t="b">
        <x:v>1</x:v>
      </x:c>
    </x:row>
    <x:row r="62">
      <x:c r="A62" t="str">
        <x:v>PROF-005</x:v>
      </x:c>
      <x:c r="B62" t="str">
        <x:v>HIS</x:v>
      </x:c>
      <x:c r="C62" t="n">
        <x:v>2</x:v>
      </x:c>
      <x:c r="D62" t="str">
        <x:v>A</x:v>
      </x:c>
      <x:c r="E62" t="str">
        <x:v>2A</x:v>
      </x:c>
      <x:c r="F62" t="n">
        <x:v>2026</x:v>
      </x:c>
      <x:c r="G62" t="str">
        <x:v>2026-2A-HIS</x:v>
      </x:c>
      <x:c r="H62" s="24" t="b">
        <x:v>1</x:v>
      </x:c>
      <x:c r="I62" s="24" t="b">
        <x:v>1</x:v>
      </x:c>
    </x:row>
    <x:row r="63">
      <x:c r="A63" t="str">
        <x:v>PROF-005</x:v>
      </x:c>
      <x:c r="B63" t="str">
        <x:v>REL</x:v>
      </x:c>
      <x:c r="C63" t="n">
        <x:v>2</x:v>
      </x:c>
      <x:c r="D63" t="str">
        <x:v>A</x:v>
      </x:c>
      <x:c r="E63" t="str">
        <x:v>2A</x:v>
      </x:c>
      <x:c r="F63" t="n">
        <x:v>2026</x:v>
      </x:c>
      <x:c r="G63" t="str">
        <x:v>2026-2A-REL</x:v>
      </x:c>
      <x:c r="H63" s="24" t="b">
        <x:v>1</x:v>
      </x:c>
      <x:c r="I63" s="24" t="b">
        <x:v>1</x:v>
      </x:c>
    </x:row>
    <x:row r="64">
      <x:c r="A64" t="str">
        <x:v>PROF-005</x:v>
      </x:c>
      <x:c r="B64" t="str">
        <x:v>ING</x:v>
      </x:c>
      <x:c r="C64" t="n">
        <x:v>2</x:v>
      </x:c>
      <x:c r="D64" t="str">
        <x:v>A</x:v>
      </x:c>
      <x:c r="E64" t="str">
        <x:v>2A</x:v>
      </x:c>
      <x:c r="F64" t="n">
        <x:v>2026</x:v>
      </x:c>
      <x:c r="G64" t="str">
        <x:v>2026-2A-ING</x:v>
      </x:c>
      <x:c r="H64" s="24" t="b">
        <x:v>1</x:v>
      </x:c>
      <x:c r="I64" s="24" t="b">
        <x:v>1</x:v>
      </x:c>
    </x:row>
    <x:row r="65">
      <x:c r="A65" t="str">
        <x:v>PROF-005</x:v>
      </x:c>
      <x:c r="B65" t="str">
        <x:v>TAL</x:v>
      </x:c>
      <x:c r="C65" t="n">
        <x:v>2</x:v>
      </x:c>
      <x:c r="D65" t="str">
        <x:v>A</x:v>
      </x:c>
      <x:c r="E65" t="str">
        <x:v>2A</x:v>
      </x:c>
      <x:c r="F65" t="n">
        <x:v>2026</x:v>
      </x:c>
      <x:c r="G65" t="str">
        <x:v>2026-2A-TAL</x:v>
      </x:c>
      <x:c r="H65" s="24" t="b">
        <x:v>1</x:v>
      </x:c>
      <x:c r="I65" s="24" t="b">
        <x:v>1</x:v>
      </x:c>
    </x:row>
    <x:row r="66">
      <x:c r="A66" t="str">
        <x:v>PROF-005</x:v>
      </x:c>
      <x:c r="B66" t="str">
        <x:v>EDF</x:v>
      </x:c>
      <x:c r="C66" t="n">
        <x:v>2</x:v>
      </x:c>
      <x:c r="D66" t="str">
        <x:v>A</x:v>
      </x:c>
      <x:c r="E66" t="str">
        <x:v>2A</x:v>
      </x:c>
      <x:c r="F66" t="n">
        <x:v>2026</x:v>
      </x:c>
      <x:c r="G66" t="str">
        <x:v>2026-2A-EDF</x:v>
      </x:c>
      <x:c r="H66" s="24" t="b">
        <x:v>1</x:v>
      </x:c>
      <x:c r="I66" s="24" t="b">
        <x:v>1</x:v>
      </x:c>
    </x:row>
    <x:row r="67">
      <x:c r="A67" t="str">
        <x:v>PROF-006</x:v>
      </x:c>
      <x:c r="B67" t="str">
        <x:v>ARI</x:v>
      </x:c>
      <x:c r="C67" t="n">
        <x:v>2</x:v>
      </x:c>
      <x:c r="D67" t="str">
        <x:v>B</x:v>
      </x:c>
      <x:c r="E67" t="str">
        <x:v>2B</x:v>
      </x:c>
      <x:c r="F67" t="n">
        <x:v>2026</x:v>
      </x:c>
      <x:c r="G67" t="str">
        <x:v>2026-2B-ARI</x:v>
      </x:c>
      <x:c r="H67" s="24" t="b">
        <x:v>1</x:v>
      </x:c>
      <x:c r="I67" s="24" t="b">
        <x:v>1</x:v>
      </x:c>
    </x:row>
    <x:row r="68">
      <x:c r="A68" t="str">
        <x:v>PROF-006</x:v>
      </x:c>
      <x:c r="B68" t="str">
        <x:v>PDT</x:v>
      </x:c>
      <x:c r="C68" t="n">
        <x:v>2</x:v>
      </x:c>
      <x:c r="D68" t="str">
        <x:v>B</x:v>
      </x:c>
      <x:c r="E68" t="str">
        <x:v>2B</x:v>
      </x:c>
      <x:c r="F68" t="n">
        <x:v>2026</x:v>
      </x:c>
      <x:c r="G68" t="str">
        <x:v>2026-2B-PDT</x:v>
      </x:c>
      <x:c r="H68" s="24" t="b">
        <x:v>1</x:v>
      </x:c>
      <x:c r="I68" s="24" t="b">
        <x:v>1</x:v>
      </x:c>
    </x:row>
    <x:row r="69">
      <x:c r="A69" t="str">
        <x:v>PROF-006</x:v>
      </x:c>
      <x:c r="B69" t="str">
        <x:v>GRA</x:v>
      </x:c>
      <x:c r="C69" t="n">
        <x:v>2</x:v>
      </x:c>
      <x:c r="D69" t="str">
        <x:v>B</x:v>
      </x:c>
      <x:c r="E69" t="str">
        <x:v>2B</x:v>
      </x:c>
      <x:c r="F69" t="n">
        <x:v>2026</x:v>
      </x:c>
      <x:c r="G69" t="str">
        <x:v>2026-2B-GRA</x:v>
      </x:c>
      <x:c r="H69" s="24" t="b">
        <x:v>1</x:v>
      </x:c>
      <x:c r="I69" s="24" t="b">
        <x:v>1</x:v>
      </x:c>
    </x:row>
    <x:row r="70">
      <x:c r="A70" t="str">
        <x:v>PROF-006</x:v>
      </x:c>
      <x:c r="B70" t="str">
        <x:v>RZV</x:v>
      </x:c>
      <x:c r="C70" t="n">
        <x:v>2</x:v>
      </x:c>
      <x:c r="D70" t="str">
        <x:v>B</x:v>
      </x:c>
      <x:c r="E70" t="str">
        <x:v>2B</x:v>
      </x:c>
      <x:c r="F70" t="n">
        <x:v>2026</x:v>
      </x:c>
      <x:c r="G70" t="str">
        <x:v>2026-2B-RZV</x:v>
      </x:c>
      <x:c r="H70" s="24" t="b">
        <x:v>1</x:v>
      </x:c>
      <x:c r="I70" s="24" t="b">
        <x:v>1</x:v>
      </x:c>
    </x:row>
    <x:row r="71">
      <x:c r="A71" t="str">
        <x:v>PROF-006</x:v>
      </x:c>
      <x:c r="B71" t="str">
        <x:v>CUH</x:v>
      </x:c>
      <x:c r="C71" t="n">
        <x:v>2</x:v>
      </x:c>
      <x:c r="D71" t="str">
        <x:v>B</x:v>
      </x:c>
      <x:c r="E71" t="str">
        <x:v>2B</x:v>
      </x:c>
      <x:c r="F71" t="n">
        <x:v>2026</x:v>
      </x:c>
      <x:c r="G71" t="str">
        <x:v>2026-2B-CUH</x:v>
      </x:c>
      <x:c r="H71" s="24" t="b">
        <x:v>1</x:v>
      </x:c>
      <x:c r="I71" s="24" t="b">
        <x:v>1</x:v>
      </x:c>
    </x:row>
    <x:row r="72">
      <x:c r="A72" t="str">
        <x:v>PROF-006</x:v>
      </x:c>
      <x:c r="B72" t="str">
        <x:v>MUF</x:v>
      </x:c>
      <x:c r="C72" t="n">
        <x:v>2</x:v>
      </x:c>
      <x:c r="D72" t="str">
        <x:v>B</x:v>
      </x:c>
      <x:c r="E72" t="str">
        <x:v>2B</x:v>
      </x:c>
      <x:c r="F72" t="n">
        <x:v>2026</x:v>
      </x:c>
      <x:c r="G72" t="str">
        <x:v>2026-2B-MUF</x:v>
      </x:c>
      <x:c r="H72" s="24" t="b">
        <x:v>1</x:v>
      </x:c>
      <x:c r="I72" s="24" t="b">
        <x:v>1</x:v>
      </x:c>
    </x:row>
    <x:row r="73">
      <x:c r="A73" t="str">
        <x:v>PROF-006</x:v>
      </x:c>
      <x:c r="B73" t="str">
        <x:v>CIU</x:v>
      </x:c>
      <x:c r="C73" t="n">
        <x:v>2</x:v>
      </x:c>
      <x:c r="D73" t="str">
        <x:v>B</x:v>
      </x:c>
      <x:c r="E73" t="str">
        <x:v>2B</x:v>
      </x:c>
      <x:c r="F73" t="n">
        <x:v>2026</x:v>
      </x:c>
      <x:c r="G73" t="str">
        <x:v>2026-2B-CIU</x:v>
      </x:c>
      <x:c r="H73" s="24" t="b">
        <x:v>1</x:v>
      </x:c>
      <x:c r="I73" s="24" t="b">
        <x:v>1</x:v>
      </x:c>
    </x:row>
    <x:row r="74">
      <x:c r="A74" t="str">
        <x:v>PROF-006</x:v>
      </x:c>
      <x:c r="B74" t="str">
        <x:v>GEG</x:v>
      </x:c>
      <x:c r="C74" t="n">
        <x:v>2</x:v>
      </x:c>
      <x:c r="D74" t="str">
        <x:v>B</x:v>
      </x:c>
      <x:c r="E74" t="str">
        <x:v>2B</x:v>
      </x:c>
      <x:c r="F74" t="n">
        <x:v>2026</x:v>
      </x:c>
      <x:c r="G74" t="str">
        <x:v>2026-2B-GEG</x:v>
      </x:c>
      <x:c r="H74" s="24" t="b">
        <x:v>1</x:v>
      </x:c>
      <x:c r="I74" s="24" t="b">
        <x:v>1</x:v>
      </x:c>
    </x:row>
    <x:row r="75">
      <x:c r="A75" t="str">
        <x:v>PROF-006</x:v>
      </x:c>
      <x:c r="B75" t="str">
        <x:v>HIS</x:v>
      </x:c>
      <x:c r="C75" t="n">
        <x:v>2</x:v>
      </x:c>
      <x:c r="D75" t="str">
        <x:v>B</x:v>
      </x:c>
      <x:c r="E75" t="str">
        <x:v>2B</x:v>
      </x:c>
      <x:c r="F75" t="n">
        <x:v>2026</x:v>
      </x:c>
      <x:c r="G75" t="str">
        <x:v>2026-2B-HIS</x:v>
      </x:c>
      <x:c r="H75" s="24" t="b">
        <x:v>1</x:v>
      </x:c>
      <x:c r="I75" s="24" t="b">
        <x:v>1</x:v>
      </x:c>
    </x:row>
    <x:row r="76">
      <x:c r="A76" t="str">
        <x:v>PROF-006</x:v>
      </x:c>
      <x:c r="B76" t="str">
        <x:v>REL</x:v>
      </x:c>
      <x:c r="C76" t="n">
        <x:v>2</x:v>
      </x:c>
      <x:c r="D76" t="str">
        <x:v>B</x:v>
      </x:c>
      <x:c r="E76" t="str">
        <x:v>2B</x:v>
      </x:c>
      <x:c r="F76" t="n">
        <x:v>2026</x:v>
      </x:c>
      <x:c r="G76" t="str">
        <x:v>2026-2B-REL</x:v>
      </x:c>
      <x:c r="H76" s="24" t="b">
        <x:v>1</x:v>
      </x:c>
      <x:c r="I76" s="24" t="b">
        <x:v>1</x:v>
      </x:c>
    </x:row>
    <x:row r="77">
      <x:c r="A77" t="str">
        <x:v>PROF-006</x:v>
      </x:c>
      <x:c r="B77" t="str">
        <x:v>ING</x:v>
      </x:c>
      <x:c r="C77" t="n">
        <x:v>2</x:v>
      </x:c>
      <x:c r="D77" t="str">
        <x:v>B</x:v>
      </x:c>
      <x:c r="E77" t="str">
        <x:v>2B</x:v>
      </x:c>
      <x:c r="F77" t="n">
        <x:v>2026</x:v>
      </x:c>
      <x:c r="G77" t="str">
        <x:v>2026-2B-ING</x:v>
      </x:c>
      <x:c r="H77" s="24" t="b">
        <x:v>1</x:v>
      </x:c>
      <x:c r="I77" s="24" t="b">
        <x:v>1</x:v>
      </x:c>
    </x:row>
    <x:row r="78">
      <x:c r="A78" t="str">
        <x:v>PROF-006</x:v>
      </x:c>
      <x:c r="B78" t="str">
        <x:v>TAL</x:v>
      </x:c>
      <x:c r="C78" t="n">
        <x:v>2</x:v>
      </x:c>
      <x:c r="D78" t="str">
        <x:v>B</x:v>
      </x:c>
      <x:c r="E78" t="str">
        <x:v>2B</x:v>
      </x:c>
      <x:c r="F78" t="n">
        <x:v>2026</x:v>
      </x:c>
      <x:c r="G78" t="str">
        <x:v>2026-2B-TAL</x:v>
      </x:c>
      <x:c r="H78" s="24" t="b">
        <x:v>1</x:v>
      </x:c>
      <x:c r="I78" s="24" t="b">
        <x:v>1</x:v>
      </x:c>
    </x:row>
    <x:row r="79">
      <x:c r="A79" t="str">
        <x:v>PROF-006</x:v>
      </x:c>
      <x:c r="B79" t="str">
        <x:v>EDF</x:v>
      </x:c>
      <x:c r="C79" t="n">
        <x:v>2</x:v>
      </x:c>
      <x:c r="D79" t="str">
        <x:v>B</x:v>
      </x:c>
      <x:c r="E79" t="str">
        <x:v>2B</x:v>
      </x:c>
      <x:c r="F79" t="n">
        <x:v>2026</x:v>
      </x:c>
      <x:c r="G79" t="str">
        <x:v>2026-2B-EDF</x:v>
      </x:c>
      <x:c r="H79" s="24" t="b">
        <x:v>1</x:v>
      </x:c>
      <x:c r="I79" s="24" t="b">
        <x:v>1</x:v>
      </x:c>
    </x:row>
    <x:row r="80">
      <x:c r="A80" t="str">
        <x:v>PROF-007</x:v>
      </x:c>
      <x:c r="B80" t="str">
        <x:v>ARI</x:v>
      </x:c>
      <x:c r="C80" t="n">
        <x:v>2</x:v>
      </x:c>
      <x:c r="D80" t="str">
        <x:v>C</x:v>
      </x:c>
      <x:c r="E80" t="str">
        <x:v>2C</x:v>
      </x:c>
      <x:c r="F80" t="n">
        <x:v>2026</x:v>
      </x:c>
      <x:c r="G80" t="str">
        <x:v>2026-2C-ARI</x:v>
      </x:c>
      <x:c r="H80" s="24" t="b">
        <x:v>1</x:v>
      </x:c>
      <x:c r="I80" s="24" t="b">
        <x:v>1</x:v>
      </x:c>
    </x:row>
    <x:row r="81">
      <x:c r="A81" t="str">
        <x:v>PROF-007</x:v>
      </x:c>
      <x:c r="B81" t="str">
        <x:v>PDT</x:v>
      </x:c>
      <x:c r="C81" t="n">
        <x:v>2</x:v>
      </x:c>
      <x:c r="D81" t="str">
        <x:v>C</x:v>
      </x:c>
      <x:c r="E81" t="str">
        <x:v>2C</x:v>
      </x:c>
      <x:c r="F81" t="n">
        <x:v>2026</x:v>
      </x:c>
      <x:c r="G81" t="str">
        <x:v>2026-2C-PDT</x:v>
      </x:c>
      <x:c r="H81" s="24" t="b">
        <x:v>1</x:v>
      </x:c>
      <x:c r="I81" s="24" t="b">
        <x:v>1</x:v>
      </x:c>
    </x:row>
    <x:row r="82">
      <x:c r="A82" t="str">
        <x:v>PROF-007</x:v>
      </x:c>
      <x:c r="B82" t="str">
        <x:v>GRA</x:v>
      </x:c>
      <x:c r="C82" t="n">
        <x:v>2</x:v>
      </x:c>
      <x:c r="D82" t="str">
        <x:v>C</x:v>
      </x:c>
      <x:c r="E82" t="str">
        <x:v>2C</x:v>
      </x:c>
      <x:c r="F82" t="n">
        <x:v>2026</x:v>
      </x:c>
      <x:c r="G82" t="str">
        <x:v>2026-2C-GRA</x:v>
      </x:c>
      <x:c r="H82" s="24" t="b">
        <x:v>1</x:v>
      </x:c>
      <x:c r="I82" s="24" t="b">
        <x:v>1</x:v>
      </x:c>
    </x:row>
    <x:row r="83">
      <x:c r="A83" t="str">
        <x:v>PROF-007</x:v>
      </x:c>
      <x:c r="B83" t="str">
        <x:v>RZV</x:v>
      </x:c>
      <x:c r="C83" t="n">
        <x:v>2</x:v>
      </x:c>
      <x:c r="D83" t="str">
        <x:v>C</x:v>
      </x:c>
      <x:c r="E83" t="str">
        <x:v>2C</x:v>
      </x:c>
      <x:c r="F83" t="n">
        <x:v>2026</x:v>
      </x:c>
      <x:c r="G83" t="str">
        <x:v>2026-2C-RZV</x:v>
      </x:c>
      <x:c r="H83" s="24" t="b">
        <x:v>1</x:v>
      </x:c>
      <x:c r="I83" s="24" t="b">
        <x:v>1</x:v>
      </x:c>
    </x:row>
    <x:row r="84">
      <x:c r="A84" t="str">
        <x:v>PROF-007</x:v>
      </x:c>
      <x:c r="B84" t="str">
        <x:v>CUH</x:v>
      </x:c>
      <x:c r="C84" t="n">
        <x:v>2</x:v>
      </x:c>
      <x:c r="D84" t="str">
        <x:v>C</x:v>
      </x:c>
      <x:c r="E84" t="str">
        <x:v>2C</x:v>
      </x:c>
      <x:c r="F84" t="n">
        <x:v>2026</x:v>
      </x:c>
      <x:c r="G84" t="str">
        <x:v>2026-2C-CUH</x:v>
      </x:c>
      <x:c r="H84" s="24" t="b">
        <x:v>1</x:v>
      </x:c>
      <x:c r="I84" s="24" t="b">
        <x:v>1</x:v>
      </x:c>
    </x:row>
    <x:row r="85">
      <x:c r="A85" t="str">
        <x:v>PROF-007</x:v>
      </x:c>
      <x:c r="B85" t="str">
        <x:v>MUF</x:v>
      </x:c>
      <x:c r="C85" t="n">
        <x:v>2</x:v>
      </x:c>
      <x:c r="D85" t="str">
        <x:v>C</x:v>
      </x:c>
      <x:c r="E85" t="str">
        <x:v>2C</x:v>
      </x:c>
      <x:c r="F85" t="n">
        <x:v>2026</x:v>
      </x:c>
      <x:c r="G85" t="str">
        <x:v>2026-2C-MUF</x:v>
      </x:c>
      <x:c r="H85" s="24" t="b">
        <x:v>1</x:v>
      </x:c>
      <x:c r="I85" s="24" t="b">
        <x:v>1</x:v>
      </x:c>
    </x:row>
    <x:row r="86">
      <x:c r="A86" t="str">
        <x:v>PROF-007</x:v>
      </x:c>
      <x:c r="B86" t="str">
        <x:v>CIU</x:v>
      </x:c>
      <x:c r="C86" t="n">
        <x:v>2</x:v>
      </x:c>
      <x:c r="D86" t="str">
        <x:v>C</x:v>
      </x:c>
      <x:c r="E86" t="str">
        <x:v>2C</x:v>
      </x:c>
      <x:c r="F86" t="n">
        <x:v>2026</x:v>
      </x:c>
      <x:c r="G86" t="str">
        <x:v>2026-2C-CIU</x:v>
      </x:c>
      <x:c r="H86" s="24" t="b">
        <x:v>1</x:v>
      </x:c>
      <x:c r="I86" s="24" t="b">
        <x:v>1</x:v>
      </x:c>
    </x:row>
    <x:row r="87">
      <x:c r="A87" t="str">
        <x:v>PROF-007</x:v>
      </x:c>
      <x:c r="B87" t="str">
        <x:v>GEG</x:v>
      </x:c>
      <x:c r="C87" t="n">
        <x:v>2</x:v>
      </x:c>
      <x:c r="D87" t="str">
        <x:v>C</x:v>
      </x:c>
      <x:c r="E87" t="str">
        <x:v>2C</x:v>
      </x:c>
      <x:c r="F87" t="n">
        <x:v>2026</x:v>
      </x:c>
      <x:c r="G87" t="str">
        <x:v>2026-2C-GEG</x:v>
      </x:c>
      <x:c r="H87" s="24" t="b">
        <x:v>1</x:v>
      </x:c>
      <x:c r="I87" s="24" t="b">
        <x:v>1</x:v>
      </x:c>
    </x:row>
    <x:row r="88">
      <x:c r="A88" t="str">
        <x:v>PROF-007</x:v>
      </x:c>
      <x:c r="B88" t="str">
        <x:v>HIS</x:v>
      </x:c>
      <x:c r="C88" t="n">
        <x:v>2</x:v>
      </x:c>
      <x:c r="D88" t="str">
        <x:v>C</x:v>
      </x:c>
      <x:c r="E88" t="str">
        <x:v>2C</x:v>
      </x:c>
      <x:c r="F88" t="n">
        <x:v>2026</x:v>
      </x:c>
      <x:c r="G88" t="str">
        <x:v>2026-2C-HIS</x:v>
      </x:c>
      <x:c r="H88" s="24" t="b">
        <x:v>1</x:v>
      </x:c>
      <x:c r="I88" s="24" t="b">
        <x:v>1</x:v>
      </x:c>
    </x:row>
    <x:row r="89">
      <x:c r="A89" t="str">
        <x:v>PROF-007</x:v>
      </x:c>
      <x:c r="B89" t="str">
        <x:v>REL</x:v>
      </x:c>
      <x:c r="C89" t="n">
        <x:v>2</x:v>
      </x:c>
      <x:c r="D89" t="str">
        <x:v>C</x:v>
      </x:c>
      <x:c r="E89" t="str">
        <x:v>2C</x:v>
      </x:c>
      <x:c r="F89" t="n">
        <x:v>2026</x:v>
      </x:c>
      <x:c r="G89" t="str">
        <x:v>2026-2C-REL</x:v>
      </x:c>
      <x:c r="H89" s="24" t="b">
        <x:v>1</x:v>
      </x:c>
      <x:c r="I89" s="24" t="b">
        <x:v>1</x:v>
      </x:c>
    </x:row>
    <x:row r="90">
      <x:c r="A90" t="str">
        <x:v>PROF-007</x:v>
      </x:c>
      <x:c r="B90" t="str">
        <x:v>ING</x:v>
      </x:c>
      <x:c r="C90" t="n">
        <x:v>2</x:v>
      </x:c>
      <x:c r="D90" t="str">
        <x:v>C</x:v>
      </x:c>
      <x:c r="E90" t="str">
        <x:v>2C</x:v>
      </x:c>
      <x:c r="F90" t="n">
        <x:v>2026</x:v>
      </x:c>
      <x:c r="G90" t="str">
        <x:v>2026-2C-ING</x:v>
      </x:c>
      <x:c r="H90" s="24" t="b">
        <x:v>1</x:v>
      </x:c>
      <x:c r="I90" s="24" t="b">
        <x:v>1</x:v>
      </x:c>
    </x:row>
    <x:row r="91">
      <x:c r="A91" t="str">
        <x:v>PROF-007</x:v>
      </x:c>
      <x:c r="B91" t="str">
        <x:v>TAL</x:v>
      </x:c>
      <x:c r="C91" t="n">
        <x:v>2</x:v>
      </x:c>
      <x:c r="D91" t="str">
        <x:v>C</x:v>
      </x:c>
      <x:c r="E91" t="str">
        <x:v>2C</x:v>
      </x:c>
      <x:c r="F91" t="n">
        <x:v>2026</x:v>
      </x:c>
      <x:c r="G91" t="str">
        <x:v>2026-2C-TAL</x:v>
      </x:c>
      <x:c r="H91" s="24" t="b">
        <x:v>1</x:v>
      </x:c>
      <x:c r="I91" s="24" t="b">
        <x:v>1</x:v>
      </x:c>
    </x:row>
    <x:row r="92">
      <x:c r="A92" t="str">
        <x:v>PROF-007</x:v>
      </x:c>
      <x:c r="B92" t="str">
        <x:v>EDF</x:v>
      </x:c>
      <x:c r="C92" t="n">
        <x:v>2</x:v>
      </x:c>
      <x:c r="D92" t="str">
        <x:v>C</x:v>
      </x:c>
      <x:c r="E92" t="str">
        <x:v>2C</x:v>
      </x:c>
      <x:c r="F92" t="n">
        <x:v>2026</x:v>
      </x:c>
      <x:c r="G92" t="str">
        <x:v>2026-2C-EDF</x:v>
      </x:c>
      <x:c r="H92" s="24" t="b">
        <x:v>1</x:v>
      </x:c>
      <x:c r="I92" s="24" t="b">
        <x:v>1</x:v>
      </x:c>
    </x:row>
    <x:row r="93">
      <x:c r="A93" t="str">
        <x:v>PROF-008</x:v>
      </x:c>
      <x:c r="B93" t="str">
        <x:v>ARI</x:v>
      </x:c>
      <x:c r="C93" t="n">
        <x:v>2</x:v>
      </x:c>
      <x:c r="D93" t="str">
        <x:v>D</x:v>
      </x:c>
      <x:c r="E93" t="str">
        <x:v>2D</x:v>
      </x:c>
      <x:c r="F93" t="n">
        <x:v>2026</x:v>
      </x:c>
      <x:c r="G93" t="str">
        <x:v>2026-2D-ARI</x:v>
      </x:c>
      <x:c r="H93" s="24" t="b">
        <x:v>1</x:v>
      </x:c>
      <x:c r="I93" s="24" t="b">
        <x:v>1</x:v>
      </x:c>
    </x:row>
    <x:row r="94">
      <x:c r="A94" t="str">
        <x:v>PROF-008</x:v>
      </x:c>
      <x:c r="B94" t="str">
        <x:v>PDT</x:v>
      </x:c>
      <x:c r="C94" t="n">
        <x:v>2</x:v>
      </x:c>
      <x:c r="D94" t="str">
        <x:v>D</x:v>
      </x:c>
      <x:c r="E94" t="str">
        <x:v>2D</x:v>
      </x:c>
      <x:c r="F94" t="n">
        <x:v>2026</x:v>
      </x:c>
      <x:c r="G94" t="str">
        <x:v>2026-2D-PDT</x:v>
      </x:c>
      <x:c r="H94" s="24" t="b">
        <x:v>1</x:v>
      </x:c>
      <x:c r="I94" s="24" t="b">
        <x:v>1</x:v>
      </x:c>
    </x:row>
    <x:row r="95">
      <x:c r="A95" t="str">
        <x:v>PROF-008</x:v>
      </x:c>
      <x:c r="B95" t="str">
        <x:v>GRA</x:v>
      </x:c>
      <x:c r="C95" t="n">
        <x:v>2</x:v>
      </x:c>
      <x:c r="D95" t="str">
        <x:v>D</x:v>
      </x:c>
      <x:c r="E95" t="str">
        <x:v>2D</x:v>
      </x:c>
      <x:c r="F95" t="n">
        <x:v>2026</x:v>
      </x:c>
      <x:c r="G95" t="str">
        <x:v>2026-2D-GRA</x:v>
      </x:c>
      <x:c r="H95" s="24" t="b">
        <x:v>1</x:v>
      </x:c>
      <x:c r="I95" s="24" t="b">
        <x:v>1</x:v>
      </x:c>
    </x:row>
    <x:row r="96">
      <x:c r="A96" t="str">
        <x:v>PROF-008</x:v>
      </x:c>
      <x:c r="B96" t="str">
        <x:v>RZV</x:v>
      </x:c>
      <x:c r="C96" t="n">
        <x:v>2</x:v>
      </x:c>
      <x:c r="D96" t="str">
        <x:v>D</x:v>
      </x:c>
      <x:c r="E96" t="str">
        <x:v>2D</x:v>
      </x:c>
      <x:c r="F96" t="n">
        <x:v>2026</x:v>
      </x:c>
      <x:c r="G96" t="str">
        <x:v>2026-2D-RZV</x:v>
      </x:c>
      <x:c r="H96" s="24" t="b">
        <x:v>1</x:v>
      </x:c>
      <x:c r="I96" s="24" t="b">
        <x:v>1</x:v>
      </x:c>
    </x:row>
    <x:row r="97">
      <x:c r="A97" t="str">
        <x:v>PROF-008</x:v>
      </x:c>
      <x:c r="B97" t="str">
        <x:v>CUH</x:v>
      </x:c>
      <x:c r="C97" t="n">
        <x:v>2</x:v>
      </x:c>
      <x:c r="D97" t="str">
        <x:v>D</x:v>
      </x:c>
      <x:c r="E97" t="str">
        <x:v>2D</x:v>
      </x:c>
      <x:c r="F97" t="n">
        <x:v>2026</x:v>
      </x:c>
      <x:c r="G97" t="str">
        <x:v>2026-2D-CUH</x:v>
      </x:c>
      <x:c r="H97" s="24" t="b">
        <x:v>1</x:v>
      </x:c>
      <x:c r="I97" s="24" t="b">
        <x:v>1</x:v>
      </x:c>
    </x:row>
    <x:row r="98">
      <x:c r="A98" t="str">
        <x:v>PROF-008</x:v>
      </x:c>
      <x:c r="B98" t="str">
        <x:v>MUF</x:v>
      </x:c>
      <x:c r="C98" t="n">
        <x:v>2</x:v>
      </x:c>
      <x:c r="D98" t="str">
        <x:v>D</x:v>
      </x:c>
      <x:c r="E98" t="str">
        <x:v>2D</x:v>
      </x:c>
      <x:c r="F98" t="n">
        <x:v>2026</x:v>
      </x:c>
      <x:c r="G98" t="str">
        <x:v>2026-2D-MUF</x:v>
      </x:c>
      <x:c r="H98" s="24" t="b">
        <x:v>1</x:v>
      </x:c>
      <x:c r="I98" s="24" t="b">
        <x:v>1</x:v>
      </x:c>
    </x:row>
    <x:row r="99">
      <x:c r="A99" t="str">
        <x:v>PROF-008</x:v>
      </x:c>
      <x:c r="B99" t="str">
        <x:v>CIU</x:v>
      </x:c>
      <x:c r="C99" t="n">
        <x:v>2</x:v>
      </x:c>
      <x:c r="D99" t="str">
        <x:v>D</x:v>
      </x:c>
      <x:c r="E99" t="str">
        <x:v>2D</x:v>
      </x:c>
      <x:c r="F99" t="n">
        <x:v>2026</x:v>
      </x:c>
      <x:c r="G99" t="str">
        <x:v>2026-2D-CIU</x:v>
      </x:c>
      <x:c r="H99" s="24" t="b">
        <x:v>1</x:v>
      </x:c>
      <x:c r="I99" s="24" t="b">
        <x:v>1</x:v>
      </x:c>
    </x:row>
    <x:row r="100">
      <x:c r="A100" t="str">
        <x:v>PROF-008</x:v>
      </x:c>
      <x:c r="B100" t="str">
        <x:v>GEG</x:v>
      </x:c>
      <x:c r="C100" t="n">
        <x:v>2</x:v>
      </x:c>
      <x:c r="D100" t="str">
        <x:v>D</x:v>
      </x:c>
      <x:c r="E100" t="str">
        <x:v>2D</x:v>
      </x:c>
      <x:c r="F100" t="n">
        <x:v>2026</x:v>
      </x:c>
      <x:c r="G100" t="str">
        <x:v>2026-2D-GEG</x:v>
      </x:c>
      <x:c r="H100" s="24" t="b">
        <x:v>1</x:v>
      </x:c>
      <x:c r="I100" s="24" t="b">
        <x:v>1</x:v>
      </x:c>
    </x:row>
    <x:row r="101">
      <x:c r="A101" t="str">
        <x:v>PROF-008</x:v>
      </x:c>
      <x:c r="B101" t="str">
        <x:v>HIS</x:v>
      </x:c>
      <x:c r="C101" t="n">
        <x:v>2</x:v>
      </x:c>
      <x:c r="D101" t="str">
        <x:v>D</x:v>
      </x:c>
      <x:c r="E101" t="str">
        <x:v>2D</x:v>
      </x:c>
      <x:c r="F101" t="n">
        <x:v>2026</x:v>
      </x:c>
      <x:c r="G101" t="str">
        <x:v>2026-2D-HIS</x:v>
      </x:c>
      <x:c r="H101" s="24" t="b">
        <x:v>1</x:v>
      </x:c>
      <x:c r="I101" s="24" t="b">
        <x:v>1</x:v>
      </x:c>
    </x:row>
    <x:row r="102">
      <x:c r="A102" t="str">
        <x:v>PROF-008</x:v>
      </x:c>
      <x:c r="B102" t="str">
        <x:v>REL</x:v>
      </x:c>
      <x:c r="C102" t="n">
        <x:v>2</x:v>
      </x:c>
      <x:c r="D102" t="str">
        <x:v>D</x:v>
      </x:c>
      <x:c r="E102" t="str">
        <x:v>2D</x:v>
      </x:c>
      <x:c r="F102" t="n">
        <x:v>2026</x:v>
      </x:c>
      <x:c r="G102" t="str">
        <x:v>2026-2D-REL</x:v>
      </x:c>
      <x:c r="H102" s="24" t="b">
        <x:v>1</x:v>
      </x:c>
      <x:c r="I102" s="24" t="b">
        <x:v>1</x:v>
      </x:c>
    </x:row>
    <x:row r="103">
      <x:c r="A103" t="str">
        <x:v>PROF-008</x:v>
      </x:c>
      <x:c r="B103" t="str">
        <x:v>ING</x:v>
      </x:c>
      <x:c r="C103" t="n">
        <x:v>2</x:v>
      </x:c>
      <x:c r="D103" t="str">
        <x:v>D</x:v>
      </x:c>
      <x:c r="E103" t="str">
        <x:v>2D</x:v>
      </x:c>
      <x:c r="F103" t="n">
        <x:v>2026</x:v>
      </x:c>
      <x:c r="G103" t="str">
        <x:v>2026-2D-ING</x:v>
      </x:c>
      <x:c r="H103" s="24" t="b">
        <x:v>1</x:v>
      </x:c>
      <x:c r="I103" s="24" t="b">
        <x:v>1</x:v>
      </x:c>
    </x:row>
    <x:row r="104">
      <x:c r="A104" t="str">
        <x:v>PROF-008</x:v>
      </x:c>
      <x:c r="B104" t="str">
        <x:v>TAL</x:v>
      </x:c>
      <x:c r="C104" t="n">
        <x:v>2</x:v>
      </x:c>
      <x:c r="D104" t="str">
        <x:v>D</x:v>
      </x:c>
      <x:c r="E104" t="str">
        <x:v>2D</x:v>
      </x:c>
      <x:c r="F104" t="n">
        <x:v>2026</x:v>
      </x:c>
      <x:c r="G104" t="str">
        <x:v>2026-2D-TAL</x:v>
      </x:c>
      <x:c r="H104" s="24" t="b">
        <x:v>1</x:v>
      </x:c>
      <x:c r="I104" s="24" t="b">
        <x:v>1</x:v>
      </x:c>
    </x:row>
    <x:row r="105">
      <x:c r="A105" t="str">
        <x:v>PROF-008</x:v>
      </x:c>
      <x:c r="B105" t="str">
        <x:v>EDF</x:v>
      </x:c>
      <x:c r="C105" t="n">
        <x:v>2</x:v>
      </x:c>
      <x:c r="D105" t="str">
        <x:v>D</x:v>
      </x:c>
      <x:c r="E105" t="str">
        <x:v>2D</x:v>
      </x:c>
      <x:c r="F105" t="n">
        <x:v>2026</x:v>
      </x:c>
      <x:c r="G105" t="str">
        <x:v>2026-2D-EDF</x:v>
      </x:c>
      <x:c r="H105" s="24" t="b">
        <x:v>1</x:v>
      </x:c>
      <x:c r="I105" s="24" t="b">
        <x:v>1</x:v>
      </x:c>
    </x:row>
    <x:row r="106">
      <x:c r="A106" t="str">
        <x:v>PROF-009</x:v>
      </x:c>
      <x:c r="B106" t="str">
        <x:v>ARI</x:v>
      </x:c>
      <x:c r="C106" t="n">
        <x:v>3</x:v>
      </x:c>
      <x:c r="D106" t="str">
        <x:v>A</x:v>
      </x:c>
      <x:c r="E106" t="str">
        <x:v>3A</x:v>
      </x:c>
      <x:c r="F106" t="n">
        <x:v>2026</x:v>
      </x:c>
      <x:c r="G106" t="str">
        <x:v>2026-3A-ARI</x:v>
      </x:c>
      <x:c r="H106" s="24" t="b">
        <x:v>0</x:v>
      </x:c>
      <x:c r="I106" s="24" t="b">
        <x:v>1</x:v>
      </x:c>
    </x:row>
    <x:row r="107">
      <x:c r="A107" t="str">
        <x:v>PROF-009</x:v>
      </x:c>
      <x:c r="B107" t="str">
        <x:v>ALG</x:v>
      </x:c>
      <x:c r="C107" t="n">
        <x:v>3</x:v>
      </x:c>
      <x:c r="D107" t="str">
        <x:v>A</x:v>
      </x:c>
      <x:c r="E107" t="str">
        <x:v>3A</x:v>
      </x:c>
      <x:c r="F107" t="n">
        <x:v>2026</x:v>
      </x:c>
      <x:c r="G107" t="str">
        <x:v>2026-3A-ALG</x:v>
      </x:c>
      <x:c r="H107" s="24" t="b">
        <x:v>0</x:v>
      </x:c>
      <x:c r="I107" s="24" t="b">
        <x:v>1</x:v>
      </x:c>
    </x:row>
    <x:row r="108">
      <x:c r="A108" t="str">
        <x:v>PROF-011</x:v>
      </x:c>
      <x:c r="B108" t="str">
        <x:v>RZM</x:v>
      </x:c>
      <x:c r="C108" t="n">
        <x:v>3</x:v>
      </x:c>
      <x:c r="D108" t="str">
        <x:v>A</x:v>
      </x:c>
      <x:c r="E108" t="str">
        <x:v>3A</x:v>
      </x:c>
      <x:c r="F108" t="n">
        <x:v>2026</x:v>
      </x:c>
      <x:c r="G108" t="str">
        <x:v>2026-3A-RZM</x:v>
      </x:c>
      <x:c r="H108" s="24" t="b">
        <x:v>0</x:v>
      </x:c>
      <x:c r="I108" s="24" t="b">
        <x:v>1</x:v>
      </x:c>
    </x:row>
    <x:row r="109">
      <x:c r="A109" t="str">
        <x:v>PROF-011</x:v>
      </x:c>
      <x:c r="B109" t="str">
        <x:v>GEO</x:v>
      </x:c>
      <x:c r="C109" t="n">
        <x:v>3</x:v>
      </x:c>
      <x:c r="D109" t="str">
        <x:v>A</x:v>
      </x:c>
      <x:c r="E109" t="str">
        <x:v>3A</x:v>
      </x:c>
      <x:c r="F109" t="n">
        <x:v>2026</x:v>
      </x:c>
      <x:c r="G109" t="str">
        <x:v>2026-3A-GEO</x:v>
      </x:c>
      <x:c r="H109" s="24" t="b">
        <x:v>0</x:v>
      </x:c>
      <x:c r="I109" s="24" t="b">
        <x:v>1</x:v>
      </x:c>
    </x:row>
    <x:row r="110">
      <x:c r="A110" t="str">
        <x:v>PROF-017</x:v>
      </x:c>
      <x:c r="B110" t="str">
        <x:v>PDT</x:v>
      </x:c>
      <x:c r="C110" t="n">
        <x:v>3</x:v>
      </x:c>
      <x:c r="D110" t="str">
        <x:v>A</x:v>
      </x:c>
      <x:c r="E110" t="str">
        <x:v>3A</x:v>
      </x:c>
      <x:c r="F110" t="n">
        <x:v>2026</x:v>
      </x:c>
      <x:c r="G110" t="str">
        <x:v>2026-3A-PDT</x:v>
      </x:c>
      <x:c r="H110" s="24" t="b">
        <x:v>0</x:v>
      </x:c>
      <x:c r="I110" s="24" t="b">
        <x:v>1</x:v>
      </x:c>
    </x:row>
    <x:row r="111">
      <x:c r="A111" t="str">
        <x:v>PROF-019</x:v>
      </x:c>
      <x:c r="B111" t="str">
        <x:v>GRA</x:v>
      </x:c>
      <x:c r="C111" t="n">
        <x:v>3</x:v>
      </x:c>
      <x:c r="D111" t="str">
        <x:v>A</x:v>
      </x:c>
      <x:c r="E111" t="str">
        <x:v>3A</x:v>
      </x:c>
      <x:c r="F111" t="n">
        <x:v>2026</x:v>
      </x:c>
      <x:c r="G111" t="str">
        <x:v>2026-3A-GRA</x:v>
      </x:c>
      <x:c r="H111" s="24" t="b">
        <x:v>0</x:v>
      </x:c>
      <x:c r="I111" s="24" t="b">
        <x:v>1</x:v>
      </x:c>
    </x:row>
    <x:row r="112">
      <x:c r="A112" t="str">
        <x:v>PROF-019</x:v>
      </x:c>
      <x:c r="B112" t="str">
        <x:v>RZV</x:v>
      </x:c>
      <x:c r="C112" t="n">
        <x:v>3</x:v>
      </x:c>
      <x:c r="D112" t="str">
        <x:v>A</x:v>
      </x:c>
      <x:c r="E112" t="str">
        <x:v>3A</x:v>
      </x:c>
      <x:c r="F112" t="n">
        <x:v>2026</x:v>
      </x:c>
      <x:c r="G112" t="str">
        <x:v>2026-3A-RZV</x:v>
      </x:c>
      <x:c r="H112" s="24" t="b">
        <x:v>0</x:v>
      </x:c>
      <x:c r="I112" s="24" t="b">
        <x:v>1</x:v>
      </x:c>
    </x:row>
    <x:row r="113">
      <x:c r="A113" t="str">
        <x:v>PROF-015</x:v>
      </x:c>
      <x:c r="B113" t="str">
        <x:v>CUH</x:v>
      </x:c>
      <x:c r="C113" t="n">
        <x:v>3</x:v>
      </x:c>
      <x:c r="D113" t="str">
        <x:v>A</x:v>
      </x:c>
      <x:c r="E113" t="str">
        <x:v>3A</x:v>
      </x:c>
      <x:c r="F113" t="n">
        <x:v>2026</x:v>
      </x:c>
      <x:c r="G113" t="str">
        <x:v>2026-3A-CUH</x:v>
      </x:c>
      <x:c r="H113" s="24" t="b">
        <x:v>0</x:v>
      </x:c>
      <x:c r="I113" s="24" t="b">
        <x:v>1</x:v>
      </x:c>
    </x:row>
    <x:row r="114">
      <x:c r="A114" t="str">
        <x:v>PROF-017</x:v>
      </x:c>
      <x:c r="B114" t="str">
        <x:v>MUF</x:v>
      </x:c>
      <x:c r="C114" t="n">
        <x:v>3</x:v>
      </x:c>
      <x:c r="D114" t="str">
        <x:v>A</x:v>
      </x:c>
      <x:c r="E114" t="str">
        <x:v>3A</x:v>
      </x:c>
      <x:c r="F114" t="n">
        <x:v>2026</x:v>
      </x:c>
      <x:c r="G114" t="str">
        <x:v>2026-3A-MUF</x:v>
      </x:c>
      <x:c r="H114" s="24" t="b">
        <x:v>0</x:v>
      </x:c>
      <x:c r="I114" s="24" t="b">
        <x:v>1</x:v>
      </x:c>
    </x:row>
    <x:row r="115">
      <x:c r="A115" t="str">
        <x:v>PROF-013</x:v>
      </x:c>
      <x:c r="B115" t="str">
        <x:v>CIU</x:v>
      </x:c>
      <x:c r="C115" t="n">
        <x:v>3</x:v>
      </x:c>
      <x:c r="D115" t="str">
        <x:v>A</x:v>
      </x:c>
      <x:c r="E115" t="str">
        <x:v>3A</x:v>
      </x:c>
      <x:c r="F115" t="n">
        <x:v>2026</x:v>
      </x:c>
      <x:c r="G115" t="str">
        <x:v>2026-3A-CIU</x:v>
      </x:c>
      <x:c r="H115" s="24" t="b">
        <x:v>0</x:v>
      </x:c>
      <x:c r="I115" s="24" t="b">
        <x:v>1</x:v>
      </x:c>
    </x:row>
    <x:row r="116">
      <x:c r="A116" t="str">
        <x:v>PROF-015</x:v>
      </x:c>
      <x:c r="B116" t="str">
        <x:v>GEG</x:v>
      </x:c>
      <x:c r="C116" t="n">
        <x:v>3</x:v>
      </x:c>
      <x:c r="D116" t="str">
        <x:v>A</x:v>
      </x:c>
      <x:c r="E116" t="str">
        <x:v>3A</x:v>
      </x:c>
      <x:c r="F116" t="n">
        <x:v>2026</x:v>
      </x:c>
      <x:c r="G116" t="str">
        <x:v>2026-3A-GEG</x:v>
      </x:c>
      <x:c r="H116" s="24" t="b">
        <x:v>0</x:v>
      </x:c>
      <x:c r="I116" s="24" t="b">
        <x:v>1</x:v>
      </x:c>
    </x:row>
    <x:row r="117">
      <x:c r="A117" t="str">
        <x:v>PROF-013</x:v>
      </x:c>
      <x:c r="B117" t="str">
        <x:v>HIS</x:v>
      </x:c>
      <x:c r="C117" t="n">
        <x:v>3</x:v>
      </x:c>
      <x:c r="D117" t="str">
        <x:v>A</x:v>
      </x:c>
      <x:c r="E117" t="str">
        <x:v>3A</x:v>
      </x:c>
      <x:c r="F117" t="n">
        <x:v>2026</x:v>
      </x:c>
      <x:c r="G117" t="str">
        <x:v>2026-3A-HIS</x:v>
      </x:c>
      <x:c r="H117" s="24" t="b">
        <x:v>0</x:v>
      </x:c>
      <x:c r="I117" s="24" t="b">
        <x:v>1</x:v>
      </x:c>
    </x:row>
    <x:row r="118">
      <x:c r="A118" t="str">
        <x:v>PROF-021</x:v>
      </x:c>
      <x:c r="B118" t="str">
        <x:v>REL</x:v>
      </x:c>
      <x:c r="C118" t="n">
        <x:v>3</x:v>
      </x:c>
      <x:c r="D118" t="str">
        <x:v>A</x:v>
      </x:c>
      <x:c r="E118" t="str">
        <x:v>3A</x:v>
      </x:c>
      <x:c r="F118" t="n">
        <x:v>2026</x:v>
      </x:c>
      <x:c r="G118" t="str">
        <x:v>2026-3A-REL</x:v>
      </x:c>
      <x:c r="H118" s="24" t="b">
        <x:v>0</x:v>
      </x:c>
      <x:c r="I118" s="24" t="b">
        <x:v>1</x:v>
      </x:c>
    </x:row>
    <x:row r="119">
      <x:c r="A119" t="str">
        <x:v>PROF-021</x:v>
      </x:c>
      <x:c r="B119" t="str">
        <x:v>ING</x:v>
      </x:c>
      <x:c r="C119" t="n">
        <x:v>3</x:v>
      </x:c>
      <x:c r="D119" t="str">
        <x:v>A</x:v>
      </x:c>
      <x:c r="E119" t="str">
        <x:v>3A</x:v>
      </x:c>
      <x:c r="F119" t="n">
        <x:v>2026</x:v>
      </x:c>
      <x:c r="G119" t="str">
        <x:v>2026-3A-ING</x:v>
      </x:c>
      <x:c r="H119" s="24" t="b">
        <x:v>0</x:v>
      </x:c>
      <x:c r="I119" s="24" t="b">
        <x:v>1</x:v>
      </x:c>
    </x:row>
    <x:row r="120">
      <x:c r="A120" t="str">
        <x:v>PROF-023</x:v>
      </x:c>
      <x:c r="B120" t="str">
        <x:v>TAL</x:v>
      </x:c>
      <x:c r="C120" t="n">
        <x:v>3</x:v>
      </x:c>
      <x:c r="D120" t="str">
        <x:v>A</x:v>
      </x:c>
      <x:c r="E120" t="str">
        <x:v>3A</x:v>
      </x:c>
      <x:c r="F120" t="n">
        <x:v>2026</x:v>
      </x:c>
      <x:c r="G120" t="str">
        <x:v>2026-3A-TAL</x:v>
      </x:c>
      <x:c r="H120" s="24" t="b">
        <x:v>0</x:v>
      </x:c>
      <x:c r="I120" s="24" t="b">
        <x:v>1</x:v>
      </x:c>
    </x:row>
    <x:row r="121">
      <x:c r="A121" t="str">
        <x:v>PROF-023</x:v>
      </x:c>
      <x:c r="B121" t="str">
        <x:v>EDF</x:v>
      </x:c>
      <x:c r="C121" t="n">
        <x:v>3</x:v>
      </x:c>
      <x:c r="D121" t="str">
        <x:v>A</x:v>
      </x:c>
      <x:c r="E121" t="str">
        <x:v>3A</x:v>
      </x:c>
      <x:c r="F121" t="n">
        <x:v>2026</x:v>
      </x:c>
      <x:c r="G121" t="str">
        <x:v>2026-3A-EDF</x:v>
      </x:c>
      <x:c r="H121" s="24" t="b">
        <x:v>0</x:v>
      </x:c>
      <x:c r="I121" s="24" t="b">
        <x:v>1</x:v>
      </x:c>
    </x:row>
    <x:row r="122">
      <x:c r="A122" t="str">
        <x:v>PROF-009</x:v>
      </x:c>
      <x:c r="B122" t="str">
        <x:v>ARI</x:v>
      </x:c>
      <x:c r="C122" t="n">
        <x:v>3</x:v>
      </x:c>
      <x:c r="D122" t="str">
        <x:v>B</x:v>
      </x:c>
      <x:c r="E122" t="str">
        <x:v>3B</x:v>
      </x:c>
      <x:c r="F122" t="n">
        <x:v>2026</x:v>
      </x:c>
      <x:c r="G122" t="str">
        <x:v>2026-3B-ARI</x:v>
      </x:c>
      <x:c r="H122" s="24" t="b">
        <x:v>0</x:v>
      </x:c>
      <x:c r="I122" s="24" t="b">
        <x:v>1</x:v>
      </x:c>
    </x:row>
    <x:row r="123">
      <x:c r="A123" t="str">
        <x:v>PROF-009</x:v>
      </x:c>
      <x:c r="B123" t="str">
        <x:v>ALG</x:v>
      </x:c>
      <x:c r="C123" t="n">
        <x:v>3</x:v>
      </x:c>
      <x:c r="D123" t="str">
        <x:v>B</x:v>
      </x:c>
      <x:c r="E123" t="str">
        <x:v>3B</x:v>
      </x:c>
      <x:c r="F123" t="n">
        <x:v>2026</x:v>
      </x:c>
      <x:c r="G123" t="str">
        <x:v>2026-3B-ALG</x:v>
      </x:c>
      <x:c r="H123" s="24" t="b">
        <x:v>0</x:v>
      </x:c>
      <x:c r="I123" s="24" t="b">
        <x:v>1</x:v>
      </x:c>
    </x:row>
    <x:row r="124">
      <x:c r="A124" t="str">
        <x:v>PROF-011</x:v>
      </x:c>
      <x:c r="B124" t="str">
        <x:v>RZM</x:v>
      </x:c>
      <x:c r="C124" t="n">
        <x:v>3</x:v>
      </x:c>
      <x:c r="D124" t="str">
        <x:v>B</x:v>
      </x:c>
      <x:c r="E124" t="str">
        <x:v>3B</x:v>
      </x:c>
      <x:c r="F124" t="n">
        <x:v>2026</x:v>
      </x:c>
      <x:c r="G124" t="str">
        <x:v>2026-3B-RZM</x:v>
      </x:c>
      <x:c r="H124" s="24" t="b">
        <x:v>0</x:v>
      </x:c>
      <x:c r="I124" s="24" t="b">
        <x:v>1</x:v>
      </x:c>
    </x:row>
    <x:row r="125">
      <x:c r="A125" t="str">
        <x:v>PROF-011</x:v>
      </x:c>
      <x:c r="B125" t="str">
        <x:v>GEO</x:v>
      </x:c>
      <x:c r="C125" t="n">
        <x:v>3</x:v>
      </x:c>
      <x:c r="D125" t="str">
        <x:v>B</x:v>
      </x:c>
      <x:c r="E125" t="str">
        <x:v>3B</x:v>
      </x:c>
      <x:c r="F125" t="n">
        <x:v>2026</x:v>
      </x:c>
      <x:c r="G125" t="str">
        <x:v>2026-3B-GEO</x:v>
      </x:c>
      <x:c r="H125" s="24" t="b">
        <x:v>0</x:v>
      </x:c>
      <x:c r="I125" s="24" t="b">
        <x:v>1</x:v>
      </x:c>
    </x:row>
    <x:row r="126">
      <x:c r="A126" t="str">
        <x:v>PROF-017</x:v>
      </x:c>
      <x:c r="B126" t="str">
        <x:v>PDT</x:v>
      </x:c>
      <x:c r="C126" t="n">
        <x:v>3</x:v>
      </x:c>
      <x:c r="D126" t="str">
        <x:v>B</x:v>
      </x:c>
      <x:c r="E126" t="str">
        <x:v>3B</x:v>
      </x:c>
      <x:c r="F126" t="n">
        <x:v>2026</x:v>
      </x:c>
      <x:c r="G126" t="str">
        <x:v>2026-3B-PDT</x:v>
      </x:c>
      <x:c r="H126" s="24" t="b">
        <x:v>0</x:v>
      </x:c>
      <x:c r="I126" s="24" t="b">
        <x:v>1</x:v>
      </x:c>
    </x:row>
    <x:row r="127">
      <x:c r="A127" t="str">
        <x:v>PROF-019</x:v>
      </x:c>
      <x:c r="B127" t="str">
        <x:v>GRA</x:v>
      </x:c>
      <x:c r="C127" t="n">
        <x:v>3</x:v>
      </x:c>
      <x:c r="D127" t="str">
        <x:v>B</x:v>
      </x:c>
      <x:c r="E127" t="str">
        <x:v>3B</x:v>
      </x:c>
      <x:c r="F127" t="n">
        <x:v>2026</x:v>
      </x:c>
      <x:c r="G127" t="str">
        <x:v>2026-3B-GRA</x:v>
      </x:c>
      <x:c r="H127" s="24" t="b">
        <x:v>0</x:v>
      </x:c>
      <x:c r="I127" s="24" t="b">
        <x:v>1</x:v>
      </x:c>
    </x:row>
    <x:row r="128">
      <x:c r="A128" t="str">
        <x:v>PROF-019</x:v>
      </x:c>
      <x:c r="B128" t="str">
        <x:v>RZV</x:v>
      </x:c>
      <x:c r="C128" t="n">
        <x:v>3</x:v>
      </x:c>
      <x:c r="D128" t="str">
        <x:v>B</x:v>
      </x:c>
      <x:c r="E128" t="str">
        <x:v>3B</x:v>
      </x:c>
      <x:c r="F128" t="n">
        <x:v>2026</x:v>
      </x:c>
      <x:c r="G128" t="str">
        <x:v>2026-3B-RZV</x:v>
      </x:c>
      <x:c r="H128" s="24" t="b">
        <x:v>0</x:v>
      </x:c>
      <x:c r="I128" s="24" t="b">
        <x:v>1</x:v>
      </x:c>
    </x:row>
    <x:row r="129">
      <x:c r="A129" t="str">
        <x:v>PROF-015</x:v>
      </x:c>
      <x:c r="B129" t="str">
        <x:v>CUH</x:v>
      </x:c>
      <x:c r="C129" t="n">
        <x:v>3</x:v>
      </x:c>
      <x:c r="D129" t="str">
        <x:v>B</x:v>
      </x:c>
      <x:c r="E129" t="str">
        <x:v>3B</x:v>
      </x:c>
      <x:c r="F129" t="n">
        <x:v>2026</x:v>
      </x:c>
      <x:c r="G129" t="str">
        <x:v>2026-3B-CUH</x:v>
      </x:c>
      <x:c r="H129" s="24" t="b">
        <x:v>0</x:v>
      </x:c>
      <x:c r="I129" s="24" t="b">
        <x:v>1</x:v>
      </x:c>
    </x:row>
    <x:row r="130">
      <x:c r="A130" t="str">
        <x:v>PROF-017</x:v>
      </x:c>
      <x:c r="B130" t="str">
        <x:v>MUF</x:v>
      </x:c>
      <x:c r="C130" t="n">
        <x:v>3</x:v>
      </x:c>
      <x:c r="D130" t="str">
        <x:v>B</x:v>
      </x:c>
      <x:c r="E130" t="str">
        <x:v>3B</x:v>
      </x:c>
      <x:c r="F130" t="n">
        <x:v>2026</x:v>
      </x:c>
      <x:c r="G130" t="str">
        <x:v>2026-3B-MUF</x:v>
      </x:c>
      <x:c r="H130" s="24" t="b">
        <x:v>0</x:v>
      </x:c>
      <x:c r="I130" s="24" t="b">
        <x:v>1</x:v>
      </x:c>
    </x:row>
    <x:row r="131">
      <x:c r="A131" t="str">
        <x:v>PROF-013</x:v>
      </x:c>
      <x:c r="B131" t="str">
        <x:v>CIU</x:v>
      </x:c>
      <x:c r="C131" t="n">
        <x:v>3</x:v>
      </x:c>
      <x:c r="D131" t="str">
        <x:v>B</x:v>
      </x:c>
      <x:c r="E131" t="str">
        <x:v>3B</x:v>
      </x:c>
      <x:c r="F131" t="n">
        <x:v>2026</x:v>
      </x:c>
      <x:c r="G131" t="str">
        <x:v>2026-3B-CIU</x:v>
      </x:c>
      <x:c r="H131" s="24" t="b">
        <x:v>0</x:v>
      </x:c>
      <x:c r="I131" s="24" t="b">
        <x:v>1</x:v>
      </x:c>
    </x:row>
    <x:row r="132">
      <x:c r="A132" t="str">
        <x:v>PROF-015</x:v>
      </x:c>
      <x:c r="B132" t="str">
        <x:v>GEG</x:v>
      </x:c>
      <x:c r="C132" t="n">
        <x:v>3</x:v>
      </x:c>
      <x:c r="D132" t="str">
        <x:v>B</x:v>
      </x:c>
      <x:c r="E132" t="str">
        <x:v>3B</x:v>
      </x:c>
      <x:c r="F132" t="n">
        <x:v>2026</x:v>
      </x:c>
      <x:c r="G132" t="str">
        <x:v>2026-3B-GEG</x:v>
      </x:c>
      <x:c r="H132" s="24" t="b">
        <x:v>0</x:v>
      </x:c>
      <x:c r="I132" s="24" t="b">
        <x:v>1</x:v>
      </x:c>
    </x:row>
    <x:row r="133">
      <x:c r="A133" t="str">
        <x:v>PROF-013</x:v>
      </x:c>
      <x:c r="B133" t="str">
        <x:v>HIS</x:v>
      </x:c>
      <x:c r="C133" t="n">
        <x:v>3</x:v>
      </x:c>
      <x:c r="D133" t="str">
        <x:v>B</x:v>
      </x:c>
      <x:c r="E133" t="str">
        <x:v>3B</x:v>
      </x:c>
      <x:c r="F133" t="n">
        <x:v>2026</x:v>
      </x:c>
      <x:c r="G133" t="str">
        <x:v>2026-3B-HIS</x:v>
      </x:c>
      <x:c r="H133" s="24" t="b">
        <x:v>0</x:v>
      </x:c>
      <x:c r="I133" s="24" t="b">
        <x:v>1</x:v>
      </x:c>
    </x:row>
    <x:row r="134">
      <x:c r="A134" t="str">
        <x:v>PROF-021</x:v>
      </x:c>
      <x:c r="B134" t="str">
        <x:v>REL</x:v>
      </x:c>
      <x:c r="C134" t="n">
        <x:v>3</x:v>
      </x:c>
      <x:c r="D134" t="str">
        <x:v>B</x:v>
      </x:c>
      <x:c r="E134" t="str">
        <x:v>3B</x:v>
      </x:c>
      <x:c r="F134" t="n">
        <x:v>2026</x:v>
      </x:c>
      <x:c r="G134" t="str">
        <x:v>2026-3B-REL</x:v>
      </x:c>
      <x:c r="H134" s="24" t="b">
        <x:v>0</x:v>
      </x:c>
      <x:c r="I134" s="24" t="b">
        <x:v>1</x:v>
      </x:c>
    </x:row>
    <x:row r="135">
      <x:c r="A135" t="str">
        <x:v>PROF-021</x:v>
      </x:c>
      <x:c r="B135" t="str">
        <x:v>ING</x:v>
      </x:c>
      <x:c r="C135" t="n">
        <x:v>3</x:v>
      </x:c>
      <x:c r="D135" t="str">
        <x:v>B</x:v>
      </x:c>
      <x:c r="E135" t="str">
        <x:v>3B</x:v>
      </x:c>
      <x:c r="F135" t="n">
        <x:v>2026</x:v>
      </x:c>
      <x:c r="G135" t="str">
        <x:v>2026-3B-ING</x:v>
      </x:c>
      <x:c r="H135" s="24" t="b">
        <x:v>0</x:v>
      </x:c>
      <x:c r="I135" s="24" t="b">
        <x:v>1</x:v>
      </x:c>
    </x:row>
    <x:row r="136">
      <x:c r="A136" t="str">
        <x:v>PROF-023</x:v>
      </x:c>
      <x:c r="B136" t="str">
        <x:v>TAL</x:v>
      </x:c>
      <x:c r="C136" t="n">
        <x:v>3</x:v>
      </x:c>
      <x:c r="D136" t="str">
        <x:v>B</x:v>
      </x:c>
      <x:c r="E136" t="str">
        <x:v>3B</x:v>
      </x:c>
      <x:c r="F136" t="n">
        <x:v>2026</x:v>
      </x:c>
      <x:c r="G136" t="str">
        <x:v>2026-3B-TAL</x:v>
      </x:c>
      <x:c r="H136" s="24" t="b">
        <x:v>0</x:v>
      </x:c>
      <x:c r="I136" s="24" t="b">
        <x:v>1</x:v>
      </x:c>
    </x:row>
    <x:row r="137">
      <x:c r="A137" t="str">
        <x:v>PROF-023</x:v>
      </x:c>
      <x:c r="B137" t="str">
        <x:v>EDF</x:v>
      </x:c>
      <x:c r="C137" t="n">
        <x:v>3</x:v>
      </x:c>
      <x:c r="D137" t="str">
        <x:v>B</x:v>
      </x:c>
      <x:c r="E137" t="str">
        <x:v>3B</x:v>
      </x:c>
      <x:c r="F137" t="n">
        <x:v>2026</x:v>
      </x:c>
      <x:c r="G137" t="str">
        <x:v>2026-3B-EDF</x:v>
      </x:c>
      <x:c r="H137" s="24" t="b">
        <x:v>0</x:v>
      </x:c>
      <x:c r="I137" s="24" t="b">
        <x:v>1</x:v>
      </x:c>
    </x:row>
    <x:row r="138">
      <x:c r="A138" t="str">
        <x:v>PROF-009</x:v>
      </x:c>
      <x:c r="B138" t="str">
        <x:v>ARI</x:v>
      </x:c>
      <x:c r="C138" t="n">
        <x:v>3</x:v>
      </x:c>
      <x:c r="D138" t="str">
        <x:v>C</x:v>
      </x:c>
      <x:c r="E138" t="str">
        <x:v>3C</x:v>
      </x:c>
      <x:c r="F138" t="n">
        <x:v>2026</x:v>
      </x:c>
      <x:c r="G138" t="str">
        <x:v>2026-3C-ARI</x:v>
      </x:c>
      <x:c r="H138" s="24" t="b">
        <x:v>0</x:v>
      </x:c>
      <x:c r="I138" s="24" t="b">
        <x:v>1</x:v>
      </x:c>
    </x:row>
    <x:row r="139">
      <x:c r="A139" t="str">
        <x:v>PROF-009</x:v>
      </x:c>
      <x:c r="B139" t="str">
        <x:v>ALG</x:v>
      </x:c>
      <x:c r="C139" t="n">
        <x:v>3</x:v>
      </x:c>
      <x:c r="D139" t="str">
        <x:v>C</x:v>
      </x:c>
      <x:c r="E139" t="str">
        <x:v>3C</x:v>
      </x:c>
      <x:c r="F139" t="n">
        <x:v>2026</x:v>
      </x:c>
      <x:c r="G139" t="str">
        <x:v>2026-3C-ALG</x:v>
      </x:c>
      <x:c r="H139" s="24" t="b">
        <x:v>0</x:v>
      </x:c>
      <x:c r="I139" s="24" t="b">
        <x:v>1</x:v>
      </x:c>
    </x:row>
    <x:row r="140">
      <x:c r="A140" t="str">
        <x:v>PROF-011</x:v>
      </x:c>
      <x:c r="B140" t="str">
        <x:v>RZM</x:v>
      </x:c>
      <x:c r="C140" t="n">
        <x:v>3</x:v>
      </x:c>
      <x:c r="D140" t="str">
        <x:v>C</x:v>
      </x:c>
      <x:c r="E140" t="str">
        <x:v>3C</x:v>
      </x:c>
      <x:c r="F140" t="n">
        <x:v>2026</x:v>
      </x:c>
      <x:c r="G140" t="str">
        <x:v>2026-3C-RZM</x:v>
      </x:c>
      <x:c r="H140" s="24" t="b">
        <x:v>0</x:v>
      </x:c>
      <x:c r="I140" s="24" t="b">
        <x:v>1</x:v>
      </x:c>
    </x:row>
    <x:row r="141">
      <x:c r="A141" t="str">
        <x:v>PROF-011</x:v>
      </x:c>
      <x:c r="B141" t="str">
        <x:v>GEO</x:v>
      </x:c>
      <x:c r="C141" t="n">
        <x:v>3</x:v>
      </x:c>
      <x:c r="D141" t="str">
        <x:v>C</x:v>
      </x:c>
      <x:c r="E141" t="str">
        <x:v>3C</x:v>
      </x:c>
      <x:c r="F141" t="n">
        <x:v>2026</x:v>
      </x:c>
      <x:c r="G141" t="str">
        <x:v>2026-3C-GEO</x:v>
      </x:c>
      <x:c r="H141" s="24" t="b">
        <x:v>0</x:v>
      </x:c>
      <x:c r="I141" s="24" t="b">
        <x:v>1</x:v>
      </x:c>
    </x:row>
    <x:row r="142">
      <x:c r="A142" t="str">
        <x:v>PROF-017</x:v>
      </x:c>
      <x:c r="B142" t="str">
        <x:v>PDT</x:v>
      </x:c>
      <x:c r="C142" t="n">
        <x:v>3</x:v>
      </x:c>
      <x:c r="D142" t="str">
        <x:v>C</x:v>
      </x:c>
      <x:c r="E142" t="str">
        <x:v>3C</x:v>
      </x:c>
      <x:c r="F142" t="n">
        <x:v>2026</x:v>
      </x:c>
      <x:c r="G142" t="str">
        <x:v>2026-3C-PDT</x:v>
      </x:c>
      <x:c r="H142" s="24" t="b">
        <x:v>0</x:v>
      </x:c>
      <x:c r="I142" s="24" t="b">
        <x:v>1</x:v>
      </x:c>
    </x:row>
    <x:row r="143">
      <x:c r="A143" t="str">
        <x:v>PROF-019</x:v>
      </x:c>
      <x:c r="B143" t="str">
        <x:v>GRA</x:v>
      </x:c>
      <x:c r="C143" t="n">
        <x:v>3</x:v>
      </x:c>
      <x:c r="D143" t="str">
        <x:v>C</x:v>
      </x:c>
      <x:c r="E143" t="str">
        <x:v>3C</x:v>
      </x:c>
      <x:c r="F143" t="n">
        <x:v>2026</x:v>
      </x:c>
      <x:c r="G143" t="str">
        <x:v>2026-3C-GRA</x:v>
      </x:c>
      <x:c r="H143" s="24" t="b">
        <x:v>0</x:v>
      </x:c>
      <x:c r="I143" s="24" t="b">
        <x:v>1</x:v>
      </x:c>
    </x:row>
    <x:row r="144">
      <x:c r="A144" t="str">
        <x:v>PROF-019</x:v>
      </x:c>
      <x:c r="B144" t="str">
        <x:v>RZV</x:v>
      </x:c>
      <x:c r="C144" t="n">
        <x:v>3</x:v>
      </x:c>
      <x:c r="D144" t="str">
        <x:v>C</x:v>
      </x:c>
      <x:c r="E144" t="str">
        <x:v>3C</x:v>
      </x:c>
      <x:c r="F144" t="n">
        <x:v>2026</x:v>
      </x:c>
      <x:c r="G144" t="str">
        <x:v>2026-3C-RZV</x:v>
      </x:c>
      <x:c r="H144" s="24" t="b">
        <x:v>0</x:v>
      </x:c>
      <x:c r="I144" s="24" t="b">
        <x:v>1</x:v>
      </x:c>
    </x:row>
    <x:row r="145">
      <x:c r="A145" t="str">
        <x:v>PROF-015</x:v>
      </x:c>
      <x:c r="B145" t="str">
        <x:v>CUH</x:v>
      </x:c>
      <x:c r="C145" t="n">
        <x:v>3</x:v>
      </x:c>
      <x:c r="D145" t="str">
        <x:v>C</x:v>
      </x:c>
      <x:c r="E145" t="str">
        <x:v>3C</x:v>
      </x:c>
      <x:c r="F145" t="n">
        <x:v>2026</x:v>
      </x:c>
      <x:c r="G145" t="str">
        <x:v>2026-3C-CUH</x:v>
      </x:c>
      <x:c r="H145" s="24" t="b">
        <x:v>0</x:v>
      </x:c>
      <x:c r="I145" s="24" t="b">
        <x:v>1</x:v>
      </x:c>
    </x:row>
    <x:row r="146">
      <x:c r="A146" t="str">
        <x:v>PROF-017</x:v>
      </x:c>
      <x:c r="B146" t="str">
        <x:v>MUF</x:v>
      </x:c>
      <x:c r="C146" t="n">
        <x:v>3</x:v>
      </x:c>
      <x:c r="D146" t="str">
        <x:v>C</x:v>
      </x:c>
      <x:c r="E146" t="str">
        <x:v>3C</x:v>
      </x:c>
      <x:c r="F146" t="n">
        <x:v>2026</x:v>
      </x:c>
      <x:c r="G146" t="str">
        <x:v>2026-3C-MUF</x:v>
      </x:c>
      <x:c r="H146" s="24" t="b">
        <x:v>0</x:v>
      </x:c>
      <x:c r="I146" s="24" t="b">
        <x:v>1</x:v>
      </x:c>
    </x:row>
    <x:row r="147">
      <x:c r="A147" t="str">
        <x:v>PROF-013</x:v>
      </x:c>
      <x:c r="B147" t="str">
        <x:v>CIU</x:v>
      </x:c>
      <x:c r="C147" t="n">
        <x:v>3</x:v>
      </x:c>
      <x:c r="D147" t="str">
        <x:v>C</x:v>
      </x:c>
      <x:c r="E147" t="str">
        <x:v>3C</x:v>
      </x:c>
      <x:c r="F147" t="n">
        <x:v>2026</x:v>
      </x:c>
      <x:c r="G147" t="str">
        <x:v>2026-3C-CIU</x:v>
      </x:c>
      <x:c r="H147" s="24" t="b">
        <x:v>0</x:v>
      </x:c>
      <x:c r="I147" s="24" t="b">
        <x:v>1</x:v>
      </x:c>
    </x:row>
    <x:row r="148">
      <x:c r="A148" t="str">
        <x:v>PROF-015</x:v>
      </x:c>
      <x:c r="B148" t="str">
        <x:v>GEG</x:v>
      </x:c>
      <x:c r="C148" t="n">
        <x:v>3</x:v>
      </x:c>
      <x:c r="D148" t="str">
        <x:v>C</x:v>
      </x:c>
      <x:c r="E148" t="str">
        <x:v>3C</x:v>
      </x:c>
      <x:c r="F148" t="n">
        <x:v>2026</x:v>
      </x:c>
      <x:c r="G148" t="str">
        <x:v>2026-3C-GEG</x:v>
      </x:c>
      <x:c r="H148" s="24" t="b">
        <x:v>0</x:v>
      </x:c>
      <x:c r="I148" s="24" t="b">
        <x:v>1</x:v>
      </x:c>
    </x:row>
    <x:row r="149">
      <x:c r="A149" t="str">
        <x:v>PROF-013</x:v>
      </x:c>
      <x:c r="B149" t="str">
        <x:v>HIS</x:v>
      </x:c>
      <x:c r="C149" t="n">
        <x:v>3</x:v>
      </x:c>
      <x:c r="D149" t="str">
        <x:v>C</x:v>
      </x:c>
      <x:c r="E149" t="str">
        <x:v>3C</x:v>
      </x:c>
      <x:c r="F149" t="n">
        <x:v>2026</x:v>
      </x:c>
      <x:c r="G149" t="str">
        <x:v>2026-3C-HIS</x:v>
      </x:c>
      <x:c r="H149" s="24" t="b">
        <x:v>0</x:v>
      </x:c>
      <x:c r="I149" s="24" t="b">
        <x:v>1</x:v>
      </x:c>
    </x:row>
    <x:row r="150">
      <x:c r="A150" t="str">
        <x:v>PROF-021</x:v>
      </x:c>
      <x:c r="B150" t="str">
        <x:v>REL</x:v>
      </x:c>
      <x:c r="C150" t="n">
        <x:v>3</x:v>
      </x:c>
      <x:c r="D150" t="str">
        <x:v>C</x:v>
      </x:c>
      <x:c r="E150" t="str">
        <x:v>3C</x:v>
      </x:c>
      <x:c r="F150" t="n">
        <x:v>2026</x:v>
      </x:c>
      <x:c r="G150" t="str">
        <x:v>2026-3C-REL</x:v>
      </x:c>
      <x:c r="H150" s="24" t="b">
        <x:v>0</x:v>
      </x:c>
      <x:c r="I150" s="24" t="b">
        <x:v>1</x:v>
      </x:c>
    </x:row>
    <x:row r="151">
      <x:c r="A151" t="str">
        <x:v>PROF-021</x:v>
      </x:c>
      <x:c r="B151" t="str">
        <x:v>ING</x:v>
      </x:c>
      <x:c r="C151" t="n">
        <x:v>3</x:v>
      </x:c>
      <x:c r="D151" t="str">
        <x:v>C</x:v>
      </x:c>
      <x:c r="E151" t="str">
        <x:v>3C</x:v>
      </x:c>
      <x:c r="F151" t="n">
        <x:v>2026</x:v>
      </x:c>
      <x:c r="G151" t="str">
        <x:v>2026-3C-ING</x:v>
      </x:c>
      <x:c r="H151" s="24" t="b">
        <x:v>0</x:v>
      </x:c>
      <x:c r="I151" s="24" t="b">
        <x:v>1</x:v>
      </x:c>
    </x:row>
    <x:row r="152">
      <x:c r="A152" t="str">
        <x:v>PROF-023</x:v>
      </x:c>
      <x:c r="B152" t="str">
        <x:v>TAL</x:v>
      </x:c>
      <x:c r="C152" t="n">
        <x:v>3</x:v>
      </x:c>
      <x:c r="D152" t="str">
        <x:v>C</x:v>
      </x:c>
      <x:c r="E152" t="str">
        <x:v>3C</x:v>
      </x:c>
      <x:c r="F152" t="n">
        <x:v>2026</x:v>
      </x:c>
      <x:c r="G152" t="str">
        <x:v>2026-3C-TAL</x:v>
      </x:c>
      <x:c r="H152" s="24" t="b">
        <x:v>0</x:v>
      </x:c>
      <x:c r="I152" s="24" t="b">
        <x:v>1</x:v>
      </x:c>
    </x:row>
    <x:row r="153">
      <x:c r="A153" t="str">
        <x:v>PROF-023</x:v>
      </x:c>
      <x:c r="B153" t="str">
        <x:v>EDF</x:v>
      </x:c>
      <x:c r="C153" t="n">
        <x:v>3</x:v>
      </x:c>
      <x:c r="D153" t="str">
        <x:v>C</x:v>
      </x:c>
      <x:c r="E153" t="str">
        <x:v>3C</x:v>
      </x:c>
      <x:c r="F153" t="n">
        <x:v>2026</x:v>
      </x:c>
      <x:c r="G153" t="str">
        <x:v>2026-3C-EDF</x:v>
      </x:c>
      <x:c r="H153" s="24" t="b">
        <x:v>0</x:v>
      </x:c>
      <x:c r="I153" s="24" t="b">
        <x:v>1</x:v>
      </x:c>
    </x:row>
    <x:row r="154">
      <x:c r="A154" t="str">
        <x:v>PROF-009</x:v>
      </x:c>
      <x:c r="B154" t="str">
        <x:v>ARI</x:v>
      </x:c>
      <x:c r="C154" t="n">
        <x:v>3</x:v>
      </x:c>
      <x:c r="D154" t="str">
        <x:v>D</x:v>
      </x:c>
      <x:c r="E154" t="str">
        <x:v>3D</x:v>
      </x:c>
      <x:c r="F154" t="n">
        <x:v>2026</x:v>
      </x:c>
      <x:c r="G154" t="str">
        <x:v>2026-3D-ARI</x:v>
      </x:c>
      <x:c r="H154" s="24" t="b">
        <x:v>0</x:v>
      </x:c>
      <x:c r="I154" s="24" t="b">
        <x:v>1</x:v>
      </x:c>
    </x:row>
    <x:row r="155">
      <x:c r="A155" t="str">
        <x:v>PROF-009</x:v>
      </x:c>
      <x:c r="B155" t="str">
        <x:v>ALG</x:v>
      </x:c>
      <x:c r="C155" t="n">
        <x:v>3</x:v>
      </x:c>
      <x:c r="D155" t="str">
        <x:v>D</x:v>
      </x:c>
      <x:c r="E155" t="str">
        <x:v>3D</x:v>
      </x:c>
      <x:c r="F155" t="n">
        <x:v>2026</x:v>
      </x:c>
      <x:c r="G155" t="str">
        <x:v>2026-3D-ALG</x:v>
      </x:c>
      <x:c r="H155" s="24" t="b">
        <x:v>0</x:v>
      </x:c>
      <x:c r="I155" s="24" t="b">
        <x:v>1</x:v>
      </x:c>
    </x:row>
    <x:row r="156">
      <x:c r="A156" t="str">
        <x:v>PROF-011</x:v>
      </x:c>
      <x:c r="B156" t="str">
        <x:v>RZM</x:v>
      </x:c>
      <x:c r="C156" t="n">
        <x:v>3</x:v>
      </x:c>
      <x:c r="D156" t="str">
        <x:v>D</x:v>
      </x:c>
      <x:c r="E156" t="str">
        <x:v>3D</x:v>
      </x:c>
      <x:c r="F156" t="n">
        <x:v>2026</x:v>
      </x:c>
      <x:c r="G156" t="str">
        <x:v>2026-3D-RZM</x:v>
      </x:c>
      <x:c r="H156" s="24" t="b">
        <x:v>0</x:v>
      </x:c>
      <x:c r="I156" s="24" t="b">
        <x:v>1</x:v>
      </x:c>
    </x:row>
    <x:row r="157">
      <x:c r="A157" t="str">
        <x:v>PROF-011</x:v>
      </x:c>
      <x:c r="B157" t="str">
        <x:v>GEO</x:v>
      </x:c>
      <x:c r="C157" t="n">
        <x:v>3</x:v>
      </x:c>
      <x:c r="D157" t="str">
        <x:v>D</x:v>
      </x:c>
      <x:c r="E157" t="str">
        <x:v>3D</x:v>
      </x:c>
      <x:c r="F157" t="n">
        <x:v>2026</x:v>
      </x:c>
      <x:c r="G157" t="str">
        <x:v>2026-3D-GEO</x:v>
      </x:c>
      <x:c r="H157" s="24" t="b">
        <x:v>0</x:v>
      </x:c>
      <x:c r="I157" s="24" t="b">
        <x:v>1</x:v>
      </x:c>
    </x:row>
    <x:row r="158">
      <x:c r="A158" t="str">
        <x:v>PROF-017</x:v>
      </x:c>
      <x:c r="B158" t="str">
        <x:v>PDT</x:v>
      </x:c>
      <x:c r="C158" t="n">
        <x:v>3</x:v>
      </x:c>
      <x:c r="D158" t="str">
        <x:v>D</x:v>
      </x:c>
      <x:c r="E158" t="str">
        <x:v>3D</x:v>
      </x:c>
      <x:c r="F158" t="n">
        <x:v>2026</x:v>
      </x:c>
      <x:c r="G158" t="str">
        <x:v>2026-3D-PDT</x:v>
      </x:c>
      <x:c r="H158" s="24" t="b">
        <x:v>0</x:v>
      </x:c>
      <x:c r="I158" s="24" t="b">
        <x:v>1</x:v>
      </x:c>
    </x:row>
    <x:row r="159">
      <x:c r="A159" t="str">
        <x:v>PROF-019</x:v>
      </x:c>
      <x:c r="B159" t="str">
        <x:v>GRA</x:v>
      </x:c>
      <x:c r="C159" t="n">
        <x:v>3</x:v>
      </x:c>
      <x:c r="D159" t="str">
        <x:v>D</x:v>
      </x:c>
      <x:c r="E159" t="str">
        <x:v>3D</x:v>
      </x:c>
      <x:c r="F159" t="n">
        <x:v>2026</x:v>
      </x:c>
      <x:c r="G159" t="str">
        <x:v>2026-3D-GRA</x:v>
      </x:c>
      <x:c r="H159" s="24" t="b">
        <x:v>0</x:v>
      </x:c>
      <x:c r="I159" s="24" t="b">
        <x:v>1</x:v>
      </x:c>
    </x:row>
    <x:row r="160">
      <x:c r="A160" t="str">
        <x:v>PROF-019</x:v>
      </x:c>
      <x:c r="B160" t="str">
        <x:v>RZV</x:v>
      </x:c>
      <x:c r="C160" t="n">
        <x:v>3</x:v>
      </x:c>
      <x:c r="D160" t="str">
        <x:v>D</x:v>
      </x:c>
      <x:c r="E160" t="str">
        <x:v>3D</x:v>
      </x:c>
      <x:c r="F160" t="n">
        <x:v>2026</x:v>
      </x:c>
      <x:c r="G160" t="str">
        <x:v>2026-3D-RZV</x:v>
      </x:c>
      <x:c r="H160" s="24" t="b">
        <x:v>0</x:v>
      </x:c>
      <x:c r="I160" s="24" t="b">
        <x:v>1</x:v>
      </x:c>
    </x:row>
    <x:row r="161">
      <x:c r="A161" t="str">
        <x:v>PROF-015</x:v>
      </x:c>
      <x:c r="B161" t="str">
        <x:v>CUH</x:v>
      </x:c>
      <x:c r="C161" t="n">
        <x:v>3</x:v>
      </x:c>
      <x:c r="D161" t="str">
        <x:v>D</x:v>
      </x:c>
      <x:c r="E161" t="str">
        <x:v>3D</x:v>
      </x:c>
      <x:c r="F161" t="n">
        <x:v>2026</x:v>
      </x:c>
      <x:c r="G161" t="str">
        <x:v>2026-3D-CUH</x:v>
      </x:c>
      <x:c r="H161" s="24" t="b">
        <x:v>0</x:v>
      </x:c>
      <x:c r="I161" s="24" t="b">
        <x:v>1</x:v>
      </x:c>
    </x:row>
    <x:row r="162">
      <x:c r="A162" t="str">
        <x:v>PROF-017</x:v>
      </x:c>
      <x:c r="B162" t="str">
        <x:v>MUF</x:v>
      </x:c>
      <x:c r="C162" t="n">
        <x:v>3</x:v>
      </x:c>
      <x:c r="D162" t="str">
        <x:v>D</x:v>
      </x:c>
      <x:c r="E162" t="str">
        <x:v>3D</x:v>
      </x:c>
      <x:c r="F162" t="n">
        <x:v>2026</x:v>
      </x:c>
      <x:c r="G162" t="str">
        <x:v>2026-3D-MUF</x:v>
      </x:c>
      <x:c r="H162" s="24" t="b">
        <x:v>0</x:v>
      </x:c>
      <x:c r="I162" s="24" t="b">
        <x:v>1</x:v>
      </x:c>
    </x:row>
    <x:row r="163">
      <x:c r="A163" t="str">
        <x:v>PROF-013</x:v>
      </x:c>
      <x:c r="B163" t="str">
        <x:v>CIU</x:v>
      </x:c>
      <x:c r="C163" t="n">
        <x:v>3</x:v>
      </x:c>
      <x:c r="D163" t="str">
        <x:v>D</x:v>
      </x:c>
      <x:c r="E163" t="str">
        <x:v>3D</x:v>
      </x:c>
      <x:c r="F163" t="n">
        <x:v>2026</x:v>
      </x:c>
      <x:c r="G163" t="str">
        <x:v>2026-3D-CIU</x:v>
      </x:c>
      <x:c r="H163" s="24" t="b">
        <x:v>0</x:v>
      </x:c>
      <x:c r="I163" s="24" t="b">
        <x:v>1</x:v>
      </x:c>
    </x:row>
    <x:row r="164">
      <x:c r="A164" t="str">
        <x:v>PROF-015</x:v>
      </x:c>
      <x:c r="B164" t="str">
        <x:v>GEG</x:v>
      </x:c>
      <x:c r="C164" t="n">
        <x:v>3</x:v>
      </x:c>
      <x:c r="D164" t="str">
        <x:v>D</x:v>
      </x:c>
      <x:c r="E164" t="str">
        <x:v>3D</x:v>
      </x:c>
      <x:c r="F164" t="n">
        <x:v>2026</x:v>
      </x:c>
      <x:c r="G164" t="str">
        <x:v>2026-3D-GEG</x:v>
      </x:c>
      <x:c r="H164" s="24" t="b">
        <x:v>0</x:v>
      </x:c>
      <x:c r="I164" s="24" t="b">
        <x:v>1</x:v>
      </x:c>
    </x:row>
    <x:row r="165">
      <x:c r="A165" t="str">
        <x:v>PROF-013</x:v>
      </x:c>
      <x:c r="B165" t="str">
        <x:v>HIS</x:v>
      </x:c>
      <x:c r="C165" t="n">
        <x:v>3</x:v>
      </x:c>
      <x:c r="D165" t="str">
        <x:v>D</x:v>
      </x:c>
      <x:c r="E165" t="str">
        <x:v>3D</x:v>
      </x:c>
      <x:c r="F165" t="n">
        <x:v>2026</x:v>
      </x:c>
      <x:c r="G165" t="str">
        <x:v>2026-3D-HIS</x:v>
      </x:c>
      <x:c r="H165" s="24" t="b">
        <x:v>0</x:v>
      </x:c>
      <x:c r="I165" s="24" t="b">
        <x:v>1</x:v>
      </x:c>
    </x:row>
    <x:row r="166">
      <x:c r="A166" t="str">
        <x:v>PROF-021</x:v>
      </x:c>
      <x:c r="B166" t="str">
        <x:v>REL</x:v>
      </x:c>
      <x:c r="C166" t="n">
        <x:v>3</x:v>
      </x:c>
      <x:c r="D166" t="str">
        <x:v>D</x:v>
      </x:c>
      <x:c r="E166" t="str">
        <x:v>3D</x:v>
      </x:c>
      <x:c r="F166" t="n">
        <x:v>2026</x:v>
      </x:c>
      <x:c r="G166" t="str">
        <x:v>2026-3D-REL</x:v>
      </x:c>
      <x:c r="H166" s="24" t="b">
        <x:v>0</x:v>
      </x:c>
      <x:c r="I166" s="24" t="b">
        <x:v>1</x:v>
      </x:c>
    </x:row>
    <x:row r="167">
      <x:c r="A167" t="str">
        <x:v>PROF-021</x:v>
      </x:c>
      <x:c r="B167" t="str">
        <x:v>ING</x:v>
      </x:c>
      <x:c r="C167" t="n">
        <x:v>3</x:v>
      </x:c>
      <x:c r="D167" t="str">
        <x:v>D</x:v>
      </x:c>
      <x:c r="E167" t="str">
        <x:v>3D</x:v>
      </x:c>
      <x:c r="F167" t="n">
        <x:v>2026</x:v>
      </x:c>
      <x:c r="G167" t="str">
        <x:v>2026-3D-ING</x:v>
      </x:c>
      <x:c r="H167" s="24" t="b">
        <x:v>0</x:v>
      </x:c>
      <x:c r="I167" s="24" t="b">
        <x:v>1</x:v>
      </x:c>
    </x:row>
    <x:row r="168">
      <x:c r="A168" t="str">
        <x:v>PROF-023</x:v>
      </x:c>
      <x:c r="B168" t="str">
        <x:v>TAL</x:v>
      </x:c>
      <x:c r="C168" t="n">
        <x:v>3</x:v>
      </x:c>
      <x:c r="D168" t="str">
        <x:v>D</x:v>
      </x:c>
      <x:c r="E168" t="str">
        <x:v>3D</x:v>
      </x:c>
      <x:c r="F168" t="n">
        <x:v>2026</x:v>
      </x:c>
      <x:c r="G168" t="str">
        <x:v>2026-3D-TAL</x:v>
      </x:c>
      <x:c r="H168" s="24" t="b">
        <x:v>0</x:v>
      </x:c>
      <x:c r="I168" s="24" t="b">
        <x:v>1</x:v>
      </x:c>
    </x:row>
    <x:row r="169">
      <x:c r="A169" t="str">
        <x:v>PROF-023</x:v>
      </x:c>
      <x:c r="B169" t="str">
        <x:v>EDF</x:v>
      </x:c>
      <x:c r="C169" t="n">
        <x:v>3</x:v>
      </x:c>
      <x:c r="D169" t="str">
        <x:v>D</x:v>
      </x:c>
      <x:c r="E169" t="str">
        <x:v>3D</x:v>
      </x:c>
      <x:c r="F169" t="n">
        <x:v>2026</x:v>
      </x:c>
      <x:c r="G169" t="str">
        <x:v>2026-3D-EDF</x:v>
      </x:c>
      <x:c r="H169" s="24" t="b">
        <x:v>0</x:v>
      </x:c>
      <x:c r="I169" s="24" t="b">
        <x:v>1</x:v>
      </x:c>
    </x:row>
    <x:row r="170">
      <x:c r="A170" t="str">
        <x:v>PROF-009</x:v>
      </x:c>
      <x:c r="B170" t="str">
        <x:v>ARI</x:v>
      </x:c>
      <x:c r="C170" t="n">
        <x:v>4</x:v>
      </x:c>
      <x:c r="D170" t="str">
        <x:v>A</x:v>
      </x:c>
      <x:c r="E170" t="str">
        <x:v>4A</x:v>
      </x:c>
      <x:c r="F170" t="n">
        <x:v>2026</x:v>
      </x:c>
      <x:c r="G170" t="str">
        <x:v>2026-4A-ARI</x:v>
      </x:c>
      <x:c r="H170" s="24" t="b">
        <x:v>0</x:v>
      </x:c>
      <x:c r="I170" s="24" t="b">
        <x:v>1</x:v>
      </x:c>
    </x:row>
    <x:row r="171">
      <x:c r="A171" t="str">
        <x:v>PROF-009</x:v>
      </x:c>
      <x:c r="B171" t="str">
        <x:v>ALG</x:v>
      </x:c>
      <x:c r="C171" t="n">
        <x:v>4</x:v>
      </x:c>
      <x:c r="D171" t="str">
        <x:v>A</x:v>
      </x:c>
      <x:c r="E171" t="str">
        <x:v>4A</x:v>
      </x:c>
      <x:c r="F171" t="n">
        <x:v>2026</x:v>
      </x:c>
      <x:c r="G171" t="str">
        <x:v>2026-4A-ALG</x:v>
      </x:c>
      <x:c r="H171" s="24" t="b">
        <x:v>0</x:v>
      </x:c>
      <x:c r="I171" s="24" t="b">
        <x:v>1</x:v>
      </x:c>
    </x:row>
    <x:row r="172">
      <x:c r="A172" t="str">
        <x:v>PROF-011</x:v>
      </x:c>
      <x:c r="B172" t="str">
        <x:v>RZM</x:v>
      </x:c>
      <x:c r="C172" t="n">
        <x:v>4</x:v>
      </x:c>
      <x:c r="D172" t="str">
        <x:v>A</x:v>
      </x:c>
      <x:c r="E172" t="str">
        <x:v>4A</x:v>
      </x:c>
      <x:c r="F172" t="n">
        <x:v>2026</x:v>
      </x:c>
      <x:c r="G172" t="str">
        <x:v>2026-4A-RZM</x:v>
      </x:c>
      <x:c r="H172" s="24" t="b">
        <x:v>0</x:v>
      </x:c>
      <x:c r="I172" s="24" t="b">
        <x:v>1</x:v>
      </x:c>
    </x:row>
    <x:row r="173">
      <x:c r="A173" t="str">
        <x:v>PROF-011</x:v>
      </x:c>
      <x:c r="B173" t="str">
        <x:v>GEO</x:v>
      </x:c>
      <x:c r="C173" t="n">
        <x:v>4</x:v>
      </x:c>
      <x:c r="D173" t="str">
        <x:v>A</x:v>
      </x:c>
      <x:c r="E173" t="str">
        <x:v>4A</x:v>
      </x:c>
      <x:c r="F173" t="n">
        <x:v>2026</x:v>
      </x:c>
      <x:c r="G173" t="str">
        <x:v>2026-4A-GEO</x:v>
      </x:c>
      <x:c r="H173" s="24" t="b">
        <x:v>0</x:v>
      </x:c>
      <x:c r="I173" s="24" t="b">
        <x:v>1</x:v>
      </x:c>
    </x:row>
    <x:row r="174">
      <x:c r="A174" t="str">
        <x:v>PROF-017</x:v>
      </x:c>
      <x:c r="B174" t="str">
        <x:v>PDT</x:v>
      </x:c>
      <x:c r="C174" t="n">
        <x:v>4</x:v>
      </x:c>
      <x:c r="D174" t="str">
        <x:v>A</x:v>
      </x:c>
      <x:c r="E174" t="str">
        <x:v>4A</x:v>
      </x:c>
      <x:c r="F174" t="n">
        <x:v>2026</x:v>
      </x:c>
      <x:c r="G174" t="str">
        <x:v>2026-4A-PDT</x:v>
      </x:c>
      <x:c r="H174" s="24" t="b">
        <x:v>0</x:v>
      </x:c>
      <x:c r="I174" s="24" t="b">
        <x:v>1</x:v>
      </x:c>
    </x:row>
    <x:row r="175">
      <x:c r="A175" t="str">
        <x:v>PROF-019</x:v>
      </x:c>
      <x:c r="B175" t="str">
        <x:v>GRA</x:v>
      </x:c>
      <x:c r="C175" t="n">
        <x:v>4</x:v>
      </x:c>
      <x:c r="D175" t="str">
        <x:v>A</x:v>
      </x:c>
      <x:c r="E175" t="str">
        <x:v>4A</x:v>
      </x:c>
      <x:c r="F175" t="n">
        <x:v>2026</x:v>
      </x:c>
      <x:c r="G175" t="str">
        <x:v>2026-4A-GRA</x:v>
      </x:c>
      <x:c r="H175" s="24" t="b">
        <x:v>0</x:v>
      </x:c>
      <x:c r="I175" s="24" t="b">
        <x:v>1</x:v>
      </x:c>
    </x:row>
    <x:row r="176">
      <x:c r="A176" t="str">
        <x:v>PROF-019</x:v>
      </x:c>
      <x:c r="B176" t="str">
        <x:v>RZV</x:v>
      </x:c>
      <x:c r="C176" t="n">
        <x:v>4</x:v>
      </x:c>
      <x:c r="D176" t="str">
        <x:v>A</x:v>
      </x:c>
      <x:c r="E176" t="str">
        <x:v>4A</x:v>
      </x:c>
      <x:c r="F176" t="n">
        <x:v>2026</x:v>
      </x:c>
      <x:c r="G176" t="str">
        <x:v>2026-4A-RZV</x:v>
      </x:c>
      <x:c r="H176" s="24" t="b">
        <x:v>0</x:v>
      </x:c>
      <x:c r="I176" s="24" t="b">
        <x:v>1</x:v>
      </x:c>
    </x:row>
    <x:row r="177">
      <x:c r="A177" t="str">
        <x:v>PROF-015</x:v>
      </x:c>
      <x:c r="B177" t="str">
        <x:v>CUH</x:v>
      </x:c>
      <x:c r="C177" t="n">
        <x:v>4</x:v>
      </x:c>
      <x:c r="D177" t="str">
        <x:v>A</x:v>
      </x:c>
      <x:c r="E177" t="str">
        <x:v>4A</x:v>
      </x:c>
      <x:c r="F177" t="n">
        <x:v>2026</x:v>
      </x:c>
      <x:c r="G177" t="str">
        <x:v>2026-4A-CUH</x:v>
      </x:c>
      <x:c r="H177" s="24" t="b">
        <x:v>0</x:v>
      </x:c>
      <x:c r="I177" s="24" t="b">
        <x:v>1</x:v>
      </x:c>
    </x:row>
    <x:row r="178">
      <x:c r="A178" t="str">
        <x:v>PROF-017</x:v>
      </x:c>
      <x:c r="B178" t="str">
        <x:v>MUF</x:v>
      </x:c>
      <x:c r="C178" t="n">
        <x:v>4</x:v>
      </x:c>
      <x:c r="D178" t="str">
        <x:v>A</x:v>
      </x:c>
      <x:c r="E178" t="str">
        <x:v>4A</x:v>
      </x:c>
      <x:c r="F178" t="n">
        <x:v>2026</x:v>
      </x:c>
      <x:c r="G178" t="str">
        <x:v>2026-4A-MUF</x:v>
      </x:c>
      <x:c r="H178" s="24" t="b">
        <x:v>0</x:v>
      </x:c>
      <x:c r="I178" s="24" t="b">
        <x:v>1</x:v>
      </x:c>
    </x:row>
    <x:row r="179">
      <x:c r="A179" t="str">
        <x:v>PROF-013</x:v>
      </x:c>
      <x:c r="B179" t="str">
        <x:v>CIU</x:v>
      </x:c>
      <x:c r="C179" t="n">
        <x:v>4</x:v>
      </x:c>
      <x:c r="D179" t="str">
        <x:v>A</x:v>
      </x:c>
      <x:c r="E179" t="str">
        <x:v>4A</x:v>
      </x:c>
      <x:c r="F179" t="n">
        <x:v>2026</x:v>
      </x:c>
      <x:c r="G179" t="str">
        <x:v>2026-4A-CIU</x:v>
      </x:c>
      <x:c r="H179" s="24" t="b">
        <x:v>0</x:v>
      </x:c>
      <x:c r="I179" s="24" t="b">
        <x:v>1</x:v>
      </x:c>
    </x:row>
    <x:row r="180">
      <x:c r="A180" t="str">
        <x:v>PROF-015</x:v>
      </x:c>
      <x:c r="B180" t="str">
        <x:v>GEG</x:v>
      </x:c>
      <x:c r="C180" t="n">
        <x:v>4</x:v>
      </x:c>
      <x:c r="D180" t="str">
        <x:v>A</x:v>
      </x:c>
      <x:c r="E180" t="str">
        <x:v>4A</x:v>
      </x:c>
      <x:c r="F180" t="n">
        <x:v>2026</x:v>
      </x:c>
      <x:c r="G180" t="str">
        <x:v>2026-4A-GEG</x:v>
      </x:c>
      <x:c r="H180" s="24" t="b">
        <x:v>0</x:v>
      </x:c>
      <x:c r="I180" s="24" t="b">
        <x:v>1</x:v>
      </x:c>
    </x:row>
    <x:row r="181">
      <x:c r="A181" t="str">
        <x:v>PROF-013</x:v>
      </x:c>
      <x:c r="B181" t="str">
        <x:v>HIS</x:v>
      </x:c>
      <x:c r="C181" t="n">
        <x:v>4</x:v>
      </x:c>
      <x:c r="D181" t="str">
        <x:v>A</x:v>
      </x:c>
      <x:c r="E181" t="str">
        <x:v>4A</x:v>
      </x:c>
      <x:c r="F181" t="n">
        <x:v>2026</x:v>
      </x:c>
      <x:c r="G181" t="str">
        <x:v>2026-4A-HIS</x:v>
      </x:c>
      <x:c r="H181" s="24" t="b">
        <x:v>0</x:v>
      </x:c>
      <x:c r="I181" s="24" t="b">
        <x:v>1</x:v>
      </x:c>
    </x:row>
    <x:row r="182">
      <x:c r="A182" t="str">
        <x:v>PROF-021</x:v>
      </x:c>
      <x:c r="B182" t="str">
        <x:v>REL</x:v>
      </x:c>
      <x:c r="C182" t="n">
        <x:v>4</x:v>
      </x:c>
      <x:c r="D182" t="str">
        <x:v>A</x:v>
      </x:c>
      <x:c r="E182" t="str">
        <x:v>4A</x:v>
      </x:c>
      <x:c r="F182" t="n">
        <x:v>2026</x:v>
      </x:c>
      <x:c r="G182" t="str">
        <x:v>2026-4A-REL</x:v>
      </x:c>
      <x:c r="H182" s="24" t="b">
        <x:v>0</x:v>
      </x:c>
      <x:c r="I182" s="24" t="b">
        <x:v>1</x:v>
      </x:c>
    </x:row>
    <x:row r="183">
      <x:c r="A183" t="str">
        <x:v>PROF-021</x:v>
      </x:c>
      <x:c r="B183" t="str">
        <x:v>ING</x:v>
      </x:c>
      <x:c r="C183" t="n">
        <x:v>4</x:v>
      </x:c>
      <x:c r="D183" t="str">
        <x:v>A</x:v>
      </x:c>
      <x:c r="E183" t="str">
        <x:v>4A</x:v>
      </x:c>
      <x:c r="F183" t="n">
        <x:v>2026</x:v>
      </x:c>
      <x:c r="G183" t="str">
        <x:v>2026-4A-ING</x:v>
      </x:c>
      <x:c r="H183" s="24" t="b">
        <x:v>0</x:v>
      </x:c>
      <x:c r="I183" s="24" t="b">
        <x:v>1</x:v>
      </x:c>
    </x:row>
    <x:row r="184">
      <x:c r="A184" t="str">
        <x:v>PROF-023</x:v>
      </x:c>
      <x:c r="B184" t="str">
        <x:v>TAL</x:v>
      </x:c>
      <x:c r="C184" t="n">
        <x:v>4</x:v>
      </x:c>
      <x:c r="D184" t="str">
        <x:v>A</x:v>
      </x:c>
      <x:c r="E184" t="str">
        <x:v>4A</x:v>
      </x:c>
      <x:c r="F184" t="n">
        <x:v>2026</x:v>
      </x:c>
      <x:c r="G184" t="str">
        <x:v>2026-4A-TAL</x:v>
      </x:c>
      <x:c r="H184" s="24" t="b">
        <x:v>0</x:v>
      </x:c>
      <x:c r="I184" s="24" t="b">
        <x:v>1</x:v>
      </x:c>
    </x:row>
    <x:row r="185">
      <x:c r="A185" t="str">
        <x:v>PROF-023</x:v>
      </x:c>
      <x:c r="B185" t="str">
        <x:v>EDF</x:v>
      </x:c>
      <x:c r="C185" t="n">
        <x:v>4</x:v>
      </x:c>
      <x:c r="D185" t="str">
        <x:v>A</x:v>
      </x:c>
      <x:c r="E185" t="str">
        <x:v>4A</x:v>
      </x:c>
      <x:c r="F185" t="n">
        <x:v>2026</x:v>
      </x:c>
      <x:c r="G185" t="str">
        <x:v>2026-4A-EDF</x:v>
      </x:c>
      <x:c r="H185" s="24" t="b">
        <x:v>0</x:v>
      </x:c>
      <x:c r="I185" s="24" t="b">
        <x:v>1</x:v>
      </x:c>
    </x:row>
    <x:row r="186">
      <x:c r="A186" t="str">
        <x:v>PROF-009</x:v>
      </x:c>
      <x:c r="B186" t="str">
        <x:v>ARI</x:v>
      </x:c>
      <x:c r="C186" t="n">
        <x:v>4</x:v>
      </x:c>
      <x:c r="D186" t="str">
        <x:v>B</x:v>
      </x:c>
      <x:c r="E186" t="str">
        <x:v>4B</x:v>
      </x:c>
      <x:c r="F186" t="n">
        <x:v>2026</x:v>
      </x:c>
      <x:c r="G186" t="str">
        <x:v>2026-4B-ARI</x:v>
      </x:c>
      <x:c r="H186" s="24" t="b">
        <x:v>0</x:v>
      </x:c>
      <x:c r="I186" s="24" t="b">
        <x:v>1</x:v>
      </x:c>
    </x:row>
    <x:row r="187">
      <x:c r="A187" t="str">
        <x:v>PROF-009</x:v>
      </x:c>
      <x:c r="B187" t="str">
        <x:v>ALG</x:v>
      </x:c>
      <x:c r="C187" t="n">
        <x:v>4</x:v>
      </x:c>
      <x:c r="D187" t="str">
        <x:v>B</x:v>
      </x:c>
      <x:c r="E187" t="str">
        <x:v>4B</x:v>
      </x:c>
      <x:c r="F187" t="n">
        <x:v>2026</x:v>
      </x:c>
      <x:c r="G187" t="str">
        <x:v>2026-4B-ALG</x:v>
      </x:c>
      <x:c r="H187" s="24" t="b">
        <x:v>0</x:v>
      </x:c>
      <x:c r="I187" s="24" t="b">
        <x:v>1</x:v>
      </x:c>
    </x:row>
    <x:row r="188">
      <x:c r="A188" t="str">
        <x:v>PROF-011</x:v>
      </x:c>
      <x:c r="B188" t="str">
        <x:v>RZM</x:v>
      </x:c>
      <x:c r="C188" t="n">
        <x:v>4</x:v>
      </x:c>
      <x:c r="D188" t="str">
        <x:v>B</x:v>
      </x:c>
      <x:c r="E188" t="str">
        <x:v>4B</x:v>
      </x:c>
      <x:c r="F188" t="n">
        <x:v>2026</x:v>
      </x:c>
      <x:c r="G188" t="str">
        <x:v>2026-4B-RZM</x:v>
      </x:c>
      <x:c r="H188" s="24" t="b">
        <x:v>0</x:v>
      </x:c>
      <x:c r="I188" s="24" t="b">
        <x:v>1</x:v>
      </x:c>
    </x:row>
    <x:row r="189">
      <x:c r="A189" t="str">
        <x:v>PROF-011</x:v>
      </x:c>
      <x:c r="B189" t="str">
        <x:v>GEO</x:v>
      </x:c>
      <x:c r="C189" t="n">
        <x:v>4</x:v>
      </x:c>
      <x:c r="D189" t="str">
        <x:v>B</x:v>
      </x:c>
      <x:c r="E189" t="str">
        <x:v>4B</x:v>
      </x:c>
      <x:c r="F189" t="n">
        <x:v>2026</x:v>
      </x:c>
      <x:c r="G189" t="str">
        <x:v>2026-4B-GEO</x:v>
      </x:c>
      <x:c r="H189" s="24" t="b">
        <x:v>0</x:v>
      </x:c>
      <x:c r="I189" s="24" t="b">
        <x:v>1</x:v>
      </x:c>
    </x:row>
    <x:row r="190">
      <x:c r="A190" t="str">
        <x:v>PROF-017</x:v>
      </x:c>
      <x:c r="B190" t="str">
        <x:v>PDT</x:v>
      </x:c>
      <x:c r="C190" t="n">
        <x:v>4</x:v>
      </x:c>
      <x:c r="D190" t="str">
        <x:v>B</x:v>
      </x:c>
      <x:c r="E190" t="str">
        <x:v>4B</x:v>
      </x:c>
      <x:c r="F190" t="n">
        <x:v>2026</x:v>
      </x:c>
      <x:c r="G190" t="str">
        <x:v>2026-4B-PDT</x:v>
      </x:c>
      <x:c r="H190" s="24" t="b">
        <x:v>0</x:v>
      </x:c>
      <x:c r="I190" s="24" t="b">
        <x:v>1</x:v>
      </x:c>
    </x:row>
    <x:row r="191">
      <x:c r="A191" t="str">
        <x:v>PROF-019</x:v>
      </x:c>
      <x:c r="B191" t="str">
        <x:v>GRA</x:v>
      </x:c>
      <x:c r="C191" t="n">
        <x:v>4</x:v>
      </x:c>
      <x:c r="D191" t="str">
        <x:v>B</x:v>
      </x:c>
      <x:c r="E191" t="str">
        <x:v>4B</x:v>
      </x:c>
      <x:c r="F191" t="n">
        <x:v>2026</x:v>
      </x:c>
      <x:c r="G191" t="str">
        <x:v>2026-4B-GRA</x:v>
      </x:c>
      <x:c r="H191" s="24" t="b">
        <x:v>0</x:v>
      </x:c>
      <x:c r="I191" s="24" t="b">
        <x:v>1</x:v>
      </x:c>
    </x:row>
    <x:row r="192">
      <x:c r="A192" t="str">
        <x:v>PROF-019</x:v>
      </x:c>
      <x:c r="B192" t="str">
        <x:v>RZV</x:v>
      </x:c>
      <x:c r="C192" t="n">
        <x:v>4</x:v>
      </x:c>
      <x:c r="D192" t="str">
        <x:v>B</x:v>
      </x:c>
      <x:c r="E192" t="str">
        <x:v>4B</x:v>
      </x:c>
      <x:c r="F192" t="n">
        <x:v>2026</x:v>
      </x:c>
      <x:c r="G192" t="str">
        <x:v>2026-4B-RZV</x:v>
      </x:c>
      <x:c r="H192" s="24" t="b">
        <x:v>0</x:v>
      </x:c>
      <x:c r="I192" s="24" t="b">
        <x:v>1</x:v>
      </x:c>
    </x:row>
    <x:row r="193">
      <x:c r="A193" t="str">
        <x:v>PROF-015</x:v>
      </x:c>
      <x:c r="B193" t="str">
        <x:v>CUH</x:v>
      </x:c>
      <x:c r="C193" t="n">
        <x:v>4</x:v>
      </x:c>
      <x:c r="D193" t="str">
        <x:v>B</x:v>
      </x:c>
      <x:c r="E193" t="str">
        <x:v>4B</x:v>
      </x:c>
      <x:c r="F193" t="n">
        <x:v>2026</x:v>
      </x:c>
      <x:c r="G193" t="str">
        <x:v>2026-4B-CUH</x:v>
      </x:c>
      <x:c r="H193" s="24" t="b">
        <x:v>0</x:v>
      </x:c>
      <x:c r="I193" s="24" t="b">
        <x:v>1</x:v>
      </x:c>
    </x:row>
    <x:row r="194">
      <x:c r="A194" t="str">
        <x:v>PROF-017</x:v>
      </x:c>
      <x:c r="B194" t="str">
        <x:v>MUF</x:v>
      </x:c>
      <x:c r="C194" t="n">
        <x:v>4</x:v>
      </x:c>
      <x:c r="D194" t="str">
        <x:v>B</x:v>
      </x:c>
      <x:c r="E194" t="str">
        <x:v>4B</x:v>
      </x:c>
      <x:c r="F194" t="n">
        <x:v>2026</x:v>
      </x:c>
      <x:c r="G194" t="str">
        <x:v>2026-4B-MUF</x:v>
      </x:c>
      <x:c r="H194" s="24" t="b">
        <x:v>0</x:v>
      </x:c>
      <x:c r="I194" s="24" t="b">
        <x:v>1</x:v>
      </x:c>
    </x:row>
    <x:row r="195">
      <x:c r="A195" t="str">
        <x:v>PROF-013</x:v>
      </x:c>
      <x:c r="B195" t="str">
        <x:v>CIU</x:v>
      </x:c>
      <x:c r="C195" t="n">
        <x:v>4</x:v>
      </x:c>
      <x:c r="D195" t="str">
        <x:v>B</x:v>
      </x:c>
      <x:c r="E195" t="str">
        <x:v>4B</x:v>
      </x:c>
      <x:c r="F195" t="n">
        <x:v>2026</x:v>
      </x:c>
      <x:c r="G195" t="str">
        <x:v>2026-4B-CIU</x:v>
      </x:c>
      <x:c r="H195" s="24" t="b">
        <x:v>0</x:v>
      </x:c>
      <x:c r="I195" s="24" t="b">
        <x:v>1</x:v>
      </x:c>
    </x:row>
    <x:row r="196">
      <x:c r="A196" t="str">
        <x:v>PROF-015</x:v>
      </x:c>
      <x:c r="B196" t="str">
        <x:v>GEG</x:v>
      </x:c>
      <x:c r="C196" t="n">
        <x:v>4</x:v>
      </x:c>
      <x:c r="D196" t="str">
        <x:v>B</x:v>
      </x:c>
      <x:c r="E196" t="str">
        <x:v>4B</x:v>
      </x:c>
      <x:c r="F196" t="n">
        <x:v>2026</x:v>
      </x:c>
      <x:c r="G196" t="str">
        <x:v>2026-4B-GEG</x:v>
      </x:c>
      <x:c r="H196" s="24" t="b">
        <x:v>0</x:v>
      </x:c>
      <x:c r="I196" s="24" t="b">
        <x:v>1</x:v>
      </x:c>
    </x:row>
    <x:row r="197">
      <x:c r="A197" t="str">
        <x:v>PROF-013</x:v>
      </x:c>
      <x:c r="B197" t="str">
        <x:v>HIS</x:v>
      </x:c>
      <x:c r="C197" t="n">
        <x:v>4</x:v>
      </x:c>
      <x:c r="D197" t="str">
        <x:v>B</x:v>
      </x:c>
      <x:c r="E197" t="str">
        <x:v>4B</x:v>
      </x:c>
      <x:c r="F197" t="n">
        <x:v>2026</x:v>
      </x:c>
      <x:c r="G197" t="str">
        <x:v>2026-4B-HIS</x:v>
      </x:c>
      <x:c r="H197" s="24" t="b">
        <x:v>0</x:v>
      </x:c>
      <x:c r="I197" s="24" t="b">
        <x:v>1</x:v>
      </x:c>
    </x:row>
    <x:row r="198">
      <x:c r="A198" t="str">
        <x:v>PROF-021</x:v>
      </x:c>
      <x:c r="B198" t="str">
        <x:v>REL</x:v>
      </x:c>
      <x:c r="C198" t="n">
        <x:v>4</x:v>
      </x:c>
      <x:c r="D198" t="str">
        <x:v>B</x:v>
      </x:c>
      <x:c r="E198" t="str">
        <x:v>4B</x:v>
      </x:c>
      <x:c r="F198" t="n">
        <x:v>2026</x:v>
      </x:c>
      <x:c r="G198" t="str">
        <x:v>2026-4B-REL</x:v>
      </x:c>
      <x:c r="H198" s="24" t="b">
        <x:v>0</x:v>
      </x:c>
      <x:c r="I198" s="24" t="b">
        <x:v>1</x:v>
      </x:c>
    </x:row>
    <x:row r="199">
      <x:c r="A199" t="str">
        <x:v>PROF-021</x:v>
      </x:c>
      <x:c r="B199" t="str">
        <x:v>ING</x:v>
      </x:c>
      <x:c r="C199" t="n">
        <x:v>4</x:v>
      </x:c>
      <x:c r="D199" t="str">
        <x:v>B</x:v>
      </x:c>
      <x:c r="E199" t="str">
        <x:v>4B</x:v>
      </x:c>
      <x:c r="F199" t="n">
        <x:v>2026</x:v>
      </x:c>
      <x:c r="G199" t="str">
        <x:v>2026-4B-ING</x:v>
      </x:c>
      <x:c r="H199" s="24" t="b">
        <x:v>0</x:v>
      </x:c>
      <x:c r="I199" s="24" t="b">
        <x:v>1</x:v>
      </x:c>
    </x:row>
    <x:row r="200">
      <x:c r="A200" t="str">
        <x:v>PROF-023</x:v>
      </x:c>
      <x:c r="B200" t="str">
        <x:v>TAL</x:v>
      </x:c>
      <x:c r="C200" t="n">
        <x:v>4</x:v>
      </x:c>
      <x:c r="D200" t="str">
        <x:v>B</x:v>
      </x:c>
      <x:c r="E200" t="str">
        <x:v>4B</x:v>
      </x:c>
      <x:c r="F200" t="n">
        <x:v>2026</x:v>
      </x:c>
      <x:c r="G200" t="str">
        <x:v>2026-4B-TAL</x:v>
      </x:c>
      <x:c r="H200" s="24" t="b">
        <x:v>0</x:v>
      </x:c>
      <x:c r="I200" s="24" t="b">
        <x:v>1</x:v>
      </x:c>
    </x:row>
    <x:row r="201">
      <x:c r="A201" t="str">
        <x:v>PROF-023</x:v>
      </x:c>
      <x:c r="B201" t="str">
        <x:v>EDF</x:v>
      </x:c>
      <x:c r="C201" t="n">
        <x:v>4</x:v>
      </x:c>
      <x:c r="D201" t="str">
        <x:v>B</x:v>
      </x:c>
      <x:c r="E201" t="str">
        <x:v>4B</x:v>
      </x:c>
      <x:c r="F201" t="n">
        <x:v>2026</x:v>
      </x:c>
      <x:c r="G201" t="str">
        <x:v>2026-4B-EDF</x:v>
      </x:c>
      <x:c r="H201" s="24" t="b">
        <x:v>0</x:v>
      </x:c>
      <x:c r="I201" s="24" t="b">
        <x:v>1</x:v>
      </x:c>
    </x:row>
    <x:row r="202">
      <x:c r="A202" t="str">
        <x:v>PROF-009</x:v>
      </x:c>
      <x:c r="B202" t="str">
        <x:v>ARI</x:v>
      </x:c>
      <x:c r="C202" t="n">
        <x:v>4</x:v>
      </x:c>
      <x:c r="D202" t="str">
        <x:v>C</x:v>
      </x:c>
      <x:c r="E202" t="str">
        <x:v>4C</x:v>
      </x:c>
      <x:c r="F202" t="n">
        <x:v>2026</x:v>
      </x:c>
      <x:c r="G202" t="str">
        <x:v>2026-4C-ARI</x:v>
      </x:c>
      <x:c r="H202" s="24" t="b">
        <x:v>0</x:v>
      </x:c>
      <x:c r="I202" s="24" t="b">
        <x:v>1</x:v>
      </x:c>
    </x:row>
    <x:row r="203">
      <x:c r="A203" t="str">
        <x:v>PROF-009</x:v>
      </x:c>
      <x:c r="B203" t="str">
        <x:v>ALG</x:v>
      </x:c>
      <x:c r="C203" t="n">
        <x:v>4</x:v>
      </x:c>
      <x:c r="D203" t="str">
        <x:v>C</x:v>
      </x:c>
      <x:c r="E203" t="str">
        <x:v>4C</x:v>
      </x:c>
      <x:c r="F203" t="n">
        <x:v>2026</x:v>
      </x:c>
      <x:c r="G203" t="str">
        <x:v>2026-4C-ALG</x:v>
      </x:c>
      <x:c r="H203" s="24" t="b">
        <x:v>0</x:v>
      </x:c>
      <x:c r="I203" s="24" t="b">
        <x:v>1</x:v>
      </x:c>
    </x:row>
    <x:row r="204">
      <x:c r="A204" t="str">
        <x:v>PROF-011</x:v>
      </x:c>
      <x:c r="B204" t="str">
        <x:v>RZM</x:v>
      </x:c>
      <x:c r="C204" t="n">
        <x:v>4</x:v>
      </x:c>
      <x:c r="D204" t="str">
        <x:v>C</x:v>
      </x:c>
      <x:c r="E204" t="str">
        <x:v>4C</x:v>
      </x:c>
      <x:c r="F204" t="n">
        <x:v>2026</x:v>
      </x:c>
      <x:c r="G204" t="str">
        <x:v>2026-4C-RZM</x:v>
      </x:c>
      <x:c r="H204" s="24" t="b">
        <x:v>0</x:v>
      </x:c>
      <x:c r="I204" s="24" t="b">
        <x:v>1</x:v>
      </x:c>
    </x:row>
    <x:row r="205">
      <x:c r="A205" t="str">
        <x:v>PROF-011</x:v>
      </x:c>
      <x:c r="B205" t="str">
        <x:v>GEO</x:v>
      </x:c>
      <x:c r="C205" t="n">
        <x:v>4</x:v>
      </x:c>
      <x:c r="D205" t="str">
        <x:v>C</x:v>
      </x:c>
      <x:c r="E205" t="str">
        <x:v>4C</x:v>
      </x:c>
      <x:c r="F205" t="n">
        <x:v>2026</x:v>
      </x:c>
      <x:c r="G205" t="str">
        <x:v>2026-4C-GEO</x:v>
      </x:c>
      <x:c r="H205" s="24" t="b">
        <x:v>0</x:v>
      </x:c>
      <x:c r="I205" s="24" t="b">
        <x:v>1</x:v>
      </x:c>
    </x:row>
    <x:row r="206">
      <x:c r="A206" t="str">
        <x:v>PROF-017</x:v>
      </x:c>
      <x:c r="B206" t="str">
        <x:v>PDT</x:v>
      </x:c>
      <x:c r="C206" t="n">
        <x:v>4</x:v>
      </x:c>
      <x:c r="D206" t="str">
        <x:v>C</x:v>
      </x:c>
      <x:c r="E206" t="str">
        <x:v>4C</x:v>
      </x:c>
      <x:c r="F206" t="n">
        <x:v>2026</x:v>
      </x:c>
      <x:c r="G206" t="str">
        <x:v>2026-4C-PDT</x:v>
      </x:c>
      <x:c r="H206" s="24" t="b">
        <x:v>0</x:v>
      </x:c>
      <x:c r="I206" s="24" t="b">
        <x:v>1</x:v>
      </x:c>
    </x:row>
    <x:row r="207">
      <x:c r="A207" t="str">
        <x:v>PROF-019</x:v>
      </x:c>
      <x:c r="B207" t="str">
        <x:v>GRA</x:v>
      </x:c>
      <x:c r="C207" t="n">
        <x:v>4</x:v>
      </x:c>
      <x:c r="D207" t="str">
        <x:v>C</x:v>
      </x:c>
      <x:c r="E207" t="str">
        <x:v>4C</x:v>
      </x:c>
      <x:c r="F207" t="n">
        <x:v>2026</x:v>
      </x:c>
      <x:c r="G207" t="str">
        <x:v>2026-4C-GRA</x:v>
      </x:c>
      <x:c r="H207" s="24" t="b">
        <x:v>0</x:v>
      </x:c>
      <x:c r="I207" s="24" t="b">
        <x:v>1</x:v>
      </x:c>
    </x:row>
    <x:row r="208">
      <x:c r="A208" t="str">
        <x:v>PROF-019</x:v>
      </x:c>
      <x:c r="B208" t="str">
        <x:v>RZV</x:v>
      </x:c>
      <x:c r="C208" t="n">
        <x:v>4</x:v>
      </x:c>
      <x:c r="D208" t="str">
        <x:v>C</x:v>
      </x:c>
      <x:c r="E208" t="str">
        <x:v>4C</x:v>
      </x:c>
      <x:c r="F208" t="n">
        <x:v>2026</x:v>
      </x:c>
      <x:c r="G208" t="str">
        <x:v>2026-4C-RZV</x:v>
      </x:c>
      <x:c r="H208" s="24" t="b">
        <x:v>0</x:v>
      </x:c>
      <x:c r="I208" s="24" t="b">
        <x:v>1</x:v>
      </x:c>
    </x:row>
    <x:row r="209">
      <x:c r="A209" t="str">
        <x:v>PROF-015</x:v>
      </x:c>
      <x:c r="B209" t="str">
        <x:v>CUH</x:v>
      </x:c>
      <x:c r="C209" t="n">
        <x:v>4</x:v>
      </x:c>
      <x:c r="D209" t="str">
        <x:v>C</x:v>
      </x:c>
      <x:c r="E209" t="str">
        <x:v>4C</x:v>
      </x:c>
      <x:c r="F209" t="n">
        <x:v>2026</x:v>
      </x:c>
      <x:c r="G209" t="str">
        <x:v>2026-4C-CUH</x:v>
      </x:c>
      <x:c r="H209" s="24" t="b">
        <x:v>0</x:v>
      </x:c>
      <x:c r="I209" s="24" t="b">
        <x:v>1</x:v>
      </x:c>
    </x:row>
    <x:row r="210">
      <x:c r="A210" t="str">
        <x:v>PROF-017</x:v>
      </x:c>
      <x:c r="B210" t="str">
        <x:v>MUF</x:v>
      </x:c>
      <x:c r="C210" t="n">
        <x:v>4</x:v>
      </x:c>
      <x:c r="D210" t="str">
        <x:v>C</x:v>
      </x:c>
      <x:c r="E210" t="str">
        <x:v>4C</x:v>
      </x:c>
      <x:c r="F210" t="n">
        <x:v>2026</x:v>
      </x:c>
      <x:c r="G210" t="str">
        <x:v>2026-4C-MUF</x:v>
      </x:c>
      <x:c r="H210" s="24" t="b">
        <x:v>0</x:v>
      </x:c>
      <x:c r="I210" s="24" t="b">
        <x:v>1</x:v>
      </x:c>
    </x:row>
    <x:row r="211">
      <x:c r="A211" t="str">
        <x:v>PROF-013</x:v>
      </x:c>
      <x:c r="B211" t="str">
        <x:v>CIU</x:v>
      </x:c>
      <x:c r="C211" t="n">
        <x:v>4</x:v>
      </x:c>
      <x:c r="D211" t="str">
        <x:v>C</x:v>
      </x:c>
      <x:c r="E211" t="str">
        <x:v>4C</x:v>
      </x:c>
      <x:c r="F211" t="n">
        <x:v>2026</x:v>
      </x:c>
      <x:c r="G211" t="str">
        <x:v>2026-4C-CIU</x:v>
      </x:c>
      <x:c r="H211" s="24" t="b">
        <x:v>0</x:v>
      </x:c>
      <x:c r="I211" s="24" t="b">
        <x:v>1</x:v>
      </x:c>
    </x:row>
    <x:row r="212">
      <x:c r="A212" t="str">
        <x:v>PROF-015</x:v>
      </x:c>
      <x:c r="B212" t="str">
        <x:v>GEG</x:v>
      </x:c>
      <x:c r="C212" t="n">
        <x:v>4</x:v>
      </x:c>
      <x:c r="D212" t="str">
        <x:v>C</x:v>
      </x:c>
      <x:c r="E212" t="str">
        <x:v>4C</x:v>
      </x:c>
      <x:c r="F212" t="n">
        <x:v>2026</x:v>
      </x:c>
      <x:c r="G212" t="str">
        <x:v>2026-4C-GEG</x:v>
      </x:c>
      <x:c r="H212" s="24" t="b">
        <x:v>0</x:v>
      </x:c>
      <x:c r="I212" s="24" t="b">
        <x:v>1</x:v>
      </x:c>
    </x:row>
    <x:row r="213">
      <x:c r="A213" t="str">
        <x:v>PROF-013</x:v>
      </x:c>
      <x:c r="B213" t="str">
        <x:v>HIS</x:v>
      </x:c>
      <x:c r="C213" t="n">
        <x:v>4</x:v>
      </x:c>
      <x:c r="D213" t="str">
        <x:v>C</x:v>
      </x:c>
      <x:c r="E213" t="str">
        <x:v>4C</x:v>
      </x:c>
      <x:c r="F213" t="n">
        <x:v>2026</x:v>
      </x:c>
      <x:c r="G213" t="str">
        <x:v>2026-4C-HIS</x:v>
      </x:c>
      <x:c r="H213" s="24" t="b">
        <x:v>0</x:v>
      </x:c>
      <x:c r="I213" s="24" t="b">
        <x:v>1</x:v>
      </x:c>
    </x:row>
    <x:row r="214">
      <x:c r="A214" t="str">
        <x:v>PROF-021</x:v>
      </x:c>
      <x:c r="B214" t="str">
        <x:v>REL</x:v>
      </x:c>
      <x:c r="C214" t="n">
        <x:v>4</x:v>
      </x:c>
      <x:c r="D214" t="str">
        <x:v>C</x:v>
      </x:c>
      <x:c r="E214" t="str">
        <x:v>4C</x:v>
      </x:c>
      <x:c r="F214" t="n">
        <x:v>2026</x:v>
      </x:c>
      <x:c r="G214" t="str">
        <x:v>2026-4C-REL</x:v>
      </x:c>
      <x:c r="H214" s="24" t="b">
        <x:v>0</x:v>
      </x:c>
      <x:c r="I214" s="24" t="b">
        <x:v>1</x:v>
      </x:c>
    </x:row>
    <x:row r="215">
      <x:c r="A215" t="str">
        <x:v>PROF-021</x:v>
      </x:c>
      <x:c r="B215" t="str">
        <x:v>ING</x:v>
      </x:c>
      <x:c r="C215" t="n">
        <x:v>4</x:v>
      </x:c>
      <x:c r="D215" t="str">
        <x:v>C</x:v>
      </x:c>
      <x:c r="E215" t="str">
        <x:v>4C</x:v>
      </x:c>
      <x:c r="F215" t="n">
        <x:v>2026</x:v>
      </x:c>
      <x:c r="G215" t="str">
        <x:v>2026-4C-ING</x:v>
      </x:c>
      <x:c r="H215" s="24" t="b">
        <x:v>0</x:v>
      </x:c>
      <x:c r="I215" s="24" t="b">
        <x:v>1</x:v>
      </x:c>
    </x:row>
    <x:row r="216">
      <x:c r="A216" t="str">
        <x:v>PROF-023</x:v>
      </x:c>
      <x:c r="B216" t="str">
        <x:v>TAL</x:v>
      </x:c>
      <x:c r="C216" t="n">
        <x:v>4</x:v>
      </x:c>
      <x:c r="D216" t="str">
        <x:v>C</x:v>
      </x:c>
      <x:c r="E216" t="str">
        <x:v>4C</x:v>
      </x:c>
      <x:c r="F216" t="n">
        <x:v>2026</x:v>
      </x:c>
      <x:c r="G216" t="str">
        <x:v>2026-4C-TAL</x:v>
      </x:c>
      <x:c r="H216" s="24" t="b">
        <x:v>0</x:v>
      </x:c>
      <x:c r="I216" s="24" t="b">
        <x:v>1</x:v>
      </x:c>
    </x:row>
    <x:row r="217">
      <x:c r="A217" t="str">
        <x:v>PROF-023</x:v>
      </x:c>
      <x:c r="B217" t="str">
        <x:v>EDF</x:v>
      </x:c>
      <x:c r="C217" t="n">
        <x:v>4</x:v>
      </x:c>
      <x:c r="D217" t="str">
        <x:v>C</x:v>
      </x:c>
      <x:c r="E217" t="str">
        <x:v>4C</x:v>
      </x:c>
      <x:c r="F217" t="n">
        <x:v>2026</x:v>
      </x:c>
      <x:c r="G217" t="str">
        <x:v>2026-4C-EDF</x:v>
      </x:c>
      <x:c r="H217" s="24" t="b">
        <x:v>0</x:v>
      </x:c>
      <x:c r="I217" s="24" t="b">
        <x:v>1</x:v>
      </x:c>
    </x:row>
    <x:row r="218">
      <x:c r="A218" t="str">
        <x:v>PROF-024</x:v>
      </x:c>
      <x:c r="B218" t="str">
        <x:v>ARI</x:v>
      </x:c>
      <x:c r="C218" t="n">
        <x:v>4</x:v>
      </x:c>
      <x:c r="D218" t="str">
        <x:v>D</x:v>
      </x:c>
      <x:c r="E218" t="str">
        <x:v>4D</x:v>
      </x:c>
      <x:c r="F218" t="n">
        <x:v>2026</x:v>
      </x:c>
      <x:c r="G218" t="str">
        <x:v>2026-4D-ARI</x:v>
      </x:c>
      <x:c r="H218" s="24" t="b">
        <x:v>0</x:v>
      </x:c>
      <x:c r="I218" s="24" t="b">
        <x:v>1</x:v>
      </x:c>
    </x:row>
    <x:row r="219">
      <x:c r="A219" t="str">
        <x:v>PROF-010</x:v>
      </x:c>
      <x:c r="B219" t="str">
        <x:v>ALG</x:v>
      </x:c>
      <x:c r="C219" t="n">
        <x:v>4</x:v>
      </x:c>
      <x:c r="D219" t="str">
        <x:v>D</x:v>
      </x:c>
      <x:c r="E219" t="str">
        <x:v>4D</x:v>
      </x:c>
      <x:c r="F219" t="n">
        <x:v>2026</x:v>
      </x:c>
      <x:c r="G219" t="str">
        <x:v>2026-4D-ALG</x:v>
      </x:c>
      <x:c r="H219" s="24" t="b">
        <x:v>0</x:v>
      </x:c>
      <x:c r="I219" s="24" t="b">
        <x:v>1</x:v>
      </x:c>
    </x:row>
    <x:row r="220">
      <x:c r="A220" t="str">
        <x:v>PROF-010</x:v>
      </x:c>
      <x:c r="B220" t="str">
        <x:v>RZM</x:v>
      </x:c>
      <x:c r="C220" t="n">
        <x:v>4</x:v>
      </x:c>
      <x:c r="D220" t="str">
        <x:v>D</x:v>
      </x:c>
      <x:c r="E220" t="str">
        <x:v>4D</x:v>
      </x:c>
      <x:c r="F220" t="n">
        <x:v>2026</x:v>
      </x:c>
      <x:c r="G220" t="str">
        <x:v>2026-4D-RZM</x:v>
      </x:c>
      <x:c r="H220" s="24" t="b">
        <x:v>0</x:v>
      </x:c>
      <x:c r="I220" s="24" t="b">
        <x:v>1</x:v>
      </x:c>
    </x:row>
    <x:row r="221">
      <x:c r="A221" t="str">
        <x:v>PROF-012</x:v>
      </x:c>
      <x:c r="B221" t="str">
        <x:v>GEO</x:v>
      </x:c>
      <x:c r="C221" t="n">
        <x:v>4</x:v>
      </x:c>
      <x:c r="D221" t="str">
        <x:v>D</x:v>
      </x:c>
      <x:c r="E221" t="str">
        <x:v>4D</x:v>
      </x:c>
      <x:c r="F221" t="n">
        <x:v>2026</x:v>
      </x:c>
      <x:c r="G221" t="str">
        <x:v>2026-4D-GEO</x:v>
      </x:c>
      <x:c r="H221" s="24" t="b">
        <x:v>0</x:v>
      </x:c>
      <x:c r="I221" s="24" t="b">
        <x:v>1</x:v>
      </x:c>
    </x:row>
    <x:row r="222">
      <x:c r="A222" t="str">
        <x:v>PROF-018</x:v>
      </x:c>
      <x:c r="B222" t="str">
        <x:v>PDT</x:v>
      </x:c>
      <x:c r="C222" t="n">
        <x:v>4</x:v>
      </x:c>
      <x:c r="D222" t="str">
        <x:v>D</x:v>
      </x:c>
      <x:c r="E222" t="str">
        <x:v>4D</x:v>
      </x:c>
      <x:c r="F222" t="n">
        <x:v>2026</x:v>
      </x:c>
      <x:c r="G222" t="str">
        <x:v>2026-4D-PDT</x:v>
      </x:c>
      <x:c r="H222" s="24" t="b">
        <x:v>0</x:v>
      </x:c>
      <x:c r="I222" s="24" t="b">
        <x:v>1</x:v>
      </x:c>
    </x:row>
    <x:row r="223">
      <x:c r="A223" t="str">
        <x:v>PROF-018</x:v>
      </x:c>
      <x:c r="B223" t="str">
        <x:v>GRA</x:v>
      </x:c>
      <x:c r="C223" t="n">
        <x:v>4</x:v>
      </x:c>
      <x:c r="D223" t="str">
        <x:v>D</x:v>
      </x:c>
      <x:c r="E223" t="str">
        <x:v>4D</x:v>
      </x:c>
      <x:c r="F223" t="n">
        <x:v>2026</x:v>
      </x:c>
      <x:c r="G223" t="str">
        <x:v>2026-4D-GRA</x:v>
      </x:c>
      <x:c r="H223" s="24" t="b">
        <x:v>0</x:v>
      </x:c>
      <x:c r="I223" s="24" t="b">
        <x:v>1</x:v>
      </x:c>
    </x:row>
    <x:row r="224">
      <x:c r="A224" t="str">
        <x:v>PROF-020</x:v>
      </x:c>
      <x:c r="B224" t="str">
        <x:v>RZV</x:v>
      </x:c>
      <x:c r="C224" t="n">
        <x:v>4</x:v>
      </x:c>
      <x:c r="D224" t="str">
        <x:v>D</x:v>
      </x:c>
      <x:c r="E224" t="str">
        <x:v>4D</x:v>
      </x:c>
      <x:c r="F224" t="n">
        <x:v>2026</x:v>
      </x:c>
      <x:c r="G224" t="str">
        <x:v>2026-4D-RZV</x:v>
      </x:c>
      <x:c r="H224" s="24" t="b">
        <x:v>0</x:v>
      </x:c>
      <x:c r="I224" s="24" t="b">
        <x:v>1</x:v>
      </x:c>
    </x:row>
    <x:row r="225">
      <x:c r="A225" t="str">
        <x:v>PROF-016</x:v>
      </x:c>
      <x:c r="B225" t="str">
        <x:v>CUH</x:v>
      </x:c>
      <x:c r="C225" t="n">
        <x:v>4</x:v>
      </x:c>
      <x:c r="D225" t="str">
        <x:v>D</x:v>
      </x:c>
      <x:c r="E225" t="str">
        <x:v>4D</x:v>
      </x:c>
      <x:c r="F225" t="n">
        <x:v>2026</x:v>
      </x:c>
      <x:c r="G225" t="str">
        <x:v>2026-4D-CUH</x:v>
      </x:c>
      <x:c r="H225" s="24" t="b">
        <x:v>0</x:v>
      </x:c>
      <x:c r="I225" s="24" t="b">
        <x:v>1</x:v>
      </x:c>
    </x:row>
    <x:row r="226">
      <x:c r="A226" t="str">
        <x:v>PROF-016</x:v>
      </x:c>
      <x:c r="B226" t="str">
        <x:v>MUF</x:v>
      </x:c>
      <x:c r="C226" t="n">
        <x:v>4</x:v>
      </x:c>
      <x:c r="D226" t="str">
        <x:v>D</x:v>
      </x:c>
      <x:c r="E226" t="str">
        <x:v>4D</x:v>
      </x:c>
      <x:c r="F226" t="n">
        <x:v>2026</x:v>
      </x:c>
      <x:c r="G226" t="str">
        <x:v>2026-4D-MUF</x:v>
      </x:c>
      <x:c r="H226" s="24" t="b">
        <x:v>0</x:v>
      </x:c>
      <x:c r="I226" s="24" t="b">
        <x:v>1</x:v>
      </x:c>
    </x:row>
    <x:row r="227">
      <x:c r="A227" t="str">
        <x:v>PROF-014</x:v>
      </x:c>
      <x:c r="B227" t="str">
        <x:v>CIU</x:v>
      </x:c>
      <x:c r="C227" t="n">
        <x:v>4</x:v>
      </x:c>
      <x:c r="D227" t="str">
        <x:v>D</x:v>
      </x:c>
      <x:c r="E227" t="str">
        <x:v>4D</x:v>
      </x:c>
      <x:c r="F227" t="n">
        <x:v>2026</x:v>
      </x:c>
      <x:c r="G227" t="str">
        <x:v>2026-4D-CIU</x:v>
      </x:c>
      <x:c r="H227" s="24" t="b">
        <x:v>0</x:v>
      </x:c>
      <x:c r="I227" s="24" t="b">
        <x:v>1</x:v>
      </x:c>
    </x:row>
    <x:row r="228">
      <x:c r="A228" t="str">
        <x:v>PROF-014</x:v>
      </x:c>
      <x:c r="B228" t="str">
        <x:v>GEG</x:v>
      </x:c>
      <x:c r="C228" t="n">
        <x:v>4</x:v>
      </x:c>
      <x:c r="D228" t="str">
        <x:v>D</x:v>
      </x:c>
      <x:c r="E228" t="str">
        <x:v>4D</x:v>
      </x:c>
      <x:c r="F228" t="n">
        <x:v>2026</x:v>
      </x:c>
      <x:c r="G228" t="str">
        <x:v>2026-4D-GEG</x:v>
      </x:c>
      <x:c r="H228" s="24" t="b">
        <x:v>0</x:v>
      </x:c>
      <x:c r="I228" s="24" t="b">
        <x:v>1</x:v>
      </x:c>
    </x:row>
    <x:row r="229">
      <x:c r="A229" t="str">
        <x:v>PROF-012</x:v>
      </x:c>
      <x:c r="B229" t="str">
        <x:v>HIS</x:v>
      </x:c>
      <x:c r="C229" t="n">
        <x:v>4</x:v>
      </x:c>
      <x:c r="D229" t="str">
        <x:v>D</x:v>
      </x:c>
      <x:c r="E229" t="str">
        <x:v>4D</x:v>
      </x:c>
      <x:c r="F229" t="n">
        <x:v>2026</x:v>
      </x:c>
      <x:c r="G229" t="str">
        <x:v>2026-4D-HIS</x:v>
      </x:c>
      <x:c r="H229" s="24" t="b">
        <x:v>0</x:v>
      </x:c>
      <x:c r="I229" s="24" t="b">
        <x:v>1</x:v>
      </x:c>
    </x:row>
    <x:row r="230">
      <x:c r="A230" t="str">
        <x:v>PROF-022</x:v>
      </x:c>
      <x:c r="B230" t="str">
        <x:v>REL</x:v>
      </x:c>
      <x:c r="C230" t="n">
        <x:v>4</x:v>
      </x:c>
      <x:c r="D230" t="str">
        <x:v>D</x:v>
      </x:c>
      <x:c r="E230" t="str">
        <x:v>4D</x:v>
      </x:c>
      <x:c r="F230" t="n">
        <x:v>2026</x:v>
      </x:c>
      <x:c r="G230" t="str">
        <x:v>2026-4D-REL</x:v>
      </x:c>
      <x:c r="H230" s="24" t="b">
        <x:v>0</x:v>
      </x:c>
      <x:c r="I230" s="24" t="b">
        <x:v>1</x:v>
      </x:c>
    </x:row>
    <x:row r="231">
      <x:c r="A231" t="str">
        <x:v>PROF-020</x:v>
      </x:c>
      <x:c r="B231" t="str">
        <x:v>ING</x:v>
      </x:c>
      <x:c r="C231" t="n">
        <x:v>4</x:v>
      </x:c>
      <x:c r="D231" t="str">
        <x:v>D</x:v>
      </x:c>
      <x:c r="E231" t="str">
        <x:v>4D</x:v>
      </x:c>
      <x:c r="F231" t="n">
        <x:v>2026</x:v>
      </x:c>
      <x:c r="G231" t="str">
        <x:v>2026-4D-ING</x:v>
      </x:c>
      <x:c r="H231" s="24" t="b">
        <x:v>0</x:v>
      </x:c>
      <x:c r="I231" s="24" t="b">
        <x:v>1</x:v>
      </x:c>
    </x:row>
    <x:row r="232">
      <x:c r="A232" t="str">
        <x:v>PROF-022</x:v>
      </x:c>
      <x:c r="B232" t="str">
        <x:v>TAL</x:v>
      </x:c>
      <x:c r="C232" t="n">
        <x:v>4</x:v>
      </x:c>
      <x:c r="D232" t="str">
        <x:v>D</x:v>
      </x:c>
      <x:c r="E232" t="str">
        <x:v>4D</x:v>
      </x:c>
      <x:c r="F232" t="n">
        <x:v>2026</x:v>
      </x:c>
      <x:c r="G232" t="str">
        <x:v>2026-4D-TAL</x:v>
      </x:c>
      <x:c r="H232" s="24" t="b">
        <x:v>0</x:v>
      </x:c>
      <x:c r="I232" s="24" t="b">
        <x:v>1</x:v>
      </x:c>
    </x:row>
    <x:row r="233">
      <x:c r="A233" t="str">
        <x:v>PROF-024</x:v>
      </x:c>
      <x:c r="B233" t="str">
        <x:v>EDF</x:v>
      </x:c>
      <x:c r="C233" t="n">
        <x:v>4</x:v>
      </x:c>
      <x:c r="D233" t="str">
        <x:v>D</x:v>
      </x:c>
      <x:c r="E233" t="str">
        <x:v>4D</x:v>
      </x:c>
      <x:c r="F233" t="n">
        <x:v>2026</x:v>
      </x:c>
      <x:c r="G233" t="str">
        <x:v>2026-4D-EDF</x:v>
      </x:c>
      <x:c r="H233" s="24" t="b">
        <x:v>0</x:v>
      </x:c>
      <x:c r="I233" s="24" t="b">
        <x:v>1</x:v>
      </x:c>
    </x:row>
    <x:row r="234">
      <x:c r="A234" t="str">
        <x:v>PROF-024</x:v>
      </x:c>
      <x:c r="B234" t="str">
        <x:v>ARI</x:v>
      </x:c>
      <x:c r="C234" t="n">
        <x:v>5</x:v>
      </x:c>
      <x:c r="D234" t="str">
        <x:v>A</x:v>
      </x:c>
      <x:c r="E234" t="str">
        <x:v>5A</x:v>
      </x:c>
      <x:c r="F234" t="n">
        <x:v>2026</x:v>
      </x:c>
      <x:c r="G234" t="str">
        <x:v>2026-5A-ARI</x:v>
      </x:c>
      <x:c r="H234" s="24" t="b">
        <x:v>0</x:v>
      </x:c>
      <x:c r="I234" s="24" t="b">
        <x:v>1</x:v>
      </x:c>
    </x:row>
    <x:row r="235">
      <x:c r="A235" t="str">
        <x:v>PROF-010</x:v>
      </x:c>
      <x:c r="B235" t="str">
        <x:v>ALG</x:v>
      </x:c>
      <x:c r="C235" t="n">
        <x:v>5</x:v>
      </x:c>
      <x:c r="D235" t="str">
        <x:v>A</x:v>
      </x:c>
      <x:c r="E235" t="str">
        <x:v>5A</x:v>
      </x:c>
      <x:c r="F235" t="n">
        <x:v>2026</x:v>
      </x:c>
      <x:c r="G235" t="str">
        <x:v>2026-5A-ALG</x:v>
      </x:c>
      <x:c r="H235" s="24" t="b">
        <x:v>0</x:v>
      </x:c>
      <x:c r="I235" s="24" t="b">
        <x:v>1</x:v>
      </x:c>
    </x:row>
    <x:row r="236">
      <x:c r="A236" t="str">
        <x:v>PROF-010</x:v>
      </x:c>
      <x:c r="B236" t="str">
        <x:v>RZM</x:v>
      </x:c>
      <x:c r="C236" t="n">
        <x:v>5</x:v>
      </x:c>
      <x:c r="D236" t="str">
        <x:v>A</x:v>
      </x:c>
      <x:c r="E236" t="str">
        <x:v>5A</x:v>
      </x:c>
      <x:c r="F236" t="n">
        <x:v>2026</x:v>
      </x:c>
      <x:c r="G236" t="str">
        <x:v>2026-5A-RZM</x:v>
      </x:c>
      <x:c r="H236" s="24" t="b">
        <x:v>0</x:v>
      </x:c>
      <x:c r="I236" s="24" t="b">
        <x:v>1</x:v>
      </x:c>
    </x:row>
    <x:row r="237">
      <x:c r="A237" t="str">
        <x:v>PROF-012</x:v>
      </x:c>
      <x:c r="B237" t="str">
        <x:v>GEO</x:v>
      </x:c>
      <x:c r="C237" t="n">
        <x:v>5</x:v>
      </x:c>
      <x:c r="D237" t="str">
        <x:v>A</x:v>
      </x:c>
      <x:c r="E237" t="str">
        <x:v>5A</x:v>
      </x:c>
      <x:c r="F237" t="n">
        <x:v>2026</x:v>
      </x:c>
      <x:c r="G237" t="str">
        <x:v>2026-5A-GEO</x:v>
      </x:c>
      <x:c r="H237" s="24" t="b">
        <x:v>0</x:v>
      </x:c>
      <x:c r="I237" s="24" t="b">
        <x:v>1</x:v>
      </x:c>
    </x:row>
    <x:row r="238">
      <x:c r="A238" t="str">
        <x:v>PROF-018</x:v>
      </x:c>
      <x:c r="B238" t="str">
        <x:v>PDT</x:v>
      </x:c>
      <x:c r="C238" t="n">
        <x:v>5</x:v>
      </x:c>
      <x:c r="D238" t="str">
        <x:v>A</x:v>
      </x:c>
      <x:c r="E238" t="str">
        <x:v>5A</x:v>
      </x:c>
      <x:c r="F238" t="n">
        <x:v>2026</x:v>
      </x:c>
      <x:c r="G238" t="str">
        <x:v>2026-5A-PDT</x:v>
      </x:c>
      <x:c r="H238" s="24" t="b">
        <x:v>0</x:v>
      </x:c>
      <x:c r="I238" s="24" t="b">
        <x:v>1</x:v>
      </x:c>
    </x:row>
    <x:row r="239">
      <x:c r="A239" t="str">
        <x:v>PROF-018</x:v>
      </x:c>
      <x:c r="B239" t="str">
        <x:v>GRA</x:v>
      </x:c>
      <x:c r="C239" t="n">
        <x:v>5</x:v>
      </x:c>
      <x:c r="D239" t="str">
        <x:v>A</x:v>
      </x:c>
      <x:c r="E239" t="str">
        <x:v>5A</x:v>
      </x:c>
      <x:c r="F239" t="n">
        <x:v>2026</x:v>
      </x:c>
      <x:c r="G239" t="str">
        <x:v>2026-5A-GRA</x:v>
      </x:c>
      <x:c r="H239" s="24" t="b">
        <x:v>0</x:v>
      </x:c>
      <x:c r="I239" s="24" t="b">
        <x:v>1</x:v>
      </x:c>
    </x:row>
    <x:row r="240">
      <x:c r="A240" t="str">
        <x:v>PROF-020</x:v>
      </x:c>
      <x:c r="B240" t="str">
        <x:v>RZV</x:v>
      </x:c>
      <x:c r="C240" t="n">
        <x:v>5</x:v>
      </x:c>
      <x:c r="D240" t="str">
        <x:v>A</x:v>
      </x:c>
      <x:c r="E240" t="str">
        <x:v>5A</x:v>
      </x:c>
      <x:c r="F240" t="n">
        <x:v>2026</x:v>
      </x:c>
      <x:c r="G240" t="str">
        <x:v>2026-5A-RZV</x:v>
      </x:c>
      <x:c r="H240" s="24" t="b">
        <x:v>0</x:v>
      </x:c>
      <x:c r="I240" s="24" t="b">
        <x:v>1</x:v>
      </x:c>
    </x:row>
    <x:row r="241">
      <x:c r="A241" t="str">
        <x:v>PROF-016</x:v>
      </x:c>
      <x:c r="B241" t="str">
        <x:v>CUH</x:v>
      </x:c>
      <x:c r="C241" t="n">
        <x:v>5</x:v>
      </x:c>
      <x:c r="D241" t="str">
        <x:v>A</x:v>
      </x:c>
      <x:c r="E241" t="str">
        <x:v>5A</x:v>
      </x:c>
      <x:c r="F241" t="n">
        <x:v>2026</x:v>
      </x:c>
      <x:c r="G241" t="str">
        <x:v>2026-5A-CUH</x:v>
      </x:c>
      <x:c r="H241" s="24" t="b">
        <x:v>0</x:v>
      </x:c>
      <x:c r="I241" s="24" t="b">
        <x:v>1</x:v>
      </x:c>
    </x:row>
    <x:row r="242">
      <x:c r="A242" t="str">
        <x:v>PROF-016</x:v>
      </x:c>
      <x:c r="B242" t="str">
        <x:v>MUF</x:v>
      </x:c>
      <x:c r="C242" t="n">
        <x:v>5</x:v>
      </x:c>
      <x:c r="D242" t="str">
        <x:v>A</x:v>
      </x:c>
      <x:c r="E242" t="str">
        <x:v>5A</x:v>
      </x:c>
      <x:c r="F242" t="n">
        <x:v>2026</x:v>
      </x:c>
      <x:c r="G242" t="str">
        <x:v>2026-5A-MUF</x:v>
      </x:c>
      <x:c r="H242" s="24" t="b">
        <x:v>0</x:v>
      </x:c>
      <x:c r="I242" s="24" t="b">
        <x:v>1</x:v>
      </x:c>
    </x:row>
    <x:row r="243">
      <x:c r="A243" t="str">
        <x:v>PROF-014</x:v>
      </x:c>
      <x:c r="B243" t="str">
        <x:v>CIU</x:v>
      </x:c>
      <x:c r="C243" t="n">
        <x:v>5</x:v>
      </x:c>
      <x:c r="D243" t="str">
        <x:v>A</x:v>
      </x:c>
      <x:c r="E243" t="str">
        <x:v>5A</x:v>
      </x:c>
      <x:c r="F243" t="n">
        <x:v>2026</x:v>
      </x:c>
      <x:c r="G243" t="str">
        <x:v>2026-5A-CIU</x:v>
      </x:c>
      <x:c r="H243" s="24" t="b">
        <x:v>0</x:v>
      </x:c>
      <x:c r="I243" s="24" t="b">
        <x:v>1</x:v>
      </x:c>
    </x:row>
    <x:row r="244">
      <x:c r="A244" t="str">
        <x:v>PROF-014</x:v>
      </x:c>
      <x:c r="B244" t="str">
        <x:v>GEG</x:v>
      </x:c>
      <x:c r="C244" t="n">
        <x:v>5</x:v>
      </x:c>
      <x:c r="D244" t="str">
        <x:v>A</x:v>
      </x:c>
      <x:c r="E244" t="str">
        <x:v>5A</x:v>
      </x:c>
      <x:c r="F244" t="n">
        <x:v>2026</x:v>
      </x:c>
      <x:c r="G244" t="str">
        <x:v>2026-5A-GEG</x:v>
      </x:c>
      <x:c r="H244" s="24" t="b">
        <x:v>0</x:v>
      </x:c>
      <x:c r="I244" s="24" t="b">
        <x:v>1</x:v>
      </x:c>
    </x:row>
    <x:row r="245">
      <x:c r="A245" t="str">
        <x:v>PROF-012</x:v>
      </x:c>
      <x:c r="B245" t="str">
        <x:v>HIS</x:v>
      </x:c>
      <x:c r="C245" t="n">
        <x:v>5</x:v>
      </x:c>
      <x:c r="D245" t="str">
        <x:v>A</x:v>
      </x:c>
      <x:c r="E245" t="str">
        <x:v>5A</x:v>
      </x:c>
      <x:c r="F245" t="n">
        <x:v>2026</x:v>
      </x:c>
      <x:c r="G245" t="str">
        <x:v>2026-5A-HIS</x:v>
      </x:c>
      <x:c r="H245" s="24" t="b">
        <x:v>0</x:v>
      </x:c>
      <x:c r="I245" s="24" t="b">
        <x:v>1</x:v>
      </x:c>
    </x:row>
    <x:row r="246">
      <x:c r="A246" t="str">
        <x:v>PROF-022</x:v>
      </x:c>
      <x:c r="B246" t="str">
        <x:v>REL</x:v>
      </x:c>
      <x:c r="C246" t="n">
        <x:v>5</x:v>
      </x:c>
      <x:c r="D246" t="str">
        <x:v>A</x:v>
      </x:c>
      <x:c r="E246" t="str">
        <x:v>5A</x:v>
      </x:c>
      <x:c r="F246" t="n">
        <x:v>2026</x:v>
      </x:c>
      <x:c r="G246" t="str">
        <x:v>2026-5A-REL</x:v>
      </x:c>
      <x:c r="H246" s="24" t="b">
        <x:v>0</x:v>
      </x:c>
      <x:c r="I246" s="24" t="b">
        <x:v>1</x:v>
      </x:c>
    </x:row>
    <x:row r="247">
      <x:c r="A247" t="str">
        <x:v>PROF-020</x:v>
      </x:c>
      <x:c r="B247" t="str">
        <x:v>ING</x:v>
      </x:c>
      <x:c r="C247" t="n">
        <x:v>5</x:v>
      </x:c>
      <x:c r="D247" t="str">
        <x:v>A</x:v>
      </x:c>
      <x:c r="E247" t="str">
        <x:v>5A</x:v>
      </x:c>
      <x:c r="F247" t="n">
        <x:v>2026</x:v>
      </x:c>
      <x:c r="G247" t="str">
        <x:v>2026-5A-ING</x:v>
      </x:c>
      <x:c r="H247" s="24" t="b">
        <x:v>0</x:v>
      </x:c>
      <x:c r="I247" s="24" t="b">
        <x:v>1</x:v>
      </x:c>
    </x:row>
    <x:row r="248">
      <x:c r="A248" t="str">
        <x:v>PROF-022</x:v>
      </x:c>
      <x:c r="B248" t="str">
        <x:v>TAL</x:v>
      </x:c>
      <x:c r="C248" t="n">
        <x:v>5</x:v>
      </x:c>
      <x:c r="D248" t="str">
        <x:v>A</x:v>
      </x:c>
      <x:c r="E248" t="str">
        <x:v>5A</x:v>
      </x:c>
      <x:c r="F248" t="n">
        <x:v>2026</x:v>
      </x:c>
      <x:c r="G248" t="str">
        <x:v>2026-5A-TAL</x:v>
      </x:c>
      <x:c r="H248" s="24" t="b">
        <x:v>0</x:v>
      </x:c>
      <x:c r="I248" s="24" t="b">
        <x:v>1</x:v>
      </x:c>
    </x:row>
    <x:row r="249">
      <x:c r="A249" t="str">
        <x:v>PROF-024</x:v>
      </x:c>
      <x:c r="B249" t="str">
        <x:v>EDF</x:v>
      </x:c>
      <x:c r="C249" t="n">
        <x:v>5</x:v>
      </x:c>
      <x:c r="D249" t="str">
        <x:v>A</x:v>
      </x:c>
      <x:c r="E249" t="str">
        <x:v>5A</x:v>
      </x:c>
      <x:c r="F249" t="n">
        <x:v>2026</x:v>
      </x:c>
      <x:c r="G249" t="str">
        <x:v>2026-5A-EDF</x:v>
      </x:c>
      <x:c r="H249" s="24" t="b">
        <x:v>0</x:v>
      </x:c>
      <x:c r="I249" s="24" t="b">
        <x:v>1</x:v>
      </x:c>
    </x:row>
    <x:row r="250">
      <x:c r="A250" t="str">
        <x:v>PROF-024</x:v>
      </x:c>
      <x:c r="B250" t="str">
        <x:v>ARI</x:v>
      </x:c>
      <x:c r="C250" t="n">
        <x:v>5</x:v>
      </x:c>
      <x:c r="D250" t="str">
        <x:v>B</x:v>
      </x:c>
      <x:c r="E250" t="str">
        <x:v>5B</x:v>
      </x:c>
      <x:c r="F250" t="n">
        <x:v>2026</x:v>
      </x:c>
      <x:c r="G250" t="str">
        <x:v>2026-5B-ARI</x:v>
      </x:c>
      <x:c r="H250" s="24" t="b">
        <x:v>0</x:v>
      </x:c>
      <x:c r="I250" s="24" t="b">
        <x:v>1</x:v>
      </x:c>
    </x:row>
    <x:row r="251">
      <x:c r="A251" t="str">
        <x:v>PROF-010</x:v>
      </x:c>
      <x:c r="B251" t="str">
        <x:v>ALG</x:v>
      </x:c>
      <x:c r="C251" t="n">
        <x:v>5</x:v>
      </x:c>
      <x:c r="D251" t="str">
        <x:v>B</x:v>
      </x:c>
      <x:c r="E251" t="str">
        <x:v>5B</x:v>
      </x:c>
      <x:c r="F251" t="n">
        <x:v>2026</x:v>
      </x:c>
      <x:c r="G251" t="str">
        <x:v>2026-5B-ALG</x:v>
      </x:c>
      <x:c r="H251" s="24" t="b">
        <x:v>0</x:v>
      </x:c>
      <x:c r="I251" s="24" t="b">
        <x:v>1</x:v>
      </x:c>
    </x:row>
    <x:row r="252">
      <x:c r="A252" t="str">
        <x:v>PROF-010</x:v>
      </x:c>
      <x:c r="B252" t="str">
        <x:v>RZM</x:v>
      </x:c>
      <x:c r="C252" t="n">
        <x:v>5</x:v>
      </x:c>
      <x:c r="D252" t="str">
        <x:v>B</x:v>
      </x:c>
      <x:c r="E252" t="str">
        <x:v>5B</x:v>
      </x:c>
      <x:c r="F252" t="n">
        <x:v>2026</x:v>
      </x:c>
      <x:c r="G252" t="str">
        <x:v>2026-5B-RZM</x:v>
      </x:c>
      <x:c r="H252" s="24" t="b">
        <x:v>0</x:v>
      </x:c>
      <x:c r="I252" s="24" t="b">
        <x:v>1</x:v>
      </x:c>
    </x:row>
    <x:row r="253">
      <x:c r="A253" t="str">
        <x:v>PROF-012</x:v>
      </x:c>
      <x:c r="B253" t="str">
        <x:v>GEO</x:v>
      </x:c>
      <x:c r="C253" t="n">
        <x:v>5</x:v>
      </x:c>
      <x:c r="D253" t="str">
        <x:v>B</x:v>
      </x:c>
      <x:c r="E253" t="str">
        <x:v>5B</x:v>
      </x:c>
      <x:c r="F253" t="n">
        <x:v>2026</x:v>
      </x:c>
      <x:c r="G253" t="str">
        <x:v>2026-5B-GEO</x:v>
      </x:c>
      <x:c r="H253" s="24" t="b">
        <x:v>0</x:v>
      </x:c>
      <x:c r="I253" s="24" t="b">
        <x:v>1</x:v>
      </x:c>
    </x:row>
    <x:row r="254">
      <x:c r="A254" t="str">
        <x:v>PROF-018</x:v>
      </x:c>
      <x:c r="B254" t="str">
        <x:v>PDT</x:v>
      </x:c>
      <x:c r="C254" t="n">
        <x:v>5</x:v>
      </x:c>
      <x:c r="D254" t="str">
        <x:v>B</x:v>
      </x:c>
      <x:c r="E254" t="str">
        <x:v>5B</x:v>
      </x:c>
      <x:c r="F254" t="n">
        <x:v>2026</x:v>
      </x:c>
      <x:c r="G254" t="str">
        <x:v>2026-5B-PDT</x:v>
      </x:c>
      <x:c r="H254" s="24" t="b">
        <x:v>0</x:v>
      </x:c>
      <x:c r="I254" s="24" t="b">
        <x:v>1</x:v>
      </x:c>
    </x:row>
    <x:row r="255">
      <x:c r="A255" t="str">
        <x:v>PROF-018</x:v>
      </x:c>
      <x:c r="B255" t="str">
        <x:v>GRA</x:v>
      </x:c>
      <x:c r="C255" t="n">
        <x:v>5</x:v>
      </x:c>
      <x:c r="D255" t="str">
        <x:v>B</x:v>
      </x:c>
      <x:c r="E255" t="str">
        <x:v>5B</x:v>
      </x:c>
      <x:c r="F255" t="n">
        <x:v>2026</x:v>
      </x:c>
      <x:c r="G255" t="str">
        <x:v>2026-5B-GRA</x:v>
      </x:c>
      <x:c r="H255" s="24" t="b">
        <x:v>0</x:v>
      </x:c>
      <x:c r="I255" s="24" t="b">
        <x:v>1</x:v>
      </x:c>
    </x:row>
    <x:row r="256">
      <x:c r="A256" t="str">
        <x:v>PROF-020</x:v>
      </x:c>
      <x:c r="B256" t="str">
        <x:v>RZV</x:v>
      </x:c>
      <x:c r="C256" t="n">
        <x:v>5</x:v>
      </x:c>
      <x:c r="D256" t="str">
        <x:v>B</x:v>
      </x:c>
      <x:c r="E256" t="str">
        <x:v>5B</x:v>
      </x:c>
      <x:c r="F256" t="n">
        <x:v>2026</x:v>
      </x:c>
      <x:c r="G256" t="str">
        <x:v>2026-5B-RZV</x:v>
      </x:c>
      <x:c r="H256" s="24" t="b">
        <x:v>0</x:v>
      </x:c>
      <x:c r="I256" s="24" t="b">
        <x:v>1</x:v>
      </x:c>
    </x:row>
    <x:row r="257">
      <x:c r="A257" t="str">
        <x:v>PROF-016</x:v>
      </x:c>
      <x:c r="B257" t="str">
        <x:v>CUH</x:v>
      </x:c>
      <x:c r="C257" t="n">
        <x:v>5</x:v>
      </x:c>
      <x:c r="D257" t="str">
        <x:v>B</x:v>
      </x:c>
      <x:c r="E257" t="str">
        <x:v>5B</x:v>
      </x:c>
      <x:c r="F257" t="n">
        <x:v>2026</x:v>
      </x:c>
      <x:c r="G257" t="str">
        <x:v>2026-5B-CUH</x:v>
      </x:c>
      <x:c r="H257" s="24" t="b">
        <x:v>0</x:v>
      </x:c>
      <x:c r="I257" s="24" t="b">
        <x:v>1</x:v>
      </x:c>
    </x:row>
    <x:row r="258">
      <x:c r="A258" t="str">
        <x:v>PROF-016</x:v>
      </x:c>
      <x:c r="B258" t="str">
        <x:v>MUF</x:v>
      </x:c>
      <x:c r="C258" t="n">
        <x:v>5</x:v>
      </x:c>
      <x:c r="D258" t="str">
        <x:v>B</x:v>
      </x:c>
      <x:c r="E258" t="str">
        <x:v>5B</x:v>
      </x:c>
      <x:c r="F258" t="n">
        <x:v>2026</x:v>
      </x:c>
      <x:c r="G258" t="str">
        <x:v>2026-5B-MUF</x:v>
      </x:c>
      <x:c r="H258" s="24" t="b">
        <x:v>0</x:v>
      </x:c>
      <x:c r="I258" s="24" t="b">
        <x:v>1</x:v>
      </x:c>
    </x:row>
    <x:row r="259">
      <x:c r="A259" t="str">
        <x:v>PROF-014</x:v>
      </x:c>
      <x:c r="B259" t="str">
        <x:v>CIU</x:v>
      </x:c>
      <x:c r="C259" t="n">
        <x:v>5</x:v>
      </x:c>
      <x:c r="D259" t="str">
        <x:v>B</x:v>
      </x:c>
      <x:c r="E259" t="str">
        <x:v>5B</x:v>
      </x:c>
      <x:c r="F259" t="n">
        <x:v>2026</x:v>
      </x:c>
      <x:c r="G259" t="str">
        <x:v>2026-5B-CIU</x:v>
      </x:c>
      <x:c r="H259" s="24" t="b">
        <x:v>0</x:v>
      </x:c>
      <x:c r="I259" s="24" t="b">
        <x:v>1</x:v>
      </x:c>
    </x:row>
    <x:row r="260">
      <x:c r="A260" t="str">
        <x:v>PROF-014</x:v>
      </x:c>
      <x:c r="B260" t="str">
        <x:v>GEG</x:v>
      </x:c>
      <x:c r="C260" t="n">
        <x:v>5</x:v>
      </x:c>
      <x:c r="D260" t="str">
        <x:v>B</x:v>
      </x:c>
      <x:c r="E260" t="str">
        <x:v>5B</x:v>
      </x:c>
      <x:c r="F260" t="n">
        <x:v>2026</x:v>
      </x:c>
      <x:c r="G260" t="str">
        <x:v>2026-5B-GEG</x:v>
      </x:c>
      <x:c r="H260" s="24" t="b">
        <x:v>0</x:v>
      </x:c>
      <x:c r="I260" s="24" t="b">
        <x:v>1</x:v>
      </x:c>
    </x:row>
    <x:row r="261">
      <x:c r="A261" t="str">
        <x:v>PROF-012</x:v>
      </x:c>
      <x:c r="B261" t="str">
        <x:v>HIS</x:v>
      </x:c>
      <x:c r="C261" t="n">
        <x:v>5</x:v>
      </x:c>
      <x:c r="D261" t="str">
        <x:v>B</x:v>
      </x:c>
      <x:c r="E261" t="str">
        <x:v>5B</x:v>
      </x:c>
      <x:c r="F261" t="n">
        <x:v>2026</x:v>
      </x:c>
      <x:c r="G261" t="str">
        <x:v>2026-5B-HIS</x:v>
      </x:c>
      <x:c r="H261" s="24" t="b">
        <x:v>0</x:v>
      </x:c>
      <x:c r="I261" s="24" t="b">
        <x:v>1</x:v>
      </x:c>
    </x:row>
    <x:row r="262">
      <x:c r="A262" t="str">
        <x:v>PROF-022</x:v>
      </x:c>
      <x:c r="B262" t="str">
        <x:v>REL</x:v>
      </x:c>
      <x:c r="C262" t="n">
        <x:v>5</x:v>
      </x:c>
      <x:c r="D262" t="str">
        <x:v>B</x:v>
      </x:c>
      <x:c r="E262" t="str">
        <x:v>5B</x:v>
      </x:c>
      <x:c r="F262" t="n">
        <x:v>2026</x:v>
      </x:c>
      <x:c r="G262" t="str">
        <x:v>2026-5B-REL</x:v>
      </x:c>
      <x:c r="H262" s="24" t="b">
        <x:v>0</x:v>
      </x:c>
      <x:c r="I262" s="24" t="b">
        <x:v>1</x:v>
      </x:c>
    </x:row>
    <x:row r="263">
      <x:c r="A263" t="str">
        <x:v>PROF-020</x:v>
      </x:c>
      <x:c r="B263" t="str">
        <x:v>ING</x:v>
      </x:c>
      <x:c r="C263" t="n">
        <x:v>5</x:v>
      </x:c>
      <x:c r="D263" t="str">
        <x:v>B</x:v>
      </x:c>
      <x:c r="E263" t="str">
        <x:v>5B</x:v>
      </x:c>
      <x:c r="F263" t="n">
        <x:v>2026</x:v>
      </x:c>
      <x:c r="G263" t="str">
        <x:v>2026-5B-ING</x:v>
      </x:c>
      <x:c r="H263" s="24" t="b">
        <x:v>0</x:v>
      </x:c>
      <x:c r="I263" s="24" t="b">
        <x:v>1</x:v>
      </x:c>
    </x:row>
    <x:row r="264">
      <x:c r="A264" t="str">
        <x:v>PROF-022</x:v>
      </x:c>
      <x:c r="B264" t="str">
        <x:v>TAL</x:v>
      </x:c>
      <x:c r="C264" t="n">
        <x:v>5</x:v>
      </x:c>
      <x:c r="D264" t="str">
        <x:v>B</x:v>
      </x:c>
      <x:c r="E264" t="str">
        <x:v>5B</x:v>
      </x:c>
      <x:c r="F264" t="n">
        <x:v>2026</x:v>
      </x:c>
      <x:c r="G264" t="str">
        <x:v>2026-5B-TAL</x:v>
      </x:c>
      <x:c r="H264" s="24" t="b">
        <x:v>0</x:v>
      </x:c>
      <x:c r="I264" s="24" t="b">
        <x:v>1</x:v>
      </x:c>
    </x:row>
    <x:row r="265">
      <x:c r="A265" t="str">
        <x:v>PROF-024</x:v>
      </x:c>
      <x:c r="B265" t="str">
        <x:v>EDF</x:v>
      </x:c>
      <x:c r="C265" t="n">
        <x:v>5</x:v>
      </x:c>
      <x:c r="D265" t="str">
        <x:v>B</x:v>
      </x:c>
      <x:c r="E265" t="str">
        <x:v>5B</x:v>
      </x:c>
      <x:c r="F265" t="n">
        <x:v>2026</x:v>
      </x:c>
      <x:c r="G265" t="str">
        <x:v>2026-5B-EDF</x:v>
      </x:c>
      <x:c r="H265" s="24" t="b">
        <x:v>0</x:v>
      </x:c>
      <x:c r="I265" s="24" t="b">
        <x:v>1</x:v>
      </x:c>
    </x:row>
    <x:row r="266">
      <x:c r="A266" t="str">
        <x:v>PROF-024</x:v>
      </x:c>
      <x:c r="B266" t="str">
        <x:v>ARI</x:v>
      </x:c>
      <x:c r="C266" t="n">
        <x:v>5</x:v>
      </x:c>
      <x:c r="D266" t="str">
        <x:v>C</x:v>
      </x:c>
      <x:c r="E266" t="str">
        <x:v>5C</x:v>
      </x:c>
      <x:c r="F266" t="n">
        <x:v>2026</x:v>
      </x:c>
      <x:c r="G266" t="str">
        <x:v>2026-5C-ARI</x:v>
      </x:c>
      <x:c r="H266" s="24" t="b">
        <x:v>0</x:v>
      </x:c>
      <x:c r="I266" s="24" t="b">
        <x:v>1</x:v>
      </x:c>
    </x:row>
    <x:row r="267">
      <x:c r="A267" t="str">
        <x:v>PROF-010</x:v>
      </x:c>
      <x:c r="B267" t="str">
        <x:v>ALG</x:v>
      </x:c>
      <x:c r="C267" t="n">
        <x:v>5</x:v>
      </x:c>
      <x:c r="D267" t="str">
        <x:v>C</x:v>
      </x:c>
      <x:c r="E267" t="str">
        <x:v>5C</x:v>
      </x:c>
      <x:c r="F267" t="n">
        <x:v>2026</x:v>
      </x:c>
      <x:c r="G267" t="str">
        <x:v>2026-5C-ALG</x:v>
      </x:c>
      <x:c r="H267" s="24" t="b">
        <x:v>0</x:v>
      </x:c>
      <x:c r="I267" s="24" t="b">
        <x:v>1</x:v>
      </x:c>
    </x:row>
    <x:row r="268">
      <x:c r="A268" t="str">
        <x:v>PROF-010</x:v>
      </x:c>
      <x:c r="B268" t="str">
        <x:v>RZM</x:v>
      </x:c>
      <x:c r="C268" t="n">
        <x:v>5</x:v>
      </x:c>
      <x:c r="D268" t="str">
        <x:v>C</x:v>
      </x:c>
      <x:c r="E268" t="str">
        <x:v>5C</x:v>
      </x:c>
      <x:c r="F268" t="n">
        <x:v>2026</x:v>
      </x:c>
      <x:c r="G268" t="str">
        <x:v>2026-5C-RZM</x:v>
      </x:c>
      <x:c r="H268" s="24" t="b">
        <x:v>0</x:v>
      </x:c>
      <x:c r="I268" s="24" t="b">
        <x:v>1</x:v>
      </x:c>
    </x:row>
    <x:row r="269">
      <x:c r="A269" t="str">
        <x:v>PROF-012</x:v>
      </x:c>
      <x:c r="B269" t="str">
        <x:v>GEO</x:v>
      </x:c>
      <x:c r="C269" t="n">
        <x:v>5</x:v>
      </x:c>
      <x:c r="D269" t="str">
        <x:v>C</x:v>
      </x:c>
      <x:c r="E269" t="str">
        <x:v>5C</x:v>
      </x:c>
      <x:c r="F269" t="n">
        <x:v>2026</x:v>
      </x:c>
      <x:c r="G269" t="str">
        <x:v>2026-5C-GEO</x:v>
      </x:c>
      <x:c r="H269" s="24" t="b">
        <x:v>0</x:v>
      </x:c>
      <x:c r="I269" s="24" t="b">
        <x:v>1</x:v>
      </x:c>
    </x:row>
    <x:row r="270">
      <x:c r="A270" t="str">
        <x:v>PROF-018</x:v>
      </x:c>
      <x:c r="B270" t="str">
        <x:v>PDT</x:v>
      </x:c>
      <x:c r="C270" t="n">
        <x:v>5</x:v>
      </x:c>
      <x:c r="D270" t="str">
        <x:v>C</x:v>
      </x:c>
      <x:c r="E270" t="str">
        <x:v>5C</x:v>
      </x:c>
      <x:c r="F270" t="n">
        <x:v>2026</x:v>
      </x:c>
      <x:c r="G270" t="str">
        <x:v>2026-5C-PDT</x:v>
      </x:c>
      <x:c r="H270" s="24" t="b">
        <x:v>0</x:v>
      </x:c>
      <x:c r="I270" s="24" t="b">
        <x:v>1</x:v>
      </x:c>
    </x:row>
    <x:row r="271">
      <x:c r="A271" t="str">
        <x:v>PROF-018</x:v>
      </x:c>
      <x:c r="B271" t="str">
        <x:v>GRA</x:v>
      </x:c>
      <x:c r="C271" t="n">
        <x:v>5</x:v>
      </x:c>
      <x:c r="D271" t="str">
        <x:v>C</x:v>
      </x:c>
      <x:c r="E271" t="str">
        <x:v>5C</x:v>
      </x:c>
      <x:c r="F271" t="n">
        <x:v>2026</x:v>
      </x:c>
      <x:c r="G271" t="str">
        <x:v>2026-5C-GRA</x:v>
      </x:c>
      <x:c r="H271" s="24" t="b">
        <x:v>0</x:v>
      </x:c>
      <x:c r="I271" s="24" t="b">
        <x:v>1</x:v>
      </x:c>
    </x:row>
    <x:row r="272">
      <x:c r="A272" t="str">
        <x:v>PROF-020</x:v>
      </x:c>
      <x:c r="B272" t="str">
        <x:v>RZV</x:v>
      </x:c>
      <x:c r="C272" t="n">
        <x:v>5</x:v>
      </x:c>
      <x:c r="D272" t="str">
        <x:v>C</x:v>
      </x:c>
      <x:c r="E272" t="str">
        <x:v>5C</x:v>
      </x:c>
      <x:c r="F272" t="n">
        <x:v>2026</x:v>
      </x:c>
      <x:c r="G272" t="str">
        <x:v>2026-5C-RZV</x:v>
      </x:c>
      <x:c r="H272" s="24" t="b">
        <x:v>0</x:v>
      </x:c>
      <x:c r="I272" s="24" t="b">
        <x:v>1</x:v>
      </x:c>
    </x:row>
    <x:row r="273">
      <x:c r="A273" t="str">
        <x:v>PROF-016</x:v>
      </x:c>
      <x:c r="B273" t="str">
        <x:v>CUH</x:v>
      </x:c>
      <x:c r="C273" t="n">
        <x:v>5</x:v>
      </x:c>
      <x:c r="D273" t="str">
        <x:v>C</x:v>
      </x:c>
      <x:c r="E273" t="str">
        <x:v>5C</x:v>
      </x:c>
      <x:c r="F273" t="n">
        <x:v>2026</x:v>
      </x:c>
      <x:c r="G273" t="str">
        <x:v>2026-5C-CUH</x:v>
      </x:c>
      <x:c r="H273" s="24" t="b">
        <x:v>0</x:v>
      </x:c>
      <x:c r="I273" s="24" t="b">
        <x:v>1</x:v>
      </x:c>
    </x:row>
    <x:row r="274">
      <x:c r="A274" t="str">
        <x:v>PROF-016</x:v>
      </x:c>
      <x:c r="B274" t="str">
        <x:v>MUF</x:v>
      </x:c>
      <x:c r="C274" t="n">
        <x:v>5</x:v>
      </x:c>
      <x:c r="D274" t="str">
        <x:v>C</x:v>
      </x:c>
      <x:c r="E274" t="str">
        <x:v>5C</x:v>
      </x:c>
      <x:c r="F274" t="n">
        <x:v>2026</x:v>
      </x:c>
      <x:c r="G274" t="str">
        <x:v>2026-5C-MUF</x:v>
      </x:c>
      <x:c r="H274" s="24" t="b">
        <x:v>0</x:v>
      </x:c>
      <x:c r="I274" s="24" t="b">
        <x:v>1</x:v>
      </x:c>
    </x:row>
    <x:row r="275">
      <x:c r="A275" t="str">
        <x:v>PROF-014</x:v>
      </x:c>
      <x:c r="B275" t="str">
        <x:v>CIU</x:v>
      </x:c>
      <x:c r="C275" t="n">
        <x:v>5</x:v>
      </x:c>
      <x:c r="D275" t="str">
        <x:v>C</x:v>
      </x:c>
      <x:c r="E275" t="str">
        <x:v>5C</x:v>
      </x:c>
      <x:c r="F275" t="n">
        <x:v>2026</x:v>
      </x:c>
      <x:c r="G275" t="str">
        <x:v>2026-5C-CIU</x:v>
      </x:c>
      <x:c r="H275" s="24" t="b">
        <x:v>0</x:v>
      </x:c>
      <x:c r="I275" s="24" t="b">
        <x:v>1</x:v>
      </x:c>
    </x:row>
    <x:row r="276">
      <x:c r="A276" t="str">
        <x:v>PROF-014</x:v>
      </x:c>
      <x:c r="B276" t="str">
        <x:v>GEG</x:v>
      </x:c>
      <x:c r="C276" t="n">
        <x:v>5</x:v>
      </x:c>
      <x:c r="D276" t="str">
        <x:v>C</x:v>
      </x:c>
      <x:c r="E276" t="str">
        <x:v>5C</x:v>
      </x:c>
      <x:c r="F276" t="n">
        <x:v>2026</x:v>
      </x:c>
      <x:c r="G276" t="str">
        <x:v>2026-5C-GEG</x:v>
      </x:c>
      <x:c r="H276" s="24" t="b">
        <x:v>0</x:v>
      </x:c>
      <x:c r="I276" s="24" t="b">
        <x:v>1</x:v>
      </x:c>
    </x:row>
    <x:row r="277">
      <x:c r="A277" t="str">
        <x:v>PROF-012</x:v>
      </x:c>
      <x:c r="B277" t="str">
        <x:v>HIS</x:v>
      </x:c>
      <x:c r="C277" t="n">
        <x:v>5</x:v>
      </x:c>
      <x:c r="D277" t="str">
        <x:v>C</x:v>
      </x:c>
      <x:c r="E277" t="str">
        <x:v>5C</x:v>
      </x:c>
      <x:c r="F277" t="n">
        <x:v>2026</x:v>
      </x:c>
      <x:c r="G277" t="str">
        <x:v>2026-5C-HIS</x:v>
      </x:c>
      <x:c r="H277" s="24" t="b">
        <x:v>0</x:v>
      </x:c>
      <x:c r="I277" s="24" t="b">
        <x:v>1</x:v>
      </x:c>
    </x:row>
    <x:row r="278">
      <x:c r="A278" t="str">
        <x:v>PROF-022</x:v>
      </x:c>
      <x:c r="B278" t="str">
        <x:v>REL</x:v>
      </x:c>
      <x:c r="C278" t="n">
        <x:v>5</x:v>
      </x:c>
      <x:c r="D278" t="str">
        <x:v>C</x:v>
      </x:c>
      <x:c r="E278" t="str">
        <x:v>5C</x:v>
      </x:c>
      <x:c r="F278" t="n">
        <x:v>2026</x:v>
      </x:c>
      <x:c r="G278" t="str">
        <x:v>2026-5C-REL</x:v>
      </x:c>
      <x:c r="H278" s="24" t="b">
        <x:v>0</x:v>
      </x:c>
      <x:c r="I278" s="24" t="b">
        <x:v>1</x:v>
      </x:c>
    </x:row>
    <x:row r="279">
      <x:c r="A279" t="str">
        <x:v>PROF-020</x:v>
      </x:c>
      <x:c r="B279" t="str">
        <x:v>ING</x:v>
      </x:c>
      <x:c r="C279" t="n">
        <x:v>5</x:v>
      </x:c>
      <x:c r="D279" t="str">
        <x:v>C</x:v>
      </x:c>
      <x:c r="E279" t="str">
        <x:v>5C</x:v>
      </x:c>
      <x:c r="F279" t="n">
        <x:v>2026</x:v>
      </x:c>
      <x:c r="G279" t="str">
        <x:v>2026-5C-ING</x:v>
      </x:c>
      <x:c r="H279" s="24" t="b">
        <x:v>0</x:v>
      </x:c>
      <x:c r="I279" s="24" t="b">
        <x:v>1</x:v>
      </x:c>
    </x:row>
    <x:row r="280">
      <x:c r="A280" t="str">
        <x:v>PROF-022</x:v>
      </x:c>
      <x:c r="B280" t="str">
        <x:v>TAL</x:v>
      </x:c>
      <x:c r="C280" t="n">
        <x:v>5</x:v>
      </x:c>
      <x:c r="D280" t="str">
        <x:v>C</x:v>
      </x:c>
      <x:c r="E280" t="str">
        <x:v>5C</x:v>
      </x:c>
      <x:c r="F280" t="n">
        <x:v>2026</x:v>
      </x:c>
      <x:c r="G280" t="str">
        <x:v>2026-5C-TAL</x:v>
      </x:c>
      <x:c r="H280" s="24" t="b">
        <x:v>0</x:v>
      </x:c>
      <x:c r="I280" s="24" t="b">
        <x:v>1</x:v>
      </x:c>
    </x:row>
    <x:row r="281">
      <x:c r="A281" t="str">
        <x:v>PROF-024</x:v>
      </x:c>
      <x:c r="B281" t="str">
        <x:v>EDF</x:v>
      </x:c>
      <x:c r="C281" t="n">
        <x:v>5</x:v>
      </x:c>
      <x:c r="D281" t="str">
        <x:v>C</x:v>
      </x:c>
      <x:c r="E281" t="str">
        <x:v>5C</x:v>
      </x:c>
      <x:c r="F281" t="n">
        <x:v>2026</x:v>
      </x:c>
      <x:c r="G281" t="str">
        <x:v>2026-5C-EDF</x:v>
      </x:c>
      <x:c r="H281" s="24" t="b">
        <x:v>0</x:v>
      </x:c>
      <x:c r="I281" s="24" t="b">
        <x:v>1</x:v>
      </x:c>
    </x:row>
    <x:row r="282">
      <x:c r="A282" t="str">
        <x:v>PROF-024</x:v>
      </x:c>
      <x:c r="B282" t="str">
        <x:v>ARI</x:v>
      </x:c>
      <x:c r="C282" t="n">
        <x:v>6</x:v>
      </x:c>
      <x:c r="D282" t="str">
        <x:v>A</x:v>
      </x:c>
      <x:c r="E282" t="str">
        <x:v>6A</x:v>
      </x:c>
      <x:c r="F282" t="n">
        <x:v>2026</x:v>
      </x:c>
      <x:c r="G282" t="str">
        <x:v>2026-6A-ARI</x:v>
      </x:c>
      <x:c r="H282" s="24" t="b">
        <x:v>0</x:v>
      </x:c>
      <x:c r="I282" s="24" t="b">
        <x:v>1</x:v>
      </x:c>
    </x:row>
    <x:row r="283">
      <x:c r="A283" t="str">
        <x:v>PROF-010</x:v>
      </x:c>
      <x:c r="B283" t="str">
        <x:v>ALG</x:v>
      </x:c>
      <x:c r="C283" t="n">
        <x:v>6</x:v>
      </x:c>
      <x:c r="D283" t="str">
        <x:v>A</x:v>
      </x:c>
      <x:c r="E283" t="str">
        <x:v>6A</x:v>
      </x:c>
      <x:c r="F283" t="n">
        <x:v>2026</x:v>
      </x:c>
      <x:c r="G283" t="str">
        <x:v>2026-6A-ALG</x:v>
      </x:c>
      <x:c r="H283" s="24" t="b">
        <x:v>0</x:v>
      </x:c>
      <x:c r="I283" s="24" t="b">
        <x:v>1</x:v>
      </x:c>
    </x:row>
    <x:row r="284">
      <x:c r="A284" t="str">
        <x:v>PROF-010</x:v>
      </x:c>
      <x:c r="B284" t="str">
        <x:v>RZM</x:v>
      </x:c>
      <x:c r="C284" t="n">
        <x:v>6</x:v>
      </x:c>
      <x:c r="D284" t="str">
        <x:v>A</x:v>
      </x:c>
      <x:c r="E284" t="str">
        <x:v>6A</x:v>
      </x:c>
      <x:c r="F284" t="n">
        <x:v>2026</x:v>
      </x:c>
      <x:c r="G284" t="str">
        <x:v>2026-6A-RZM</x:v>
      </x:c>
      <x:c r="H284" s="24" t="b">
        <x:v>0</x:v>
      </x:c>
      <x:c r="I284" s="24" t="b">
        <x:v>1</x:v>
      </x:c>
    </x:row>
    <x:row r="285">
      <x:c r="A285" t="str">
        <x:v>PROF-012</x:v>
      </x:c>
      <x:c r="B285" t="str">
        <x:v>GEO</x:v>
      </x:c>
      <x:c r="C285" t="n">
        <x:v>6</x:v>
      </x:c>
      <x:c r="D285" t="str">
        <x:v>A</x:v>
      </x:c>
      <x:c r="E285" t="str">
        <x:v>6A</x:v>
      </x:c>
      <x:c r="F285" t="n">
        <x:v>2026</x:v>
      </x:c>
      <x:c r="G285" t="str">
        <x:v>2026-6A-GEO</x:v>
      </x:c>
      <x:c r="H285" s="24" t="b">
        <x:v>0</x:v>
      </x:c>
      <x:c r="I285" s="24" t="b">
        <x:v>1</x:v>
      </x:c>
    </x:row>
    <x:row r="286">
      <x:c r="A286" t="str">
        <x:v>PROF-018</x:v>
      </x:c>
      <x:c r="B286" t="str">
        <x:v>PDT</x:v>
      </x:c>
      <x:c r="C286" t="n">
        <x:v>6</x:v>
      </x:c>
      <x:c r="D286" t="str">
        <x:v>A</x:v>
      </x:c>
      <x:c r="E286" t="str">
        <x:v>6A</x:v>
      </x:c>
      <x:c r="F286" t="n">
        <x:v>2026</x:v>
      </x:c>
      <x:c r="G286" t="str">
        <x:v>2026-6A-PDT</x:v>
      </x:c>
      <x:c r="H286" s="24" t="b">
        <x:v>0</x:v>
      </x:c>
      <x:c r="I286" s="24" t="b">
        <x:v>1</x:v>
      </x:c>
    </x:row>
    <x:row r="287">
      <x:c r="A287" t="str">
        <x:v>PROF-018</x:v>
      </x:c>
      <x:c r="B287" t="str">
        <x:v>GRA</x:v>
      </x:c>
      <x:c r="C287" t="n">
        <x:v>6</x:v>
      </x:c>
      <x:c r="D287" t="str">
        <x:v>A</x:v>
      </x:c>
      <x:c r="E287" t="str">
        <x:v>6A</x:v>
      </x:c>
      <x:c r="F287" t="n">
        <x:v>2026</x:v>
      </x:c>
      <x:c r="G287" t="str">
        <x:v>2026-6A-GRA</x:v>
      </x:c>
      <x:c r="H287" s="24" t="b">
        <x:v>0</x:v>
      </x:c>
      <x:c r="I287" s="24" t="b">
        <x:v>1</x:v>
      </x:c>
    </x:row>
    <x:row r="288">
      <x:c r="A288" t="str">
        <x:v>PROF-020</x:v>
      </x:c>
      <x:c r="B288" t="str">
        <x:v>RZV</x:v>
      </x:c>
      <x:c r="C288" t="n">
        <x:v>6</x:v>
      </x:c>
      <x:c r="D288" t="str">
        <x:v>A</x:v>
      </x:c>
      <x:c r="E288" t="str">
        <x:v>6A</x:v>
      </x:c>
      <x:c r="F288" t="n">
        <x:v>2026</x:v>
      </x:c>
      <x:c r="G288" t="str">
        <x:v>2026-6A-RZV</x:v>
      </x:c>
      <x:c r="H288" s="24" t="b">
        <x:v>0</x:v>
      </x:c>
      <x:c r="I288" s="24" t="b">
        <x:v>1</x:v>
      </x:c>
    </x:row>
    <x:row r="289">
      <x:c r="A289" t="str">
        <x:v>PROF-016</x:v>
      </x:c>
      <x:c r="B289" t="str">
        <x:v>CUH</x:v>
      </x:c>
      <x:c r="C289" t="n">
        <x:v>6</x:v>
      </x:c>
      <x:c r="D289" t="str">
        <x:v>A</x:v>
      </x:c>
      <x:c r="E289" t="str">
        <x:v>6A</x:v>
      </x:c>
      <x:c r="F289" t="n">
        <x:v>2026</x:v>
      </x:c>
      <x:c r="G289" t="str">
        <x:v>2026-6A-CUH</x:v>
      </x:c>
      <x:c r="H289" s="24" t="b">
        <x:v>0</x:v>
      </x:c>
      <x:c r="I289" s="24" t="b">
        <x:v>1</x:v>
      </x:c>
    </x:row>
    <x:row r="290">
      <x:c r="A290" t="str">
        <x:v>PROF-016</x:v>
      </x:c>
      <x:c r="B290" t="str">
        <x:v>MUF</x:v>
      </x:c>
      <x:c r="C290" t="n">
        <x:v>6</x:v>
      </x:c>
      <x:c r="D290" t="str">
        <x:v>A</x:v>
      </x:c>
      <x:c r="E290" t="str">
        <x:v>6A</x:v>
      </x:c>
      <x:c r="F290" t="n">
        <x:v>2026</x:v>
      </x:c>
      <x:c r="G290" t="str">
        <x:v>2026-6A-MUF</x:v>
      </x:c>
      <x:c r="H290" s="24" t="b">
        <x:v>0</x:v>
      </x:c>
      <x:c r="I290" s="24" t="b">
        <x:v>1</x:v>
      </x:c>
    </x:row>
    <x:row r="291">
      <x:c r="A291" t="str">
        <x:v>PROF-014</x:v>
      </x:c>
      <x:c r="B291" t="str">
        <x:v>CIU</x:v>
      </x:c>
      <x:c r="C291" t="n">
        <x:v>6</x:v>
      </x:c>
      <x:c r="D291" t="str">
        <x:v>A</x:v>
      </x:c>
      <x:c r="E291" t="str">
        <x:v>6A</x:v>
      </x:c>
      <x:c r="F291" t="n">
        <x:v>2026</x:v>
      </x:c>
      <x:c r="G291" t="str">
        <x:v>2026-6A-CIU</x:v>
      </x:c>
      <x:c r="H291" s="24" t="b">
        <x:v>0</x:v>
      </x:c>
      <x:c r="I291" s="24" t="b">
        <x:v>1</x:v>
      </x:c>
    </x:row>
    <x:row r="292">
      <x:c r="A292" t="str">
        <x:v>PROF-014</x:v>
      </x:c>
      <x:c r="B292" t="str">
        <x:v>GEG</x:v>
      </x:c>
      <x:c r="C292" t="n">
        <x:v>6</x:v>
      </x:c>
      <x:c r="D292" t="str">
        <x:v>A</x:v>
      </x:c>
      <x:c r="E292" t="str">
        <x:v>6A</x:v>
      </x:c>
      <x:c r="F292" t="n">
        <x:v>2026</x:v>
      </x:c>
      <x:c r="G292" t="str">
        <x:v>2026-6A-GEG</x:v>
      </x:c>
      <x:c r="H292" s="24" t="b">
        <x:v>0</x:v>
      </x:c>
      <x:c r="I292" s="24" t="b">
        <x:v>1</x:v>
      </x:c>
    </x:row>
    <x:row r="293">
      <x:c r="A293" t="str">
        <x:v>PROF-012</x:v>
      </x:c>
      <x:c r="B293" t="str">
        <x:v>HIS</x:v>
      </x:c>
      <x:c r="C293" t="n">
        <x:v>6</x:v>
      </x:c>
      <x:c r="D293" t="str">
        <x:v>A</x:v>
      </x:c>
      <x:c r="E293" t="str">
        <x:v>6A</x:v>
      </x:c>
      <x:c r="F293" t="n">
        <x:v>2026</x:v>
      </x:c>
      <x:c r="G293" t="str">
        <x:v>2026-6A-HIS</x:v>
      </x:c>
      <x:c r="H293" s="24" t="b">
        <x:v>0</x:v>
      </x:c>
      <x:c r="I293" s="24" t="b">
        <x:v>1</x:v>
      </x:c>
    </x:row>
    <x:row r="294">
      <x:c r="A294" t="str">
        <x:v>PROF-022</x:v>
      </x:c>
      <x:c r="B294" t="str">
        <x:v>REL</x:v>
      </x:c>
      <x:c r="C294" t="n">
        <x:v>6</x:v>
      </x:c>
      <x:c r="D294" t="str">
        <x:v>A</x:v>
      </x:c>
      <x:c r="E294" t="str">
        <x:v>6A</x:v>
      </x:c>
      <x:c r="F294" t="n">
        <x:v>2026</x:v>
      </x:c>
      <x:c r="G294" t="str">
        <x:v>2026-6A-REL</x:v>
      </x:c>
      <x:c r="H294" s="24" t="b">
        <x:v>0</x:v>
      </x:c>
      <x:c r="I294" s="24" t="b">
        <x:v>1</x:v>
      </x:c>
    </x:row>
    <x:row r="295">
      <x:c r="A295" t="str">
        <x:v>PROF-020</x:v>
      </x:c>
      <x:c r="B295" t="str">
        <x:v>ING</x:v>
      </x:c>
      <x:c r="C295" t="n">
        <x:v>6</x:v>
      </x:c>
      <x:c r="D295" t="str">
        <x:v>A</x:v>
      </x:c>
      <x:c r="E295" t="str">
        <x:v>6A</x:v>
      </x:c>
      <x:c r="F295" t="n">
        <x:v>2026</x:v>
      </x:c>
      <x:c r="G295" t="str">
        <x:v>2026-6A-ING</x:v>
      </x:c>
      <x:c r="H295" s="24" t="b">
        <x:v>0</x:v>
      </x:c>
      <x:c r="I295" s="24" t="b">
        <x:v>1</x:v>
      </x:c>
    </x:row>
    <x:row r="296">
      <x:c r="A296" t="str">
        <x:v>PROF-022</x:v>
      </x:c>
      <x:c r="B296" t="str">
        <x:v>TAL</x:v>
      </x:c>
      <x:c r="C296" t="n">
        <x:v>6</x:v>
      </x:c>
      <x:c r="D296" t="str">
        <x:v>A</x:v>
      </x:c>
      <x:c r="E296" t="str">
        <x:v>6A</x:v>
      </x:c>
      <x:c r="F296" t="n">
        <x:v>2026</x:v>
      </x:c>
      <x:c r="G296" t="str">
        <x:v>2026-6A-TAL</x:v>
      </x:c>
      <x:c r="H296" s="24" t="b">
        <x:v>0</x:v>
      </x:c>
      <x:c r="I296" s="24" t="b">
        <x:v>1</x:v>
      </x:c>
    </x:row>
    <x:row r="297">
      <x:c r="A297" t="str">
        <x:v>PROF-024</x:v>
      </x:c>
      <x:c r="B297" t="str">
        <x:v>EDF</x:v>
      </x:c>
      <x:c r="C297" t="n">
        <x:v>6</x:v>
      </x:c>
      <x:c r="D297" t="str">
        <x:v>A</x:v>
      </x:c>
      <x:c r="E297" t="str">
        <x:v>6A</x:v>
      </x:c>
      <x:c r="F297" t="n">
        <x:v>2026</x:v>
      </x:c>
      <x:c r="G297" t="str">
        <x:v>2026-6A-EDF</x:v>
      </x:c>
      <x:c r="H297" s="24" t="b">
        <x:v>0</x:v>
      </x:c>
      <x:c r="I297" s="24" t="b">
        <x:v>1</x:v>
      </x:c>
    </x:row>
    <x:row r="298">
      <x:c r="A298" t="str">
        <x:v>PROF-024</x:v>
      </x:c>
      <x:c r="B298" t="str">
        <x:v>ARI</x:v>
      </x:c>
      <x:c r="C298" t="n">
        <x:v>6</x:v>
      </x:c>
      <x:c r="D298" t="str">
        <x:v>B</x:v>
      </x:c>
      <x:c r="E298" t="str">
        <x:v>6B</x:v>
      </x:c>
      <x:c r="F298" t="n">
        <x:v>2026</x:v>
      </x:c>
      <x:c r="G298" t="str">
        <x:v>2026-6B-ARI</x:v>
      </x:c>
      <x:c r="H298" s="24" t="b">
        <x:v>0</x:v>
      </x:c>
      <x:c r="I298" s="24" t="b">
        <x:v>1</x:v>
      </x:c>
    </x:row>
    <x:row r="299">
      <x:c r="A299" t="str">
        <x:v>PROF-010</x:v>
      </x:c>
      <x:c r="B299" t="str">
        <x:v>ALG</x:v>
      </x:c>
      <x:c r="C299" t="n">
        <x:v>6</x:v>
      </x:c>
      <x:c r="D299" t="str">
        <x:v>B</x:v>
      </x:c>
      <x:c r="E299" t="str">
        <x:v>6B</x:v>
      </x:c>
      <x:c r="F299" t="n">
        <x:v>2026</x:v>
      </x:c>
      <x:c r="G299" t="str">
        <x:v>2026-6B-ALG</x:v>
      </x:c>
      <x:c r="H299" s="24" t="b">
        <x:v>0</x:v>
      </x:c>
      <x:c r="I299" s="24" t="b">
        <x:v>1</x:v>
      </x:c>
    </x:row>
    <x:row r="300">
      <x:c r="A300" t="str">
        <x:v>PROF-010</x:v>
      </x:c>
      <x:c r="B300" t="str">
        <x:v>RZM</x:v>
      </x:c>
      <x:c r="C300" t="n">
        <x:v>6</x:v>
      </x:c>
      <x:c r="D300" t="str">
        <x:v>B</x:v>
      </x:c>
      <x:c r="E300" t="str">
        <x:v>6B</x:v>
      </x:c>
      <x:c r="F300" t="n">
        <x:v>2026</x:v>
      </x:c>
      <x:c r="G300" t="str">
        <x:v>2026-6B-RZM</x:v>
      </x:c>
      <x:c r="H300" s="24" t="b">
        <x:v>0</x:v>
      </x:c>
      <x:c r="I300" s="24" t="b">
        <x:v>1</x:v>
      </x:c>
    </x:row>
    <x:row r="301">
      <x:c r="A301" t="str">
        <x:v>PROF-012</x:v>
      </x:c>
      <x:c r="B301" t="str">
        <x:v>GEO</x:v>
      </x:c>
      <x:c r="C301" t="n">
        <x:v>6</x:v>
      </x:c>
      <x:c r="D301" t="str">
        <x:v>B</x:v>
      </x:c>
      <x:c r="E301" t="str">
        <x:v>6B</x:v>
      </x:c>
      <x:c r="F301" t="n">
        <x:v>2026</x:v>
      </x:c>
      <x:c r="G301" t="str">
        <x:v>2026-6B-GEO</x:v>
      </x:c>
      <x:c r="H301" s="24" t="b">
        <x:v>0</x:v>
      </x:c>
      <x:c r="I301" s="24" t="b">
        <x:v>1</x:v>
      </x:c>
    </x:row>
    <x:row r="302">
      <x:c r="A302" t="str">
        <x:v>PROF-018</x:v>
      </x:c>
      <x:c r="B302" t="str">
        <x:v>PDT</x:v>
      </x:c>
      <x:c r="C302" t="n">
        <x:v>6</x:v>
      </x:c>
      <x:c r="D302" t="str">
        <x:v>B</x:v>
      </x:c>
      <x:c r="E302" t="str">
        <x:v>6B</x:v>
      </x:c>
      <x:c r="F302" t="n">
        <x:v>2026</x:v>
      </x:c>
      <x:c r="G302" t="str">
        <x:v>2026-6B-PDT</x:v>
      </x:c>
      <x:c r="H302" s="24" t="b">
        <x:v>0</x:v>
      </x:c>
      <x:c r="I302" s="24" t="b">
        <x:v>1</x:v>
      </x:c>
    </x:row>
    <x:row r="303">
      <x:c r="A303" t="str">
        <x:v>PROF-018</x:v>
      </x:c>
      <x:c r="B303" t="str">
        <x:v>GRA</x:v>
      </x:c>
      <x:c r="C303" t="n">
        <x:v>6</x:v>
      </x:c>
      <x:c r="D303" t="str">
        <x:v>B</x:v>
      </x:c>
      <x:c r="E303" t="str">
        <x:v>6B</x:v>
      </x:c>
      <x:c r="F303" t="n">
        <x:v>2026</x:v>
      </x:c>
      <x:c r="G303" t="str">
        <x:v>2026-6B-GRA</x:v>
      </x:c>
      <x:c r="H303" s="24" t="b">
        <x:v>0</x:v>
      </x:c>
      <x:c r="I303" s="24" t="b">
        <x:v>1</x:v>
      </x:c>
    </x:row>
    <x:row r="304">
      <x:c r="A304" t="str">
        <x:v>PROF-020</x:v>
      </x:c>
      <x:c r="B304" t="str">
        <x:v>RZV</x:v>
      </x:c>
      <x:c r="C304" t="n">
        <x:v>6</x:v>
      </x:c>
      <x:c r="D304" t="str">
        <x:v>B</x:v>
      </x:c>
      <x:c r="E304" t="str">
        <x:v>6B</x:v>
      </x:c>
      <x:c r="F304" t="n">
        <x:v>2026</x:v>
      </x:c>
      <x:c r="G304" t="str">
        <x:v>2026-6B-RZV</x:v>
      </x:c>
      <x:c r="H304" s="24" t="b">
        <x:v>0</x:v>
      </x:c>
      <x:c r="I304" s="24" t="b">
        <x:v>1</x:v>
      </x:c>
    </x:row>
    <x:row r="305">
      <x:c r="A305" t="str">
        <x:v>PROF-016</x:v>
      </x:c>
      <x:c r="B305" t="str">
        <x:v>CUH</x:v>
      </x:c>
      <x:c r="C305" t="n">
        <x:v>6</x:v>
      </x:c>
      <x:c r="D305" t="str">
        <x:v>B</x:v>
      </x:c>
      <x:c r="E305" t="str">
        <x:v>6B</x:v>
      </x:c>
      <x:c r="F305" t="n">
        <x:v>2026</x:v>
      </x:c>
      <x:c r="G305" t="str">
        <x:v>2026-6B-CUH</x:v>
      </x:c>
      <x:c r="H305" s="24" t="b">
        <x:v>0</x:v>
      </x:c>
      <x:c r="I305" s="24" t="b">
        <x:v>1</x:v>
      </x:c>
    </x:row>
    <x:row r="306">
      <x:c r="A306" t="str">
        <x:v>PROF-016</x:v>
      </x:c>
      <x:c r="B306" t="str">
        <x:v>MUF</x:v>
      </x:c>
      <x:c r="C306" t="n">
        <x:v>6</x:v>
      </x:c>
      <x:c r="D306" t="str">
        <x:v>B</x:v>
      </x:c>
      <x:c r="E306" t="str">
        <x:v>6B</x:v>
      </x:c>
      <x:c r="F306" t="n">
        <x:v>2026</x:v>
      </x:c>
      <x:c r="G306" t="str">
        <x:v>2026-6B-MUF</x:v>
      </x:c>
      <x:c r="H306" s="24" t="b">
        <x:v>0</x:v>
      </x:c>
      <x:c r="I306" s="24" t="b">
        <x:v>1</x:v>
      </x:c>
    </x:row>
    <x:row r="307">
      <x:c r="A307" t="str">
        <x:v>PROF-014</x:v>
      </x:c>
      <x:c r="B307" t="str">
        <x:v>CIU</x:v>
      </x:c>
      <x:c r="C307" t="n">
        <x:v>6</x:v>
      </x:c>
      <x:c r="D307" t="str">
        <x:v>B</x:v>
      </x:c>
      <x:c r="E307" t="str">
        <x:v>6B</x:v>
      </x:c>
      <x:c r="F307" t="n">
        <x:v>2026</x:v>
      </x:c>
      <x:c r="G307" t="str">
        <x:v>2026-6B-CIU</x:v>
      </x:c>
      <x:c r="H307" s="24" t="b">
        <x:v>0</x:v>
      </x:c>
      <x:c r="I307" s="24" t="b">
        <x:v>1</x:v>
      </x:c>
    </x:row>
    <x:row r="308">
      <x:c r="A308" t="str">
        <x:v>PROF-014</x:v>
      </x:c>
      <x:c r="B308" t="str">
        <x:v>GEG</x:v>
      </x:c>
      <x:c r="C308" t="n">
        <x:v>6</x:v>
      </x:c>
      <x:c r="D308" t="str">
        <x:v>B</x:v>
      </x:c>
      <x:c r="E308" t="str">
        <x:v>6B</x:v>
      </x:c>
      <x:c r="F308" t="n">
        <x:v>2026</x:v>
      </x:c>
      <x:c r="G308" t="str">
        <x:v>2026-6B-GEG</x:v>
      </x:c>
      <x:c r="H308" s="24" t="b">
        <x:v>0</x:v>
      </x:c>
      <x:c r="I308" s="24" t="b">
        <x:v>1</x:v>
      </x:c>
    </x:row>
    <x:row r="309">
      <x:c r="A309" t="str">
        <x:v>PROF-012</x:v>
      </x:c>
      <x:c r="B309" t="str">
        <x:v>HIS</x:v>
      </x:c>
      <x:c r="C309" t="n">
        <x:v>6</x:v>
      </x:c>
      <x:c r="D309" t="str">
        <x:v>B</x:v>
      </x:c>
      <x:c r="E309" t="str">
        <x:v>6B</x:v>
      </x:c>
      <x:c r="F309" t="n">
        <x:v>2026</x:v>
      </x:c>
      <x:c r="G309" t="str">
        <x:v>2026-6B-HIS</x:v>
      </x:c>
      <x:c r="H309" s="24" t="b">
        <x:v>0</x:v>
      </x:c>
      <x:c r="I309" s="24" t="b">
        <x:v>1</x:v>
      </x:c>
    </x:row>
    <x:row r="310">
      <x:c r="A310" t="str">
        <x:v>PROF-022</x:v>
      </x:c>
      <x:c r="B310" t="str">
        <x:v>REL</x:v>
      </x:c>
      <x:c r="C310" t="n">
        <x:v>6</x:v>
      </x:c>
      <x:c r="D310" t="str">
        <x:v>B</x:v>
      </x:c>
      <x:c r="E310" t="str">
        <x:v>6B</x:v>
      </x:c>
      <x:c r="F310" t="n">
        <x:v>2026</x:v>
      </x:c>
      <x:c r="G310" t="str">
        <x:v>2026-6B-REL</x:v>
      </x:c>
      <x:c r="H310" s="24" t="b">
        <x:v>0</x:v>
      </x:c>
      <x:c r="I310" s="24" t="b">
        <x:v>1</x:v>
      </x:c>
    </x:row>
    <x:row r="311">
      <x:c r="A311" t="str">
        <x:v>PROF-020</x:v>
      </x:c>
      <x:c r="B311" t="str">
        <x:v>ING</x:v>
      </x:c>
      <x:c r="C311" t="n">
        <x:v>6</x:v>
      </x:c>
      <x:c r="D311" t="str">
        <x:v>B</x:v>
      </x:c>
      <x:c r="E311" t="str">
        <x:v>6B</x:v>
      </x:c>
      <x:c r="F311" t="n">
        <x:v>2026</x:v>
      </x:c>
      <x:c r="G311" t="str">
        <x:v>2026-6B-ING</x:v>
      </x:c>
      <x:c r="H311" s="24" t="b">
        <x:v>0</x:v>
      </x:c>
      <x:c r="I311" s="24" t="b">
        <x:v>1</x:v>
      </x:c>
    </x:row>
    <x:row r="312">
      <x:c r="A312" t="str">
        <x:v>PROF-022</x:v>
      </x:c>
      <x:c r="B312" t="str">
        <x:v>TAL</x:v>
      </x:c>
      <x:c r="C312" t="n">
        <x:v>6</x:v>
      </x:c>
      <x:c r="D312" t="str">
        <x:v>B</x:v>
      </x:c>
      <x:c r="E312" t="str">
        <x:v>6B</x:v>
      </x:c>
      <x:c r="F312" t="n">
        <x:v>2026</x:v>
      </x:c>
      <x:c r="G312" t="str">
        <x:v>2026-6B-TAL</x:v>
      </x:c>
      <x:c r="H312" s="24" t="b">
        <x:v>0</x:v>
      </x:c>
      <x:c r="I312" s="24" t="b">
        <x:v>1</x:v>
      </x:c>
    </x:row>
    <x:row r="313">
      <x:c r="A313" t="str">
        <x:v>PROF-024</x:v>
      </x:c>
      <x:c r="B313" t="str">
        <x:v>EDF</x:v>
      </x:c>
      <x:c r="C313" t="n">
        <x:v>6</x:v>
      </x:c>
      <x:c r="D313" t="str">
        <x:v>B</x:v>
      </x:c>
      <x:c r="E313" t="str">
        <x:v>6B</x:v>
      </x:c>
      <x:c r="F313" t="n">
        <x:v>2026</x:v>
      </x:c>
      <x:c r="G313" t="str">
        <x:v>2026-6B-EDF</x:v>
      </x:c>
      <x:c r="H313" s="24" t="b">
        <x:v>0</x:v>
      </x:c>
      <x:c r="I313" s="24" t="b">
        <x:v>1</x:v>
      </x:c>
    </x:row>
    <x:row r="314">
      <x:c r="A314" t="str">
        <x:v>PROF-024</x:v>
      </x:c>
      <x:c r="B314" t="str">
        <x:v>ARI</x:v>
      </x:c>
      <x:c r="C314" t="n">
        <x:v>6</x:v>
      </x:c>
      <x:c r="D314" t="str">
        <x:v>C</x:v>
      </x:c>
      <x:c r="E314" t="str">
        <x:v>6C</x:v>
      </x:c>
      <x:c r="F314" t="n">
        <x:v>2026</x:v>
      </x:c>
      <x:c r="G314" t="str">
        <x:v>2026-6C-ARI</x:v>
      </x:c>
      <x:c r="H314" s="24" t="b">
        <x:v>0</x:v>
      </x:c>
      <x:c r="I314" s="24" t="b">
        <x:v>1</x:v>
      </x:c>
    </x:row>
    <x:row r="315">
      <x:c r="A315" t="str">
        <x:v>PROF-010</x:v>
      </x:c>
      <x:c r="B315" t="str">
        <x:v>ALG</x:v>
      </x:c>
      <x:c r="C315" t="n">
        <x:v>6</x:v>
      </x:c>
      <x:c r="D315" t="str">
        <x:v>C</x:v>
      </x:c>
      <x:c r="E315" t="str">
        <x:v>6C</x:v>
      </x:c>
      <x:c r="F315" t="n">
        <x:v>2026</x:v>
      </x:c>
      <x:c r="G315" t="str">
        <x:v>2026-6C-ALG</x:v>
      </x:c>
      <x:c r="H315" s="24" t="b">
        <x:v>0</x:v>
      </x:c>
      <x:c r="I315" s="24" t="b">
        <x:v>1</x:v>
      </x:c>
    </x:row>
    <x:row r="316">
      <x:c r="A316" t="str">
        <x:v>PROF-010</x:v>
      </x:c>
      <x:c r="B316" t="str">
        <x:v>RZM</x:v>
      </x:c>
      <x:c r="C316" t="n">
        <x:v>6</x:v>
      </x:c>
      <x:c r="D316" t="str">
        <x:v>C</x:v>
      </x:c>
      <x:c r="E316" t="str">
        <x:v>6C</x:v>
      </x:c>
      <x:c r="F316" t="n">
        <x:v>2026</x:v>
      </x:c>
      <x:c r="G316" t="str">
        <x:v>2026-6C-RZM</x:v>
      </x:c>
      <x:c r="H316" s="24" t="b">
        <x:v>0</x:v>
      </x:c>
      <x:c r="I316" s="24" t="b">
        <x:v>1</x:v>
      </x:c>
    </x:row>
    <x:row r="317">
      <x:c r="A317" t="str">
        <x:v>PROF-012</x:v>
      </x:c>
      <x:c r="B317" t="str">
        <x:v>GEO</x:v>
      </x:c>
      <x:c r="C317" t="n">
        <x:v>6</x:v>
      </x:c>
      <x:c r="D317" t="str">
        <x:v>C</x:v>
      </x:c>
      <x:c r="E317" t="str">
        <x:v>6C</x:v>
      </x:c>
      <x:c r="F317" t="n">
        <x:v>2026</x:v>
      </x:c>
      <x:c r="G317" t="str">
        <x:v>2026-6C-GEO</x:v>
      </x:c>
      <x:c r="H317" s="24" t="b">
        <x:v>0</x:v>
      </x:c>
      <x:c r="I317" s="24" t="b">
        <x:v>1</x:v>
      </x:c>
    </x:row>
    <x:row r="318">
      <x:c r="A318" t="str">
        <x:v>PROF-018</x:v>
      </x:c>
      <x:c r="B318" t="str">
        <x:v>PDT</x:v>
      </x:c>
      <x:c r="C318" t="n">
        <x:v>6</x:v>
      </x:c>
      <x:c r="D318" t="str">
        <x:v>C</x:v>
      </x:c>
      <x:c r="E318" t="str">
        <x:v>6C</x:v>
      </x:c>
      <x:c r="F318" t="n">
        <x:v>2026</x:v>
      </x:c>
      <x:c r="G318" t="str">
        <x:v>2026-6C-PDT</x:v>
      </x:c>
      <x:c r="H318" s="24" t="b">
        <x:v>0</x:v>
      </x:c>
      <x:c r="I318" s="24" t="b">
        <x:v>1</x:v>
      </x:c>
    </x:row>
    <x:row r="319">
      <x:c r="A319" t="str">
        <x:v>PROF-018</x:v>
      </x:c>
      <x:c r="B319" t="str">
        <x:v>GRA</x:v>
      </x:c>
      <x:c r="C319" t="n">
        <x:v>6</x:v>
      </x:c>
      <x:c r="D319" t="str">
        <x:v>C</x:v>
      </x:c>
      <x:c r="E319" t="str">
        <x:v>6C</x:v>
      </x:c>
      <x:c r="F319" t="n">
        <x:v>2026</x:v>
      </x:c>
      <x:c r="G319" t="str">
        <x:v>2026-6C-GRA</x:v>
      </x:c>
      <x:c r="H319" s="24" t="b">
        <x:v>0</x:v>
      </x:c>
      <x:c r="I319" s="24" t="b">
        <x:v>1</x:v>
      </x:c>
    </x:row>
    <x:row r="320">
      <x:c r="A320" t="str">
        <x:v>PROF-020</x:v>
      </x:c>
      <x:c r="B320" t="str">
        <x:v>RZV</x:v>
      </x:c>
      <x:c r="C320" t="n">
        <x:v>6</x:v>
      </x:c>
      <x:c r="D320" t="str">
        <x:v>C</x:v>
      </x:c>
      <x:c r="E320" t="str">
        <x:v>6C</x:v>
      </x:c>
      <x:c r="F320" t="n">
        <x:v>2026</x:v>
      </x:c>
      <x:c r="G320" t="str">
        <x:v>2026-6C-RZV</x:v>
      </x:c>
      <x:c r="H320" s="24" t="b">
        <x:v>0</x:v>
      </x:c>
      <x:c r="I320" s="24" t="b">
        <x:v>1</x:v>
      </x:c>
    </x:row>
    <x:row r="321">
      <x:c r="A321" t="str">
        <x:v>PROF-016</x:v>
      </x:c>
      <x:c r="B321" t="str">
        <x:v>CUH</x:v>
      </x:c>
      <x:c r="C321" t="n">
        <x:v>6</x:v>
      </x:c>
      <x:c r="D321" t="str">
        <x:v>C</x:v>
      </x:c>
      <x:c r="E321" t="str">
        <x:v>6C</x:v>
      </x:c>
      <x:c r="F321" t="n">
        <x:v>2026</x:v>
      </x:c>
      <x:c r="G321" t="str">
        <x:v>2026-6C-CUH</x:v>
      </x:c>
      <x:c r="H321" s="24" t="b">
        <x:v>0</x:v>
      </x:c>
      <x:c r="I321" s="24" t="b">
        <x:v>1</x:v>
      </x:c>
    </x:row>
    <x:row r="322">
      <x:c r="A322" t="str">
        <x:v>PROF-016</x:v>
      </x:c>
      <x:c r="B322" t="str">
        <x:v>MUF</x:v>
      </x:c>
      <x:c r="C322" t="n">
        <x:v>6</x:v>
      </x:c>
      <x:c r="D322" t="str">
        <x:v>C</x:v>
      </x:c>
      <x:c r="E322" t="str">
        <x:v>6C</x:v>
      </x:c>
      <x:c r="F322" t="n">
        <x:v>2026</x:v>
      </x:c>
      <x:c r="G322" t="str">
        <x:v>2026-6C-MUF</x:v>
      </x:c>
      <x:c r="H322" s="24" t="b">
        <x:v>0</x:v>
      </x:c>
      <x:c r="I322" s="24" t="b">
        <x:v>1</x:v>
      </x:c>
    </x:row>
    <x:row r="323">
      <x:c r="A323" t="str">
        <x:v>PROF-014</x:v>
      </x:c>
      <x:c r="B323" t="str">
        <x:v>CIU</x:v>
      </x:c>
      <x:c r="C323" t="n">
        <x:v>6</x:v>
      </x:c>
      <x:c r="D323" t="str">
        <x:v>C</x:v>
      </x:c>
      <x:c r="E323" t="str">
        <x:v>6C</x:v>
      </x:c>
      <x:c r="F323" t="n">
        <x:v>2026</x:v>
      </x:c>
      <x:c r="G323" t="str">
        <x:v>2026-6C-CIU</x:v>
      </x:c>
      <x:c r="H323" s="24" t="b">
        <x:v>0</x:v>
      </x:c>
      <x:c r="I323" s="24" t="b">
        <x:v>1</x:v>
      </x:c>
    </x:row>
    <x:row r="324">
      <x:c r="A324" t="str">
        <x:v>PROF-014</x:v>
      </x:c>
      <x:c r="B324" t="str">
        <x:v>GEG</x:v>
      </x:c>
      <x:c r="C324" t="n">
        <x:v>6</x:v>
      </x:c>
      <x:c r="D324" t="str">
        <x:v>C</x:v>
      </x:c>
      <x:c r="E324" t="str">
        <x:v>6C</x:v>
      </x:c>
      <x:c r="F324" t="n">
        <x:v>2026</x:v>
      </x:c>
      <x:c r="G324" t="str">
        <x:v>2026-6C-GEG</x:v>
      </x:c>
      <x:c r="H324" s="24" t="b">
        <x:v>0</x:v>
      </x:c>
      <x:c r="I324" s="24" t="b">
        <x:v>1</x:v>
      </x:c>
    </x:row>
    <x:row r="325">
      <x:c r="A325" t="str">
        <x:v>PROF-012</x:v>
      </x:c>
      <x:c r="B325" t="str">
        <x:v>HIS</x:v>
      </x:c>
      <x:c r="C325" t="n">
        <x:v>6</x:v>
      </x:c>
      <x:c r="D325" t="str">
        <x:v>C</x:v>
      </x:c>
      <x:c r="E325" t="str">
        <x:v>6C</x:v>
      </x:c>
      <x:c r="F325" t="n">
        <x:v>2026</x:v>
      </x:c>
      <x:c r="G325" t="str">
        <x:v>2026-6C-HIS</x:v>
      </x:c>
      <x:c r="H325" s="24" t="b">
        <x:v>0</x:v>
      </x:c>
      <x:c r="I325" s="24" t="b">
        <x:v>1</x:v>
      </x:c>
    </x:row>
    <x:row r="326">
      <x:c r="A326" t="str">
        <x:v>PROF-022</x:v>
      </x:c>
      <x:c r="B326" t="str">
        <x:v>REL</x:v>
      </x:c>
      <x:c r="C326" t="n">
        <x:v>6</x:v>
      </x:c>
      <x:c r="D326" t="str">
        <x:v>C</x:v>
      </x:c>
      <x:c r="E326" t="str">
        <x:v>6C</x:v>
      </x:c>
      <x:c r="F326" t="n">
        <x:v>2026</x:v>
      </x:c>
      <x:c r="G326" t="str">
        <x:v>2026-6C-REL</x:v>
      </x:c>
      <x:c r="H326" s="24" t="b">
        <x:v>0</x:v>
      </x:c>
      <x:c r="I326" s="24" t="b">
        <x:v>1</x:v>
      </x:c>
    </x:row>
    <x:row r="327">
      <x:c r="A327" t="str">
        <x:v>PROF-020</x:v>
      </x:c>
      <x:c r="B327" t="str">
        <x:v>ING</x:v>
      </x:c>
      <x:c r="C327" t="n">
        <x:v>6</x:v>
      </x:c>
      <x:c r="D327" t="str">
        <x:v>C</x:v>
      </x:c>
      <x:c r="E327" t="str">
        <x:v>6C</x:v>
      </x:c>
      <x:c r="F327" t="n">
        <x:v>2026</x:v>
      </x:c>
      <x:c r="G327" t="str">
        <x:v>2026-6C-ING</x:v>
      </x:c>
      <x:c r="H327" s="24" t="b">
        <x:v>0</x:v>
      </x:c>
      <x:c r="I327" s="24" t="b">
        <x:v>1</x:v>
      </x:c>
    </x:row>
    <x:row r="328">
      <x:c r="A328" t="str">
        <x:v>PROF-022</x:v>
      </x:c>
      <x:c r="B328" t="str">
        <x:v>TAL</x:v>
      </x:c>
      <x:c r="C328" t="n">
        <x:v>6</x:v>
      </x:c>
      <x:c r="D328" t="str">
        <x:v>C</x:v>
      </x:c>
      <x:c r="E328" t="str">
        <x:v>6C</x:v>
      </x:c>
      <x:c r="F328" t="n">
        <x:v>2026</x:v>
      </x:c>
      <x:c r="G328" t="str">
        <x:v>2026-6C-TAL</x:v>
      </x:c>
      <x:c r="H328" s="24" t="b">
        <x:v>0</x:v>
      </x:c>
      <x:c r="I328" s="24" t="b">
        <x:v>1</x:v>
      </x:c>
    </x:row>
    <x:row r="329">
      <x:c r="A329" t="str">
        <x:v>PROF-024</x:v>
      </x:c>
      <x:c r="B329" t="str">
        <x:v>EDF</x:v>
      </x:c>
      <x:c r="C329" t="n">
        <x:v>6</x:v>
      </x:c>
      <x:c r="D329" t="str">
        <x:v>C</x:v>
      </x:c>
      <x:c r="E329" t="str">
        <x:v>6C</x:v>
      </x:c>
      <x:c r="F329" t="n">
        <x:v>2026</x:v>
      </x:c>
      <x:c r="G329" t="str">
        <x:v>2026-6C-EDF</x:v>
      </x:c>
      <x:c r="H329" s="24" t="b">
        <x:v>0</x:v>
      </x:c>
      <x:c r="I329" s="24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0" hidden="0" customWidth="1"/>
  </x:cols>
  <x:sheetData>
    <x:row r="1" ht="28" customHeight="1">
      <x:c r="A1" s="40" t="str">
        <x:v>seccion_codigo</x:v>
      </x:c>
      <x:c r="B1" s="40" t="str">
        <x:v>profesor_codigo</x:v>
      </x:c>
      <x:c r="C1" s="40" t="str">
        <x:v>anio</x:v>
      </x:c>
      <x:c r="D1" s="40" t="str">
        <x:v>activo</x:v>
      </x:c>
    </x:row>
    <x:row r="2">
      <x:c r="A2" t="str">
        <x:v>1A</x:v>
      </x:c>
      <x:c r="B2" t="str">
        <x:v>PROF-001</x:v>
      </x:c>
      <x:c r="C2" t="n">
        <x:v>2026</x:v>
      </x:c>
      <x:c r="D2" s="24" t="b">
        <x:v>1</x:v>
      </x:c>
    </x:row>
    <x:row r="3">
      <x:c r="A3" t="str">
        <x:v>1B</x:v>
      </x:c>
      <x:c r="B3" t="str">
        <x:v>PROF-002</x:v>
      </x:c>
      <x:c r="C3" t="n">
        <x:v>2026</x:v>
      </x:c>
      <x:c r="D3" s="24" t="b">
        <x:v>1</x:v>
      </x:c>
    </x:row>
    <x:row r="4">
      <x:c r="A4" t="str">
        <x:v>1C</x:v>
      </x:c>
      <x:c r="B4" t="str">
        <x:v>PROF-003</x:v>
      </x:c>
      <x:c r="C4" t="n">
        <x:v>2026</x:v>
      </x:c>
      <x:c r="D4" s="24" t="b">
        <x:v>1</x:v>
      </x:c>
    </x:row>
    <x:row r="5">
      <x:c r="A5" t="str">
        <x:v>1D</x:v>
      </x:c>
      <x:c r="B5" t="str">
        <x:v>PROF-004</x:v>
      </x:c>
      <x:c r="C5" t="n">
        <x:v>2026</x:v>
      </x:c>
      <x:c r="D5" s="24" t="b">
        <x:v>1</x:v>
      </x:c>
    </x:row>
    <x:row r="6">
      <x:c r="A6" t="str">
        <x:v>2A</x:v>
      </x:c>
      <x:c r="B6" t="str">
        <x:v>PROF-005</x:v>
      </x:c>
      <x:c r="C6" t="n">
        <x:v>2026</x:v>
      </x:c>
      <x:c r="D6" s="24" t="b">
        <x:v>1</x:v>
      </x:c>
    </x:row>
    <x:row r="7">
      <x:c r="A7" t="str">
        <x:v>2B</x:v>
      </x:c>
      <x:c r="B7" t="str">
        <x:v>PROF-006</x:v>
      </x:c>
      <x:c r="C7" t="n">
        <x:v>2026</x:v>
      </x:c>
      <x:c r="D7" s="24" t="b">
        <x:v>1</x:v>
      </x:c>
    </x:row>
    <x:row r="8">
      <x:c r="A8" t="str">
        <x:v>2C</x:v>
      </x:c>
      <x:c r="B8" t="str">
        <x:v>PROF-007</x:v>
      </x:c>
      <x:c r="C8" t="n">
        <x:v>2026</x:v>
      </x:c>
      <x:c r="D8" s="24" t="b">
        <x:v>1</x:v>
      </x:c>
    </x:row>
    <x:row r="9">
      <x:c r="A9" t="str">
        <x:v>2D</x:v>
      </x:c>
      <x:c r="B9" t="str">
        <x:v>PROF-008</x:v>
      </x:c>
      <x:c r="C9" t="n">
        <x:v>2026</x:v>
      </x:c>
      <x:c r="D9" s="24" t="b">
        <x:v>1</x:v>
      </x:c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62" hidden="0" customWidth="1"/>
    <x:col min="4" max="4" width="58" hidden="0" customWidth="1"/>
  </x:cols>
  <x:sheetData>
    <x:row r="1">
      <x:c r="A1" s="31" t="str">
        <x:v>modelo_prisma</x:v>
      </x:c>
      <x:c r="B1" s="31" t="str">
        <x:v>conteo_objetivo</x:v>
      </x:c>
      <x:c r="C1" s="31" t="str">
        <x:v>regla</x:v>
      </x:c>
      <x:c r="D1" s="31" t="str">
        <x:v>validacion</x:v>
      </x:c>
    </x:row>
    <x:row r="2">
      <x:c r="A2" t="str">
        <x:v>User</x:v>
      </x:c>
      <x:c r="B2" t="str">
        <x:v>275</x:v>
      </x:c>
      <x:c r="C2" t="str">
        <x:v>Crear 1 admin, 24 docente, 250 estudiante</x:v>
      </x:c>
      <x:c r="D2" t="str">
        <x:v>Resolver rolId por código; hash desde env</x:v>
      </x:c>
    </x:row>
    <x:row r="3">
      <x:c r="A3" t="str">
        <x:v>Teacher</x:v>
      </x:c>
      <x:c r="B3" t="str">
        <x:v>24</x:v>
      </x:c>
      <x:c r="C3" t="str">
        <x:v>Una fila por Profesores</x:v>
      </x:c>
      <x:c r="D3" t="str">
        <x:v>usuarioId por email</x:v>
      </x:c>
    </x:row>
    <x:row r="4">
      <x:c r="A4" t="str">
        <x:v>Student</x:v>
      </x:c>
      <x:c r="B4" t="str">
        <x:v>250</x:v>
      </x:c>
      <x:c r="C4" t="str">
        <x:v>Una fila por Estudiantes250</x:v>
      </x:c>
      <x:c r="D4" t="str">
        <x:v>seccionId por seccion_codigo</x:v>
      </x:c>
    </x:row>
    <x:row r="5">
      <x:c r="A5" t="str">
        <x:v>Matricula</x:v>
      </x:c>
      <x:c r="B5" t="str">
        <x:v>250</x:v>
      </x:c>
      <x:c r="C5" t="str">
        <x:v>1 por estudiante</x:v>
      </x:c>
      <x:c r="D5" t="str">
        <x:v>MAT-2026-0001..0250; estados 225/15/10</x:v>
      </x:c>
    </x:row>
    <x:row r="6">
      <x:c r="A6" t="str">
        <x:v>Course</x:v>
      </x:c>
      <x:c r="B6" t="str">
        <x:v>328</x:v>
      </x:c>
      <x:c r="C6" t="str">
        <x:v>1 por OfertaPlan</x:v>
      </x:c>
      <x:c r="D6" t="str">
        <x:v>resolver FKs por códigos</x:v>
      </x:c>
    </x:row>
    <x:row r="7">
      <x:c r="A7" t="str">
        <x:v>TeacherCourseAssignment</x:v>
      </x:c>
      <x:c r="B7" t="str">
        <x:v>328</x:v>
      </x:c>
      <x:c r="C7" t="str">
        <x:v>1 por AsignacionesPlan</x:v>
      </x:c>
      <x:c r="D7" t="str">
        <x:v>cursoOfertaId por oferta_codigo</x:v>
      </x:c>
    </x:row>
    <x:row r="8">
      <x:c r="A8" t="str">
        <x:v>TutorSeccion</x:v>
      </x:c>
      <x:c r="B8" t="n">
        <x:v>8</x:v>
      </x:c>
      <x:c r="C8" t="str">
        <x:v>1 TutorSeccion por cada sección de 1°–2°</x:v>
      </x:c>
      <x:c r="D8" t="str">
        <x:v>8 TutorSeccion; 104 asignaciones 1°–2° con esTutor=true; 224 asignaciones 3°–6° con esTutor=false</x:v>
      </x:c>
    </x:row>
    <x:row r="9">
      <x:c r="A9" t="str">
        <x:v>Enrollment</x:v>
      </x:c>
      <x:c r="B9" t="str">
        <x:v>3724</x:v>
      </x:c>
      <x:c r="C9" t="str">
        <x:v>Expandir estudiante × ofertas de su sección</x:v>
      </x:c>
      <x:c r="D9" t="str">
        <x:v>3354 activa + 370 retirada</x:v>
      </x:c>
    </x:row>
    <x:row r="10">
      <x:c r="A10" t="str">
        <x:v>Grade</x:v>
      </x:c>
      <x:c r="B10" t="str">
        <x:v>10209</x:v>
      </x:c>
      <x:c r="C10" t="str">
        <x:v>Generación determinística seed 20260921</x:v>
      </x:c>
      <x:c r="D10" t="str">
        <x:v>I y II completos + 2761 registros III; nota 0-20</x:v>
      </x:c>
    </x:row>
    <x:row r="11">
      <x:c r="A11" t="str">
        <x:v>Attendance</x:v>
      </x:c>
      <x:c r="B11" t="str">
        <x:v>34950</x:v>
      </x:c>
      <x:c r="C11" t="str">
        <x:v>Generación determinística por estudiante y fecha</x:v>
      </x:c>
      <x:c r="D11" t="str">
        <x:v>No posterior a 2026-09-21</x:v>
      </x:c>
    </x:row>
    <x:row r="12">
      <x:c r="A12" t="str">
        <x:v>ResumenAsistencia</x:v>
      </x:c>
      <x:c r="B12" t="str">
        <x:v>750</x:v>
      </x:c>
      <x:c r="C12" t="str">
        <x:v>250 × periodos I-II-III</x:v>
      </x:c>
      <x:c r="D12" t="str">
        <x:v>Derivar de Attendance</x:v>
      </x:c>
    </x:row>
    <x:row r="13">
      <x:c r="A13" t="str">
        <x:v>AcademicHistory</x:v>
      </x:c>
      <x:c r="B13" t="n">
        <x:v>725</x:v>
      </x:c>
      <x:c r="C13" t="str">
        <x:v>I y II: 250 estudiantes por período; III: solo 225 estudiantes con calificaciones B3</x:v>
      </x:c>
      <x:c r="D13" t="str">
        <x:v>Derivar de Grade + Attendance. No crear historial B3 para los 25 sin notas; promedio es obligatorio y 0 no significa 'sin datos'.</x:v>
      </x:c>
    </x:row>
    <x:row r="14">
      <x:c r="A14" t="str">
        <x:v>CourseResource</x:v>
      </x:c>
      <x:c r="B14" t="str">
        <x:v>656</x:v>
      </x:c>
      <x:c r="C14" t="str">
        <x:v>2 por oferta</x:v>
      </x:c>
      <x:c r="D14" t="str">
        <x:v>ResourceType válido</x:v>
      </x:c>
    </x:row>
    <x:row r="15">
      <x:c r="A15" t="str">
        <x:v>AcademicActivity</x:v>
      </x:c>
      <x:c r="B15" t="str">
        <x:v>328</x:v>
      </x:c>
      <x:c r="C15" t="str">
        <x:v>1 por oferta</x:v>
      </x:c>
      <x:c r="D15" t="str">
        <x:v>ActivityType válido</x:v>
      </x:c>
    </x:row>
    <x:row r="16">
      <x:c r="A16" t="str">
        <x:v>ActivityProgress</x:v>
      </x:c>
      <x:c r="B16" t="str">
        <x:v>3354</x:v>
      </x:c>
      <x:c r="C16" t="str">
        <x:v>1 por inscripción activa</x:v>
      </x:c>
      <x:c r="D16" t="str">
        <x:v>ActivityStatus válido</x:v>
      </x:c>
    </x:row>
    <x:row r="17">
      <x:c r="A17" t="str">
        <x:v>LmsEvent</x:v>
      </x:c>
      <x:c r="B17" t="str">
        <x:v>4610</x:v>
      </x:c>
      <x:c r="C17" t="str">
        <x:v>Distribuir solo sobre estudiantes activos</x:v>
      </x:c>
      <x:c r="D17" t="str">
        <x:v>LmsEventType válido</x:v>
      </x:c>
    </x:row>
    <x:row r="18">
      <x:c r="A18" t="str">
        <x:v>Prediction</x:v>
      </x:c>
      <x:c r="B18" t="str">
        <x:v>0</x:v>
      </x:c>
      <x:c r="C18" t="str">
        <x:v>NO CREAR</x:v>
      </x:c>
      <x:c r="D18" t="str">
        <x:v>Sin modelo científico</x:v>
      </x:c>
    </x:row>
    <x:row r="19">
      <x:c r="A19" t="str">
        <x:v>MlDataset/MlEntrenamiento/MlModelo/MlMetrica</x:v>
      </x:c>
      <x:c r="B19" t="str">
        <x:v>0</x:v>
      </x:c>
      <x:c r="C19" t="str">
        <x:v>NO CREAR</x:v>
      </x:c>
      <x:c r="D19" t="str">
        <x:v>Mantener en cero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</x:cols>
  <x:sheetData>
    <x:row r="1">
      <x:c r="A1" s="31" t="str">
        <x:v>codigo</x:v>
      </x:c>
      <x:c r="B1" s="31" t="str">
        <x:v>nombre</x:v>
      </x:c>
      <x:c r="C1" s="31" t="str">
        <x:v>tipo_dato</x:v>
      </x:c>
      <x:c r="D1" s="31" t="str">
        <x:v>rango_min</x:v>
      </x:c>
      <x:c r="E1" s="31" t="str">
        <x:v>rango_max</x:v>
      </x:c>
      <x:c r="F1" s="31" t="str">
        <x:v>orden</x:v>
      </x:c>
    </x:row>
    <x:row r="2">
      <x:c r="A2" t="str">
        <x:v>promedio_general</x:v>
      </x:c>
      <x:c r="B2" t="str">
        <x:v>Promedio general</x:v>
      </x:c>
      <x:c r="C2" t="str">
        <x:v>decimal</x:v>
      </x:c>
      <x:c r="D2" t="n">
        <x:v>0</x:v>
      </x:c>
      <x:c r="E2" t="n">
        <x:v>20</x:v>
      </x:c>
      <x:c r="F2" t="n">
        <x:v>1</x:v>
      </x:c>
    </x:row>
    <x:row r="3">
      <x:c r="A3" t="str">
        <x:v>cursos_desaprobados</x:v>
      </x:c>
      <x:c r="B3" t="str">
        <x:v>Cursos desaprobados</x:v>
      </x:c>
      <x:c r="C3" t="str">
        <x:v>integer</x:v>
      </x:c>
      <x:c r="D3" t="n">
        <x:v>0</x:v>
      </x:c>
      <x:c r="E3" t="n">
        <x:v>100</x:v>
      </x:c>
      <x:c r="F3" t="n">
        <x:v>2</x:v>
      </x:c>
    </x:row>
    <x:row r="4">
      <x:c r="A4" t="str">
        <x:v>asistencia_general</x:v>
      </x:c>
      <x:c r="B4" t="str">
        <x:v>Asistencia general</x:v>
      </x:c>
      <x:c r="C4" t="str">
        <x:v>decimal</x:v>
      </x:c>
      <x:c r="D4" t="n">
        <x:v>0</x:v>
      </x:c>
      <x:c r="E4" t="n">
        <x:v>100</x:v>
      </x:c>
      <x:c r="F4" t="n">
        <x:v>3</x:v>
      </x:c>
    </x:row>
    <x:row r="5">
      <x:c r="A5" t="str">
        <x:v>frecuencia_acceso_lms</x:v>
      </x:c>
      <x:c r="B5" t="str">
        <x:v>Accesos por semana</x:v>
      </x:c>
      <x:c r="C5" t="str">
        <x:v>decimal</x:v>
      </x:c>
      <x:c r="D5" t="n">
        <x:v>0</x:v>
      </x:c>
      <x:c r="E5" t="n">
        <x:v>10000</x:v>
      </x:c>
      <x:c r="F5" t="n">
        <x:v>4</x:v>
      </x:c>
    </x:row>
    <x:row r="6">
      <x:c r="A6" t="str">
        <x:v>tiempo_interaccion_lms</x:v>
      </x:c>
      <x:c r="B6" t="str">
        <x:v>Horas observadas en 28 días</x:v>
      </x:c>
      <x:c r="C6" t="str">
        <x:v>decimal</x:v>
      </x:c>
      <x:c r="D6" t="n">
        <x:v>0</x:v>
      </x:c>
      <x:c r="E6" t="n">
        <x:v>672</x:v>
      </x:c>
      <x:c r="F6" t="n">
        <x:v>5</x:v>
      </x:c>
    </x:row>
    <x:row r="7">
      <x:c r="A7" t="str">
        <x:v>actividades_realizadas</x:v>
      </x:c>
      <x:c r="B7" t="str">
        <x:v>Actividades completadas</x:v>
      </x:c>
      <x:c r="C7" t="str">
        <x:v>integer</x:v>
      </x:c>
      <x:c r="D7" t="n">
        <x:v>0</x:v>
      </x:c>
      <x:c r="E7" t="n">
        <x:v>10000</x:v>
      </x:c>
      <x:c r="F7" t="n">
        <x:v>6</x:v>
      </x:c>
    </x:row>
    <x:row r="8">
      <x:c r="A8" t="str">
        <x:v>recursos_consultados</x:v>
      </x:c>
      <x:c r="B8" t="str">
        <x:v>Materiales distintos</x:v>
      </x:c>
      <x:c r="C8" t="str">
        <x:v>integer</x:v>
      </x:c>
      <x:c r="D8" t="n">
        <x:v>0</x:v>
      </x:c>
      <x:c r="E8" t="n">
        <x:v>10000</x:v>
      </x:c>
      <x:c r="F8" t="n">
        <x:v>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86" hidden="0" customWidth="1"/>
  </x:cols>
  <x:sheetData>
    <x:row r="1" ht="28" customHeight="1">
      <x:c r="A1" s="50" t="str">
        <x:v>clave</x:v>
      </x:c>
      <x:c r="B1" s="50" t="str">
        <x:v>valor</x:v>
      </x:c>
      <x:c r="C1" s="50" t="str">
        <x:v>descripcion</x:v>
      </x:c>
    </x:row>
    <x:row r="2">
      <x:c r="A2" t="str">
        <x:v>dataset_id</x:v>
      </x:c>
      <x:c r="B2" t="str">
        <x:v>BLENKIR_DATA_SEED_V6_250</x:v>
      </x:c>
      <x:c r="C2" t="str">
        <x:v>Identificador idempotente</x:v>
      </x:c>
    </x:row>
    <x:row r="3">
      <x:c r="A3" t="str">
        <x:v>dataset_version</x:v>
      </x:c>
      <x:c r="B3" t="str">
        <x:v>6.0-synthetic-scientific-twin</x:v>
      </x:c>
      <x:c r="C3" t="str">
        <x:v>Versión auditada</x:v>
      </x:c>
    </x:row>
    <x:row r="4">
      <x:c r="A4" t="str">
        <x:v>cutoff_date</x:v>
      </x:c>
      <x:c r="B4" t="str">
        <x:v>2026-09-21</x:v>
      </x:c>
      <x:c r="C4" t="str">
        <x:v>Fecha máxima para eventos</x:v>
      </x:c>
    </x:row>
    <x:row r="5">
      <x:c r="A5" t="str">
        <x:v>random_seed</x:v>
      </x:c>
      <x:c r="B5" t="n">
        <x:v>20260921</x:v>
      </x:c>
      <x:c r="C5" t="str">
        <x:v>Generación transaccional determinística</x:v>
      </x:c>
    </x:row>
    <x:row r="6">
      <x:c r="A6" t="str">
        <x:v>DIRECTOR_INITIAL_PASSWORD</x:v>
      </x:c>
      <x:c r="B6" t="str">
        <x:v>SET_IN_RAILWAY_ENV</x:v>
      </x:c>
      <x:c r="C6" t="str">
        <x:v>Secreto de login; no guardar en Excel/Git</x:v>
      </x:c>
    </x:row>
    <x:row r="7">
      <x:c r="A7" t="str">
        <x:v>TEACHER_INITIAL_PASSWORD</x:v>
      </x:c>
      <x:c r="B7" t="str">
        <x:v>SET_IN_RAILWAY_ENV</x:v>
      </x:c>
      <x:c r="C7" t="str">
        <x:v>Secreto de login; no guardar en Excel/Git</x:v>
      </x:c>
    </x:row>
    <x:row r="8">
      <x:c r="A8" t="str">
        <x:v>STUDENT_INITIAL_PASSWORD</x:v>
      </x:c>
      <x:c r="B8" t="str">
        <x:v>SET_IN_RAILWAY_ENV</x:v>
      </x:c>
      <x:c r="C8" t="str">
        <x:v>Secreto de login; no guardar en Excel/Git</x:v>
      </x:c>
    </x:row>
    <x:row r="9">
      <x:c r="A9" t="str">
        <x:v>bcrypt_cost</x:v>
      </x:c>
      <x:c r="B9" t="n">
        <x:v>12</x:v>
      </x:c>
      <x:c r="C9" t="str">
        <x:v>Hash al importar</x:v>
      </x:c>
    </x:row>
    <x:row r="10">
      <x:c r="A10" t="str">
        <x:v>blank_optional_fields</x:v>
      </x:c>
      <x:c r="B10" t="str">
        <x:v>NULL</x:v>
      </x:c>
      <x:c r="C10" t="str">
        <x:v>DNI/teléfono vacíos -&gt; NULL</x:v>
      </x:c>
    </x:row>
    <x:row r="11">
      <x:c r="A11" t="str">
        <x:v>precondition</x:v>
      </x:c>
      <x:c r="B11" t="str">
        <x:v>PRESEED_ZERO_OK</x:v>
      </x:c>
      <x:c r="C11" t="str">
        <x:v>Abortar si la base no está vacía operacionalmente</x:v>
      </x:c>
    </x:row>
    <x:row r="12">
      <x:c r="A12" t="str">
        <x:v>legacy_lms</x:v>
      </x:c>
      <x:c r="B12" t="str">
        <x:v>DO_NOT_POPULATE</x:v>
      </x:c>
      <x:c r="C12" t="str">
        <x:v>No poblar tablas legacy @ignore</x:v>
      </x:c>
    </x:row>
    <x:row r="13">
      <x:c r="A13" t="str">
        <x:v>predictions</x:v>
      </x:c>
      <x:c r="B13" t="str">
        <x:v>DO_NOT_POPULATE</x:v>
      </x:c>
      <x:c r="C13" t="str">
        <x:v>Prediction y artefactos ML quedan 0</x:v>
      </x:c>
    </x:row>
    <x:row r="14">
      <x:c r="A14" t="str">
        <x:v>correlatives</x:v>
      </x:c>
      <x:c r="B14" t="str">
        <x:v>UPDATE_AFTER_IMPORT</x:v>
      </x:c>
      <x:c r="C14" t="str">
        <x:v>Aplicar CorrelativosFinales</x:v>
      </x:c>
    </x:row>
    <x:row r="15">
      <x:c r="A15" s="13" t="str">
        <x:v>synthetic_identity_fields</x:v>
      </x:c>
      <x:c r="B15" s="13" t="str">
        <x:v>IMPORT_AS_PROVIDED</x:v>
      </x:c>
      <x:c r="C15" s="13" t="str">
        <x:v>dni_sintetico/telefono_sintetico son ficticios; no validar contra RENIEC ni usar para contacto real</x:v>
      </x:c>
    </x:row>
    <x:row r="16">
      <x:c r="A16" s="80" t="str">
        <x:v>ml_data_mode</x:v>
      </x:c>
      <x:c r="B16" s="95" t="str">
        <x:v>synthetic_scientific</x:v>
      </x:c>
      <x:c r="C16" s="81" t="str">
        <x:v>Capa ML experimental separada del seed operativo</x:v>
      </x:c>
    </x:row>
    <x:row r="17">
      <x:c r="A17" s="82" t="str">
        <x:v>ml_synthetic_seed</x:v>
      </x:c>
      <x:c r="B17" s="96" t="str">
        <x:v>20260924</x:v>
      </x:c>
      <x:c r="C17" s="83" t="str">
        <x:v>Semilla reproducible del generador científico-sintético</x:v>
      </x:c>
    </x:row>
    <x:row r="18">
      <x:c r="A18" s="82" t="str">
        <x:v>ml_target</x:v>
      </x:c>
      <x:c r="B18" s="96" t="str">
        <x:v>target_desercion</x:v>
      </x:c>
      <x:c r="C18" s="83" t="str">
        <x:v>0=permanece; 1=deserta</x:v>
      </x:c>
    </x:row>
    <x:row r="19">
      <x:c r="A19" s="82" t="str">
        <x:v>ml_cutoffs</x:v>
      </x:c>
      <x:c r="B19" s="96" t="str">
        <x:v>2026-07-31 | 2026-09-21</x:v>
      </x:c>
      <x:c r="C19" s="83" t="str">
        <x:v>Dos snapshots longitudinales</x:v>
      </x:c>
    </x:row>
    <x:row r="20">
      <x:c r="A20" s="82" t="str">
        <x:v>ml_outcome_date</x:v>
      </x:c>
      <x:c r="B20" s="96" t="str">
        <x:v>2026-12-15</x:v>
      </x:c>
      <x:c r="C20" s="83" t="str">
        <x:v>Horizonte sintético posterior al corte</x:v>
      </x:c>
    </x:row>
    <x:row r="21">
      <x:c r="A21" s="82" t="str">
        <x:v>ml_split_unit</x:v>
      </x:c>
      <x:c r="B21" s="96" t="str">
        <x:v>student_code</x:v>
      </x:c>
      <x:c r="C21" s="83" t="str">
        <x:v>El mismo estudiante no cruza train/validation/holdout</x:v>
      </x:c>
    </x:row>
    <x:row r="22">
      <x:c r="A22" s="84" t="str">
        <x:v>ml_artifact_namespace</x:v>
      </x:c>
      <x:c r="B22" s="97" t="str">
        <x:v>synthetic</x:v>
      </x:c>
      <x:c r="C22" s="85" t="str">
        <x:v>No sobrescribir artefactos real_institutional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98" hidden="0" customWidth="1"/>
  </x:cols>
  <x:sheetData>
    <x:row r="1" ht="28" customHeight="1">
      <x:c r="A1" s="40" t="str">
        <x:v>hoja_excel</x:v>
      </x:c>
      <x:c r="B1" s="40" t="str">
        <x:v>modelo_prisma</x:v>
      </x:c>
      <x:c r="C1" s="40" t="str">
        <x:v>regla_importacion</x:v>
      </x:c>
    </x:row>
    <x:row r="2">
      <x:c r="A2" t="str">
        <x:v>Usuarios</x:v>
      </x:c>
      <x:c r="B2" t="str">
        <x:v>User</x:v>
      </x:c>
      <x:c r="C2" t="str">
        <x:v>rolId por Role.codigo; passwordHash desde env+bcrypt12; importar DNI/teléfono sintéticos como String</x:v>
      </x:c>
    </x:row>
    <x:row r="3">
      <x:c r="A3" t="str">
        <x:v>Director</x:v>
      </x:c>
      <x:c r="B3" t="str">
        <x:v>User(admin)</x:v>
      </x:c>
      <x:c r="C3" t="str">
        <x:v>Referencia; no crear entidad Director separada</x:v>
      </x:c>
    </x:row>
    <x:row r="4">
      <x:c r="A4" t="str">
        <x:v>Profesores</x:v>
      </x:c>
      <x:c r="B4" t="str">
        <x:v>Teacher</x:v>
      </x:c>
      <x:c r="C4" t="str">
        <x:v>usuarioId por email; codigo/especialidad exactos; DNI/teléfono sintéticos únicos</x:v>
      </x:c>
    </x:row>
    <x:row r="5">
      <x:c r="A5" t="str">
        <x:v>Estudiantes250</x:v>
      </x:c>
      <x:c r="B5" t="str">
        <x:v>Student + Matricula</x:v>
      </x:c>
      <x:c r="C5" t="str">
        <x:v>Importar identidad/estado + DNI/teléfono sintéticos; objetivo_* no son valores finales directos</x:v>
      </x:c>
    </x:row>
    <x:row r="6">
      <x:c r="A6" t="str">
        <x:v>OfertaPlan</x:v>
      </x:c>
      <x:c r="B6" t="str">
        <x:v>Course</x:v>
      </x:c>
      <x:c r="C6" t="str">
        <x:v>Resolver curso/sección/profesor/año por claves naturales</x:v>
      </x:c>
    </x:row>
    <x:row r="7">
      <x:c r="A7" t="str">
        <x:v>AsignacionesPlan</x:v>
      </x:c>
      <x:c r="B7" t="str">
        <x:v>TeacherCourseAssignment</x:v>
      </x:c>
      <x:c r="C7" t="str">
        <x:v>Fuente de verdad; 3°–6° máximo 2 cursos/7 secciones</x:v>
      </x:c>
    </x:row>
    <x:row r="8">
      <x:c r="A8" t="str">
        <x:v>TutoresPlan</x:v>
      </x:c>
      <x:c r="B8" t="str">
        <x:v>TutorSeccion</x:v>
      </x:c>
      <x:c r="C8" t="str">
        <x:v>Solo 1°–2°: 8 TutorSeccion. Todos los cursos del tutor de aula llevan esTutor=true. En 3°–6° polidocencia, esTutor=false.</x:v>
      </x:c>
    </x:row>
    <x:row r="9">
      <x:c r="A9" t="str">
        <x:v>GeneracionRelacional</x:v>
      </x:c>
      <x:c r="B9" t="str">
        <x:v>Tablas transaccionales</x:v>
      </x:c>
      <x:c r="C9" t="str">
        <x:v>Generar conteos exactos con seed/cutoff y recalcular agregados</x:v>
      </x:c>
    </x:row>
    <x:row r="10">
      <x:c r="A10" t="str">
        <x:v>MLFeatures</x:v>
      </x:c>
      <x:c r="B10" t="str">
        <x:v>MlFeatureDef</x:v>
      </x:c>
      <x:c r="C10" t="str">
        <x:v>Validar 7 existentes; no duplicar</x:v>
      </x:c>
    </x:row>
    <x:row r="11">
      <x:c r="A11" t="str">
        <x:v>CorrelativosFinales</x:v>
      </x:c>
      <x:c r="B11" t="str">
        <x:v>Correlativo</x:v>
      </x:c>
      <x:c r="C11" t="str">
        <x:v>Actualizar al final para evitar colisiones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  <x:col min="3" max="3" width="78" hidden="0" customWidth="1"/>
  </x:cols>
  <x:sheetData>
    <x:row r="1">
      <x:c r="A1" s="31" t="str">
        <x:v>fuente</x:v>
      </x:c>
      <x:c r="B1" s="31" t="str">
        <x:v>uso</x:v>
      </x:c>
      <x:c r="C1" s="31" t="str">
        <x:v>url</x:v>
      </x:c>
    </x:row>
    <x:row r="2">
      <x:c r="A2" t="str">
        <x:v>APUNTES</x:v>
      </x:c>
      <x:c r="B2" t="str">
        <x:v>Data seed Excel, mínimo 200 registros simulados; dashboard ligado a matriz.</x:v>
      </x:c>
      <x:c r="C2" t="str">
        <x:v>https://docs.google.com/document/d/1wWmM6bM-l2VRWINYW0qxjZcwrd3wOsduQfiTLWVLiNU/edit</x:v>
      </x:c>
    </x:row>
    <x:row r="3">
      <x:c r="A3" t="str">
        <x:v>Matriz fusionada definitiva</x:v>
      </x:c>
      <x:c r="B3" t="str">
        <x:v>Variables/indicadores académicos, LMS, permanencia y sistema web.</x:v>
      </x:c>
      <x:c r="C3" t="str">
        <x:v>https://docs.google.com/document/d/1vQ2GIJRha6tOU4xjIHgYmfHLRc5GoPZY/edit</x:v>
      </x:c>
    </x:row>
    <x:row r="4">
      <x:c r="A4" t="str">
        <x:v>schema.prisma</x:v>
      </x:c>
      <x:c r="B4" t="str">
        <x:v>Estructura oficial MySQL/Prisma.</x:v>
      </x:c>
      <x:c r="C4" t="str">
        <x:v>https://github.com/4dr1-2529/taller1/blob/main/backend/prisma/schema.prisma</x:v>
      </x:c>
    </x:row>
    <x:row r="5">
      <x:c r="A5" t="str">
        <x:v>Repositorio</x:v>
      </x:c>
      <x:c r="B5" t="str">
        <x:v>Código BLENKIR.</x:v>
      </x:c>
      <x:c r="C5" t="str">
        <x:v>https://github.com/4dr1-2529/taller1</x:v>
      </x:c>
    </x:row>
    <x:row r="6">
      <x:c r="A6" t="str">
        <x:v>Frontend Vercel</x:v>
      </x:c>
      <x:c r="B6" t="str">
        <x:v>Interfaz web.</x:v>
      </x:c>
      <x:c r="C6" t="str">
        <x:v>https://taller1-frontend.vercel.app/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30" hidden="0" customWidth="1"/>
    <x:col min="5" max="5" width="18" hidden="0" customWidth="1"/>
    <x:col min="6" max="6" width="20" hidden="0" customWidth="1"/>
    <x:col min="7" max="7" width="10" hidden="0" customWidth="1"/>
    <x:col min="8" max="8" width="30" hidden="0" customWidth="1"/>
  </x:cols>
  <x:sheetData>
    <x:row r="1" ht="28" customHeight="1">
      <x:c r="A1" s="40" t="str">
        <x:v>email</x:v>
      </x:c>
      <x:c r="B1" s="40" t="str">
        <x:v>rol</x:v>
      </x:c>
      <x:c r="C1" s="40" t="str">
        <x:v>nombres</x:v>
      </x:c>
      <x:c r="D1" s="40" t="str">
        <x:v>apellidos</x:v>
      </x:c>
      <x:c r="E1" s="40" t="str">
        <x:v>dni_sintetico</x:v>
      </x:c>
      <x:c r="F1" s="40" t="str">
        <x:v>telefono_sintetico</x:v>
      </x:c>
      <x:c r="G1" s="40" t="str">
        <x:v>activo</x:v>
      </x:c>
      <x:c r="H1" s="40" t="str">
        <x:v>password_env</x:v>
      </x:c>
    </x:row>
    <x:row r="2">
      <x:c r="A2" t="str">
        <x:v>director@blenkir.edu.pe</x:v>
      </x:c>
      <x:c r="B2" t="str">
        <x:v>admin</x:v>
      </x:c>
      <x:c r="C2" t="str">
        <x:v>María Elena</x:v>
      </x:c>
      <x:c r="D2" t="str">
        <x:v>Ramos Salazar</x:v>
      </x:c>
      <x:c r="E2" t="str">
        <x:v>78111425</x:v>
      </x:c>
      <x:c r="F2" t="str">
        <x:v>950218999</x:v>
      </x:c>
      <x:c r="G2" s="24" t="b">
        <x:v>1</x:v>
      </x:c>
      <x:c r="H2" t="str">
        <x:v>DIRECTOR_INITIAL_PASSWORD</x:v>
      </x:c>
    </x:row>
    <x:row r="3">
      <x:c r="A3" t="str">
        <x:v>prof001@blenkir.edu.pe</x:v>
      </x:c>
      <x:c r="B3" t="str">
        <x:v>docente</x:v>
      </x:c>
      <x:c r="C3" t="str">
        <x:v>Sebastián</x:v>
      </x:c>
      <x:c r="D3" t="str">
        <x:v>Córdova Navarro</x:v>
      </x:c>
      <x:c r="E3" t="str">
        <x:v>71233409</x:v>
      </x:c>
      <x:c r="F3" t="str">
        <x:v>955301831</x:v>
      </x:c>
      <x:c r="G3" s="24" t="b">
        <x:v>1</x:v>
      </x:c>
      <x:c r="H3" t="str">
        <x:v>TEACHER_INITIAL_PASSWORD</x:v>
      </x:c>
    </x:row>
    <x:row r="4">
      <x:c r="A4" t="str">
        <x:v>prof002@blenkir.edu.pe</x:v>
      </x:c>
      <x:c r="B4" t="str">
        <x:v>docente</x:v>
      </x:c>
      <x:c r="C4" t="str">
        <x:v>Daniela</x:v>
      </x:c>
      <x:c r="D4" t="str">
        <x:v>López Velásquez</x:v>
      </x:c>
      <x:c r="E4" t="str">
        <x:v>76390292</x:v>
      </x:c>
      <x:c r="F4" t="str">
        <x:v>916218471</x:v>
      </x:c>
      <x:c r="G4" s="24" t="b">
        <x:v>1</x:v>
      </x:c>
      <x:c r="H4" t="str">
        <x:v>TEACHER_INITIAL_PASSWORD</x:v>
      </x:c>
    </x:row>
    <x:row r="5">
      <x:c r="A5" t="str">
        <x:v>prof003@blenkir.edu.pe</x:v>
      </x:c>
      <x:c r="B5" t="str">
        <x:v>docente</x:v>
      </x:c>
      <x:c r="C5" t="str">
        <x:v>Luciana</x:v>
      </x:c>
      <x:c r="D5" t="str">
        <x:v>Rojas Córdova</x:v>
      </x:c>
      <x:c r="E5" t="str">
        <x:v>72609852</x:v>
      </x:c>
      <x:c r="F5" t="str">
        <x:v>905334971</x:v>
      </x:c>
      <x:c r="G5" s="24" t="b">
        <x:v>1</x:v>
      </x:c>
      <x:c r="H5" t="str">
        <x:v>TEACHER_INITIAL_PASSWORD</x:v>
      </x:c>
    </x:row>
    <x:row r="6">
      <x:c r="A6" t="str">
        <x:v>prof004@blenkir.edu.pe</x:v>
      </x:c>
      <x:c r="B6" t="str">
        <x:v>docente</x:v>
      </x:c>
      <x:c r="C6" t="str">
        <x:v>Romina</x:v>
      </x:c>
      <x:c r="D6" t="str">
        <x:v>Velásquez Paredes</x:v>
      </x:c>
      <x:c r="E6" t="str">
        <x:v>71525938</x:v>
      </x:c>
      <x:c r="F6" t="str">
        <x:v>970667349</x:v>
      </x:c>
      <x:c r="G6" s="24" t="b">
        <x:v>1</x:v>
      </x:c>
      <x:c r="H6" t="str">
        <x:v>TEACHER_INITIAL_PASSWORD</x:v>
      </x:c>
    </x:row>
    <x:row r="7">
      <x:c r="A7" t="str">
        <x:v>prof005@blenkir.edu.pe</x:v>
      </x:c>
      <x:c r="B7" t="str">
        <x:v>docente</x:v>
      </x:c>
      <x:c r="C7" t="str">
        <x:v>Adrián</x:v>
      </x:c>
      <x:c r="D7" t="str">
        <x:v>Carrasco Yupanqui</x:v>
      </x:c>
      <x:c r="E7" t="str">
        <x:v>75284779</x:v>
      </x:c>
      <x:c r="F7" t="str">
        <x:v>952368666</x:v>
      </x:c>
      <x:c r="G7" s="24" t="b">
        <x:v>1</x:v>
      </x:c>
      <x:c r="H7" t="str">
        <x:v>TEACHER_INITIAL_PASSWORD</x:v>
      </x:c>
    </x:row>
    <x:row r="8">
      <x:c r="A8" t="str">
        <x:v>prof006@blenkir.edu.pe</x:v>
      </x:c>
      <x:c r="B8" t="str">
        <x:v>docente</x:v>
      </x:c>
      <x:c r="C8" t="str">
        <x:v>David</x:v>
      </x:c>
      <x:c r="D8" t="str">
        <x:v>García Dávila</x:v>
      </x:c>
      <x:c r="E8" t="str">
        <x:v>82720483</x:v>
      </x:c>
      <x:c r="F8" t="str">
        <x:v>941729724</x:v>
      </x:c>
      <x:c r="G8" s="24" t="b">
        <x:v>1</x:v>
      </x:c>
      <x:c r="H8" t="str">
        <x:v>TEACHER_INITIAL_PASSWORD</x:v>
      </x:c>
    </x:row>
    <x:row r="9">
      <x:c r="A9" t="str">
        <x:v>prof007@blenkir.edu.pe</x:v>
      </x:c>
      <x:c r="B9" t="str">
        <x:v>docente</x:v>
      </x:c>
      <x:c r="C9" t="str">
        <x:v>Gonzalo</x:v>
      </x:c>
      <x:c r="D9" t="str">
        <x:v>Navarro Pérez</x:v>
      </x:c>
      <x:c r="E9" t="str">
        <x:v>81705488</x:v>
      </x:c>
      <x:c r="F9" t="str">
        <x:v>938330810</x:v>
      </x:c>
      <x:c r="G9" s="24" t="b">
        <x:v>1</x:v>
      </x:c>
      <x:c r="H9" t="str">
        <x:v>TEACHER_INITIAL_PASSWORD</x:v>
      </x:c>
    </x:row>
    <x:row r="10">
      <x:c r="A10" t="str">
        <x:v>prof008@blenkir.edu.pe</x:v>
      </x:c>
      <x:c r="B10" t="str">
        <x:v>docente</x:v>
      </x:c>
      <x:c r="C10" t="str">
        <x:v>Juan</x:v>
      </x:c>
      <x:c r="D10" t="str">
        <x:v>Soto Zúñiga</x:v>
      </x:c>
      <x:c r="E10" t="str">
        <x:v>76310773</x:v>
      </x:c>
      <x:c r="F10" t="str">
        <x:v>914530514</x:v>
      </x:c>
      <x:c r="G10" s="24" t="b">
        <x:v>1</x:v>
      </x:c>
      <x:c r="H10" t="str">
        <x:v>TEACHER_INITIAL_PASSWORD</x:v>
      </x:c>
    </x:row>
    <x:row r="11">
      <x:c r="A11" t="str">
        <x:v>prof009@blenkir.edu.pe</x:v>
      </x:c>
      <x:c r="B11" t="str">
        <x:v>docente</x:v>
      </x:c>
      <x:c r="C11" t="str">
        <x:v>Pablo</x:v>
      </x:c>
      <x:c r="D11" t="str">
        <x:v>Alvarado De la Cruz</x:v>
      </x:c>
      <x:c r="E11" t="str">
        <x:v>81095559</x:v>
      </x:c>
      <x:c r="F11" t="str">
        <x:v>940940094</x:v>
      </x:c>
      <x:c r="G11" s="24" t="b">
        <x:v>1</x:v>
      </x:c>
      <x:c r="H11" t="str">
        <x:v>TEACHER_INITIAL_PASSWORD</x:v>
      </x:c>
    </x:row>
    <x:row r="12">
      <x:c r="A12" t="str">
        <x:v>prof010@blenkir.edu.pe</x:v>
      </x:c>
      <x:c r="B12" t="str">
        <x:v>docente</x:v>
      </x:c>
      <x:c r="C12" t="str">
        <x:v>Víctor</x:v>
      </x:c>
      <x:c r="D12" t="str">
        <x:v>Contreras Quispe</x:v>
      </x:c>
      <x:c r="E12" t="str">
        <x:v>80974369</x:v>
      </x:c>
      <x:c r="F12" t="str">
        <x:v>997543141</x:v>
      </x:c>
      <x:c r="G12" s="24" t="b">
        <x:v>1</x:v>
      </x:c>
      <x:c r="H12" t="str">
        <x:v>TEACHER_INITIAL_PASSWORD</x:v>
      </x:c>
    </x:row>
    <x:row r="13">
      <x:c r="A13" t="str">
        <x:v>prof011@blenkir.edu.pe</x:v>
      </x:c>
      <x:c r="B13" t="str">
        <x:v>docente</x:v>
      </x:c>
      <x:c r="C13" t="str">
        <x:v>Fernanda</x:v>
      </x:c>
      <x:c r="D13" t="str">
        <x:v>Huamán Aguilar</x:v>
      </x:c>
      <x:c r="E13" t="str">
        <x:v>72362901</x:v>
      </x:c>
      <x:c r="F13" t="str">
        <x:v>907210574</x:v>
      </x:c>
      <x:c r="G13" s="24" t="b">
        <x:v>1</x:v>
      </x:c>
      <x:c r="H13" t="str">
        <x:v>TEACHER_INITIAL_PASSWORD</x:v>
      </x:c>
    </x:row>
    <x:row r="14">
      <x:c r="A14" t="str">
        <x:v>prof012@blenkir.edu.pe</x:v>
      </x:c>
      <x:c r="B14" t="str">
        <x:v>docente</x:v>
      </x:c>
      <x:c r="C14" t="str">
        <x:v>Natalia</x:v>
      </x:c>
      <x:c r="D14" t="str">
        <x:v>Ramos Espinoza</x:v>
      </x:c>
      <x:c r="E14" t="str">
        <x:v>82004994</x:v>
      </x:c>
      <x:c r="F14" t="str">
        <x:v>936174806</x:v>
      </x:c>
      <x:c r="G14" s="24" t="b">
        <x:v>1</x:v>
      </x:c>
      <x:c r="H14" t="str">
        <x:v>TEACHER_INITIAL_PASSWORD</x:v>
      </x:c>
    </x:row>
    <x:row r="15">
      <x:c r="A15" t="str">
        <x:v>prof013@blenkir.edu.pe</x:v>
      </x:c>
      <x:c r="B15" t="str">
        <x:v>docente</x:v>
      </x:c>
      <x:c r="C15" t="str">
        <x:v>Victoria</x:v>
      </x:c>
      <x:c r="D15" t="str">
        <x:v>Vega Ramírez</x:v>
      </x:c>
      <x:c r="E15" t="str">
        <x:v>79623367</x:v>
      </x:c>
      <x:c r="F15" t="str">
        <x:v>958658124</x:v>
      </x:c>
      <x:c r="G15" s="24" t="b">
        <x:v>1</x:v>
      </x:c>
      <x:c r="H15" t="str">
        <x:v>TEACHER_INITIAL_PASSWORD</x:v>
      </x:c>
    </x:row>
    <x:row r="16">
      <x:c r="A16" t="str">
        <x:v>prof014@blenkir.edu.pe</x:v>
      </x:c>
      <x:c r="B16" t="str">
        <x:v>docente</x:v>
      </x:c>
      <x:c r="C16" t="str">
        <x:v>Bruno</x:v>
      </x:c>
      <x:c r="D16" t="str">
        <x:v>Campos Alarcón</x:v>
      </x:c>
      <x:c r="E16" t="str">
        <x:v>72330320</x:v>
      </x:c>
      <x:c r="F16" t="str">
        <x:v>905482397</x:v>
      </x:c>
      <x:c r="G16" s="24" t="b">
        <x:v>1</x:v>
      </x:c>
      <x:c r="H16" t="str">
        <x:v>TEACHER_INITIAL_PASSWORD</x:v>
      </x:c>
    </x:row>
    <x:row r="17">
      <x:c r="A17" t="str">
        <x:v>prof015@blenkir.edu.pe</x:v>
      </x:c>
      <x:c r="B17" t="str">
        <x:v>docente</x:v>
      </x:c>
      <x:c r="C17" t="str">
        <x:v>Emilio</x:v>
      </x:c>
      <x:c r="D17" t="str">
        <x:v>Flores García</x:v>
      </x:c>
      <x:c r="E17" t="str">
        <x:v>83609454</x:v>
      </x:c>
      <x:c r="F17" t="str">
        <x:v>929521272</x:v>
      </x:c>
      <x:c r="G17" s="24" t="b">
        <x:v>1</x:v>
      </x:c>
      <x:c r="H17" t="str">
        <x:v>TEACHER_INITIAL_PASSWORD</x:v>
      </x:c>
    </x:row>
    <x:row r="18">
      <x:c r="A18" t="str">
        <x:v>prof016@blenkir.edu.pe</x:v>
      </x:c>
      <x:c r="B18" t="str">
        <x:v>docente</x:v>
      </x:c>
      <x:c r="C18" t="str">
        <x:v>Javier</x:v>
      </x:c>
      <x:c r="D18" t="str">
        <x:v>Morales Ramos</x:v>
      </x:c>
      <x:c r="E18" t="str">
        <x:v>88966419</x:v>
      </x:c>
      <x:c r="F18" t="str">
        <x:v>968733224</x:v>
      </x:c>
      <x:c r="G18" s="24" t="b">
        <x:v>1</x:v>
      </x:c>
      <x:c r="H18" t="str">
        <x:v>TEACHER_INITIAL_PASSWORD</x:v>
      </x:c>
    </x:row>
    <x:row r="19">
      <x:c r="A19" t="str">
        <x:v>prof017@blenkir.edu.pe</x:v>
      </x:c>
      <x:c r="B19" t="str">
        <x:v>docente</x:v>
      </x:c>
      <x:c r="C19" t="str">
        <x:v>Mateo</x:v>
      </x:c>
      <x:c r="D19" t="str">
        <x:v>Silva Alvarado</x:v>
      </x:c>
      <x:c r="E19" t="str">
        <x:v>76664180</x:v>
      </x:c>
      <x:c r="F19" t="str">
        <x:v>960969653</x:v>
      </x:c>
      <x:c r="G19" s="24" t="b">
        <x:v>1</x:v>
      </x:c>
      <x:c r="H19" t="str">
        <x:v>TEACHER_INITIAL_PASSWORD</x:v>
      </x:c>
    </x:row>
    <x:row r="20">
      <x:c r="A20" t="str">
        <x:v>prof018@blenkir.edu.pe</x:v>
      </x:c>
      <x:c r="B20" t="str">
        <x:v>docente</x:v>
      </x:c>
      <x:c r="C20" t="str">
        <x:v>Rodrigo</x:v>
      </x:c>
      <x:c r="D20" t="str">
        <x:v>Alarcón García</x:v>
      </x:c>
      <x:c r="E20" t="str">
        <x:v>70934637</x:v>
      </x:c>
      <x:c r="F20" t="str">
        <x:v>926720242</x:v>
      </x:c>
      <x:c r="G20" s="24" t="b">
        <x:v>1</x:v>
      </x:c>
      <x:c r="H20" t="str">
        <x:v>TEACHER_INITIAL_PASSWORD</x:v>
      </x:c>
    </x:row>
    <x:row r="21">
      <x:c r="A21" t="str">
        <x:v>prof019@blenkir.edu.pe</x:v>
      </x:c>
      <x:c r="B21" t="str">
        <x:v>docente</x:v>
      </x:c>
      <x:c r="C21" t="str">
        <x:v>Carla</x:v>
      </x:c>
      <x:c r="D21" t="str">
        <x:v>Condori Rojas</x:v>
      </x:c>
      <x:c r="E21" t="str">
        <x:v>88406476</x:v>
      </x:c>
      <x:c r="F21" t="str">
        <x:v>977301563</x:v>
      </x:c>
      <x:c r="G21" s="24" t="b">
        <x:v>1</x:v>
      </x:c>
      <x:c r="H21" t="str">
        <x:v>TEACHER_INITIAL_PASSWORD</x:v>
      </x:c>
    </x:row>
    <x:row r="22">
      <x:c r="A22" t="str">
        <x:v>prof020@blenkir.edu.pe</x:v>
      </x:c>
      <x:c r="B22" t="str">
        <x:v>docente</x:v>
      </x:c>
      <x:c r="C22" t="str">
        <x:v>Jimena</x:v>
      </x:c>
      <x:c r="D22" t="str">
        <x:v>Gutiérrez Arias</x:v>
      </x:c>
      <x:c r="E22" t="str">
        <x:v>86856474</x:v>
      </x:c>
      <x:c r="F22" t="str">
        <x:v>962588227</x:v>
      </x:c>
      <x:c r="G22" s="24" t="b">
        <x:v>1</x:v>
      </x:c>
      <x:c r="H22" t="str">
        <x:v>TEACHER_INITIAL_PASSWORD</x:v>
      </x:c>
    </x:row>
    <x:row r="23">
      <x:c r="A23" t="str">
        <x:v>prof021@blenkir.edu.pe</x:v>
      </x:c>
      <x:c r="B23" t="str">
        <x:v>docente</x:v>
      </x:c>
      <x:c r="C23" t="str">
        <x:v>Renata</x:v>
      </x:c>
      <x:c r="D23" t="str">
        <x:v>Ramírez Gómez</x:v>
      </x:c>
      <x:c r="E23" t="str">
        <x:v>76647262</x:v>
      </x:c>
      <x:c r="F23" t="str">
        <x:v>995345345</x:v>
      </x:c>
      <x:c r="G23" s="24" t="b">
        <x:v>1</x:v>
      </x:c>
      <x:c r="H23" t="str">
        <x:v>TEACHER_INITIAL_PASSWORD</x:v>
      </x:c>
    </x:row>
    <x:row r="24">
      <x:c r="A24" t="str">
        <x:v>prof022@blenkir.edu.pe</x:v>
      </x:c>
      <x:c r="B24" t="str">
        <x:v>docente</x:v>
      </x:c>
      <x:c r="C24" t="str">
        <x:v>Alejandra</x:v>
      </x:c>
      <x:c r="D24" t="str">
        <x:v>Vásquez Romero</x:v>
      </x:c>
      <x:c r="E24" t="str">
        <x:v>84244076</x:v>
      </x:c>
      <x:c r="F24" t="str">
        <x:v>978882542</x:v>
      </x:c>
      <x:c r="G24" s="24" t="b">
        <x:v>1</x:v>
      </x:c>
      <x:c r="H24" t="str">
        <x:v>TEACHER_INITIAL_PASSWORD</x:v>
      </x:c>
    </x:row>
    <x:row r="25">
      <x:c r="A25" t="str">
        <x:v>prof023@blenkir.edu.pe</x:v>
      </x:c>
      <x:c r="B25" t="str">
        <x:v>docente</x:v>
      </x:c>
      <x:c r="C25" t="str">
        <x:v>Daniel</x:v>
      </x:c>
      <x:c r="D25" t="str">
        <x:v>Cáceres Bendezú</x:v>
      </x:c>
      <x:c r="E25" t="str">
        <x:v>79585377</x:v>
      </x:c>
      <x:c r="F25" t="str">
        <x:v>970566513</x:v>
      </x:c>
      <x:c r="G25" s="24" t="b">
        <x:v>1</x:v>
      </x:c>
      <x:c r="H25" t="str">
        <x:v>TEACHER_INITIAL_PASSWORD</x:v>
      </x:c>
    </x:row>
    <x:row r="26">
      <x:c r="A26" t="str">
        <x:v>prof024@blenkir.edu.pe</x:v>
      </x:c>
      <x:c r="B26" t="str">
        <x:v>docente</x:v>
      </x:c>
      <x:c r="C26" t="str">
        <x:v>Gael</x:v>
      </x:c>
      <x:c r="D26" t="str">
        <x:v>Espinoza Gonzales</x:v>
      </x:c>
      <x:c r="E26" t="str">
        <x:v>85592685</x:v>
      </x:c>
      <x:c r="F26" t="str">
        <x:v>949645262</x:v>
      </x:c>
      <x:c r="G26" s="24" t="b">
        <x:v>1</x:v>
      </x:c>
      <x:c r="H26" t="str">
        <x:v>TEACHER_INITIAL_PASSWORD</x:v>
      </x:c>
    </x:row>
    <x:row r="27">
      <x:c r="A27" t="str">
        <x:v>est0001@alumnos.blenkir.edu.pe</x:v>
      </x:c>
      <x:c r="B27" t="str">
        <x:v>estudiante</x:v>
      </x:c>
      <x:c r="C27" t="str">
        <x:v>Gabriel</x:v>
      </x:c>
      <x:c r="D27" t="str">
        <x:v>Córdova Navarro</x:v>
      </x:c>
      <x:c r="E27" t="str">
        <x:v>87996536</x:v>
      </x:c>
      <x:c r="F27" t="str">
        <x:v>929780168</x:v>
      </x:c>
      <x:c r="G27" s="24" t="b">
        <x:v>1</x:v>
      </x:c>
      <x:c r="H27" t="str">
        <x:v>STUDENT_INITIAL_PASSWORD</x:v>
      </x:c>
    </x:row>
    <x:row r="28">
      <x:c r="A28" t="str">
        <x:v>est0002@alumnos.blenkir.edu.pe</x:v>
      </x:c>
      <x:c r="B28" t="str">
        <x:v>estudiante</x:v>
      </x:c>
      <x:c r="C28" t="str">
        <x:v>Jorge</x:v>
      </x:c>
      <x:c r="D28" t="str">
        <x:v>López Velásquez</x:v>
      </x:c>
      <x:c r="E28" t="str">
        <x:v>89392228</x:v>
      </x:c>
      <x:c r="F28" t="str">
        <x:v>924544413</x:v>
      </x:c>
      <x:c r="G28" s="24" t="b">
        <x:v>1</x:v>
      </x:c>
      <x:c r="H28" t="str">
        <x:v>STUDENT_INITIAL_PASSWORD</x:v>
      </x:c>
    </x:row>
    <x:row r="29">
      <x:c r="A29" t="str">
        <x:v>est0003@alumnos.blenkir.edu.pe</x:v>
      </x:c>
      <x:c r="B29" t="str">
        <x:v>estudiante</x:v>
      </x:c>
      <x:c r="C29" t="str">
        <x:v>Miguel</x:v>
      </x:c>
      <x:c r="D29" t="str">
        <x:v>Rojas Córdova</x:v>
      </x:c>
      <x:c r="E29" t="str">
        <x:v>87092022</x:v>
      </x:c>
      <x:c r="F29" t="str">
        <x:v>957873689</x:v>
      </x:c>
      <x:c r="G29" s="24" t="b">
        <x:v>1</x:v>
      </x:c>
      <x:c r="H29" t="str">
        <x:v>STUDENT_INITIAL_PASSWORD</x:v>
      </x:c>
    </x:row>
    <x:row r="30">
      <x:c r="A30" t="str">
        <x:v>est0004@alumnos.blenkir.edu.pe</x:v>
      </x:c>
      <x:c r="B30" t="str">
        <x:v>estudiante</x:v>
      </x:c>
      <x:c r="C30" t="str">
        <x:v>Sergio</x:v>
      </x:c>
      <x:c r="D30" t="str">
        <x:v>Velásquez Paredes</x:v>
      </x:c>
      <x:c r="E30" t="str">
        <x:v>74209186</x:v>
      </x:c>
      <x:c r="F30" t="str">
        <x:v>923666943</x:v>
      </x:c>
      <x:c r="G30" s="24" t="b">
        <x:v>1</x:v>
      </x:c>
      <x:c r="H30" t="str">
        <x:v>STUDENT_INITIAL_PASSWORD</x:v>
      </x:c>
    </x:row>
    <x:row r="31">
      <x:c r="A31" t="str">
        <x:v>est0005@alumnos.blenkir.edu.pe</x:v>
      </x:c>
      <x:c r="B31" t="str">
        <x:v>estudiante</x:v>
      </x:c>
      <x:c r="C31" t="str">
        <x:v>Elena</x:v>
      </x:c>
      <x:c r="D31" t="str">
        <x:v>Carrasco Yupanqui</x:v>
      </x:c>
      <x:c r="E31" t="str">
        <x:v>71173693</x:v>
      </x:c>
      <x:c r="F31" t="str">
        <x:v>916538683</x:v>
      </x:c>
      <x:c r="G31" s="24" t="b">
        <x:v>1</x:v>
      </x:c>
      <x:c r="H31" t="str">
        <x:v>STUDENT_INITIAL_PASSWORD</x:v>
      </x:c>
    </x:row>
    <x:row r="32">
      <x:c r="A32" t="str">
        <x:v>est0006@alumnos.blenkir.edu.pe</x:v>
      </x:c>
      <x:c r="B32" t="str">
        <x:v>estudiante</x:v>
      </x:c>
      <x:c r="C32" t="str">
        <x:v>Mariana</x:v>
      </x:c>
      <x:c r="D32" t="str">
        <x:v>García Dávila</x:v>
      </x:c>
      <x:c r="E32" t="str">
        <x:v>89958782</x:v>
      </x:c>
      <x:c r="F32" t="str">
        <x:v>990984951</x:v>
      </x:c>
      <x:c r="G32" s="24" t="b">
        <x:v>1</x:v>
      </x:c>
      <x:c r="H32" t="str">
        <x:v>STUDENT_INITIAL_PASSWORD</x:v>
      </x:c>
    </x:row>
    <x:row r="33">
      <x:c r="A33" t="str">
        <x:v>est0007@alumnos.blenkir.edu.pe</x:v>
      </x:c>
      <x:c r="B33" t="str">
        <x:v>estudiante</x:v>
      </x:c>
      <x:c r="C33" t="str">
        <x:v>Sofía</x:v>
      </x:c>
      <x:c r="D33" t="str">
        <x:v>Navarro Pérez</x:v>
      </x:c>
      <x:c r="E33" t="str">
        <x:v>84557576</x:v>
      </x:c>
      <x:c r="F33" t="str">
        <x:v>931469473</x:v>
      </x:c>
      <x:c r="G33" s="24" t="b">
        <x:v>1</x:v>
      </x:c>
      <x:c r="H33" t="str">
        <x:v>STUDENT_INITIAL_PASSWORD</x:v>
      </x:c>
    </x:row>
    <x:row r="34">
      <x:c r="A34" t="str">
        <x:v>est0008@alumnos.blenkir.edu.pe</x:v>
      </x:c>
      <x:c r="B34" t="str">
        <x:v>estudiante</x:v>
      </x:c>
      <x:c r="C34" t="str">
        <x:v>Alejandro</x:v>
      </x:c>
      <x:c r="D34" t="str">
        <x:v>Soto Zúñiga</x:v>
      </x:c>
      <x:c r="E34" t="str">
        <x:v>71889380</x:v>
      </x:c>
      <x:c r="F34" t="str">
        <x:v>932729994</x:v>
      </x:c>
      <x:c r="G34" s="24" t="b">
        <x:v>1</x:v>
      </x:c>
      <x:c r="H34" t="str">
        <x:v>STUDENT_INITIAL_PASSWORD</x:v>
      </x:c>
    </x:row>
    <x:row r="35">
      <x:c r="A35" t="str">
        <x:v>est0009@alumnos.blenkir.edu.pe</x:v>
      </x:c>
      <x:c r="B35" t="str">
        <x:v>estudiante</x:v>
      </x:c>
      <x:c r="C35" t="str">
        <x:v>Diego</x:v>
      </x:c>
      <x:c r="D35" t="str">
        <x:v>Alvarado De la Cruz</x:v>
      </x:c>
      <x:c r="E35" t="str">
        <x:v>78921778</x:v>
      </x:c>
      <x:c r="F35" t="str">
        <x:v>975495689</x:v>
      </x:c>
      <x:c r="G35" s="24" t="b">
        <x:v>1</x:v>
      </x:c>
      <x:c r="H35" t="str">
        <x:v>STUDENT_INITIAL_PASSWORD</x:v>
      </x:c>
    </x:row>
    <x:row r="36">
      <x:c r="A36" t="str">
        <x:v>est0010@alumnos.blenkir.edu.pe</x:v>
      </x:c>
      <x:c r="B36" t="str">
        <x:v>estudiante</x:v>
      </x:c>
      <x:c r="C36" t="str">
        <x:v>Héctor</x:v>
      </x:c>
      <x:c r="D36" t="str">
        <x:v>Contreras Quispe</x:v>
      </x:c>
      <x:c r="E36" t="str">
        <x:v>76310332</x:v>
      </x:c>
      <x:c r="F36" t="str">
        <x:v>965076181</x:v>
      </x:c>
      <x:c r="G36" s="24" t="b">
        <x:v>1</x:v>
      </x:c>
      <x:c r="H36" t="str">
        <x:v>STUDENT_INITIAL_PASSWORD</x:v>
      </x:c>
    </x:row>
    <x:row r="37">
      <x:c r="A37" t="str">
        <x:v>est0011@alumnos.blenkir.edu.pe</x:v>
      </x:c>
      <x:c r="B37" t="str">
        <x:v>estudiante</x:v>
      </x:c>
      <x:c r="C37" t="str">
        <x:v>Leonardo</x:v>
      </x:c>
      <x:c r="D37" t="str">
        <x:v>Huamán Aguilar</x:v>
      </x:c>
      <x:c r="E37" t="str">
        <x:v>89579434</x:v>
      </x:c>
      <x:c r="F37" t="str">
        <x:v>905596263</x:v>
      </x:c>
      <x:c r="G37" s="24" t="b">
        <x:v>1</x:v>
      </x:c>
      <x:c r="H37" t="str">
        <x:v>STUDENT_INITIAL_PASSWORD</x:v>
      </x:c>
    </x:row>
    <x:row r="38">
      <x:c r="A38" t="str">
        <x:v>est0012@alumnos.blenkir.edu.pe</x:v>
      </x:c>
      <x:c r="B38" t="str">
        <x:v>estudiante</x:v>
      </x:c>
      <x:c r="C38" t="str">
        <x:v>Rafael</x:v>
      </x:c>
      <x:c r="D38" t="str">
        <x:v>Ramos Espinoza</x:v>
      </x:c>
      <x:c r="E38" t="str">
        <x:v>84233700</x:v>
      </x:c>
      <x:c r="F38" t="str">
        <x:v>961177648</x:v>
      </x:c>
      <x:c r="G38" s="24" t="b">
        <x:v>1</x:v>
      </x:c>
      <x:c r="H38" t="str">
        <x:v>STUDENT_INITIAL_PASSWORD</x:v>
      </x:c>
    </x:row>
    <x:row r="39">
      <x:c r="A39" t="str">
        <x:v>est0013@alumnos.blenkir.edu.pe</x:v>
      </x:c>
      <x:c r="B39" t="str">
        <x:v>estudiante</x:v>
      </x:c>
      <x:c r="C39" t="str">
        <x:v>Ariana</x:v>
      </x:c>
      <x:c r="D39" t="str">
        <x:v>Vega Ramírez</x:v>
      </x:c>
      <x:c r="E39" t="str">
        <x:v>88775642</x:v>
      </x:c>
      <x:c r="F39" t="str">
        <x:v>944252569</x:v>
      </x:c>
      <x:c r="G39" s="24" t="b">
        <x:v>1</x:v>
      </x:c>
      <x:c r="H39" t="str">
        <x:v>STUDENT_INITIAL_PASSWORD</x:v>
      </x:c>
    </x:row>
    <x:row r="40">
      <x:c r="A40" t="str">
        <x:v>est0014@alumnos.blenkir.edu.pe</x:v>
      </x:c>
      <x:c r="B40" t="str">
        <x:v>estudiante</x:v>
      </x:c>
      <x:c r="C40" t="str">
        <x:v>Gabriela</x:v>
      </x:c>
      <x:c r="D40" t="str">
        <x:v>Campos Alarcón</x:v>
      </x:c>
      <x:c r="E40" t="str">
        <x:v>89112804</x:v>
      </x:c>
      <x:c r="F40" t="str">
        <x:v>933009210</x:v>
      </x:c>
      <x:c r="G40" s="24" t="b">
        <x:v>1</x:v>
      </x:c>
      <x:c r="H40" t="str">
        <x:v>STUDENT_INITIAL_PASSWORD</x:v>
      </x:c>
    </x:row>
    <x:row r="41">
      <x:c r="A41" t="str">
        <x:v>est0015@alumnos.blenkir.edu.pe</x:v>
      </x:c>
      <x:c r="B41" t="str">
        <x:v>estudiante</x:v>
      </x:c>
      <x:c r="C41" t="str">
        <x:v>Nicole</x:v>
      </x:c>
      <x:c r="D41" t="str">
        <x:v>Flores García</x:v>
      </x:c>
      <x:c r="E41" t="str">
        <x:v>89684751</x:v>
      </x:c>
      <x:c r="F41" t="str">
        <x:v>933459321</x:v>
      </x:c>
      <x:c r="G41" s="24" t="b">
        <x:v>1</x:v>
      </x:c>
      <x:c r="H41" t="str">
        <x:v>STUDENT_INITIAL_PASSWORD</x:v>
      </x:c>
    </x:row>
    <x:row r="42">
      <x:c r="A42" t="str">
        <x:v>est0016@alumnos.blenkir.edu.pe</x:v>
      </x:c>
      <x:c r="B42" t="str">
        <x:v>estudiante</x:v>
      </x:c>
      <x:c r="C42" t="str">
        <x:v>Ximena</x:v>
      </x:c>
      <x:c r="D42" t="str">
        <x:v>Morales Ramos</x:v>
      </x:c>
      <x:c r="E42" t="str">
        <x:v>86568559</x:v>
      </x:c>
      <x:c r="F42" t="str">
        <x:v>937120719</x:v>
      </x:c>
      <x:c r="G42" s="24" t="b">
        <x:v>1</x:v>
      </x:c>
      <x:c r="H42" t="str">
        <x:v>STUDENT_INITIAL_PASSWORD</x:v>
      </x:c>
    </x:row>
    <x:row r="43">
      <x:c r="A43" t="str">
        <x:v>est0017@alumnos.blenkir.edu.pe</x:v>
      </x:c>
      <x:c r="B43" t="str">
        <x:v>estudiante</x:v>
      </x:c>
      <x:c r="C43" t="str">
        <x:v>Carlos</x:v>
      </x:c>
      <x:c r="D43" t="str">
        <x:v>Silva Alvarado</x:v>
      </x:c>
      <x:c r="E43" t="str">
        <x:v>76844742</x:v>
      </x:c>
      <x:c r="F43" t="str">
        <x:v>903019242</x:v>
      </x:c>
      <x:c r="G43" s="24" t="b">
        <x:v>1</x:v>
      </x:c>
      <x:c r="H43" t="str">
        <x:v>STUDENT_INITIAL_PASSWORD</x:v>
      </x:c>
    </x:row>
    <x:row r="44">
      <x:c r="A44" t="str">
        <x:v>est0018@alumnos.blenkir.edu.pe</x:v>
      </x:c>
      <x:c r="B44" t="str">
        <x:v>estudiante</x:v>
      </x:c>
      <x:c r="C44" t="str">
        <x:v>Fernando</x:v>
      </x:c>
      <x:c r="D44" t="str">
        <x:v>Alarcón García</x:v>
      </x:c>
      <x:c r="E44" t="str">
        <x:v>76130011</x:v>
      </x:c>
      <x:c r="F44" t="str">
        <x:v>912786652</x:v>
      </x:c>
      <x:c r="G44" s="24" t="b">
        <x:v>1</x:v>
      </x:c>
      <x:c r="H44" t="str">
        <x:v>STUDENT_INITIAL_PASSWORD</x:v>
      </x:c>
    </x:row>
    <x:row r="45">
      <x:c r="A45" t="str">
        <x:v>est0019@alumnos.blenkir.edu.pe</x:v>
      </x:c>
      <x:c r="B45" t="str">
        <x:v>estudiante</x:v>
      </x:c>
      <x:c r="C45" t="str">
        <x:v>Joaquín</x:v>
      </x:c>
      <x:c r="D45" t="str">
        <x:v>Condori Rojas</x:v>
      </x:c>
      <x:c r="E45" t="str">
        <x:v>75717969</x:v>
      </x:c>
      <x:c r="F45" t="str">
        <x:v>969595332</x:v>
      </x:c>
      <x:c r="G45" s="24" t="b">
        <x:v>1</x:v>
      </x:c>
      <x:c r="H45" t="str">
        <x:v>STUDENT_INITIAL_PASSWORD</x:v>
      </x:c>
    </x:row>
    <x:row r="46">
      <x:c r="A46" t="str">
        <x:v>est0020@alumnos.blenkir.edu.pe</x:v>
      </x:c>
      <x:c r="B46" t="str">
        <x:v>estudiante</x:v>
      </x:c>
      <x:c r="C46" t="str">
        <x:v>Matías</x:v>
      </x:c>
      <x:c r="D46" t="str">
        <x:v>Gutiérrez Arias</x:v>
      </x:c>
      <x:c r="E46" t="str">
        <x:v>72088071</x:v>
      </x:c>
      <x:c r="F46" t="str">
        <x:v>905958224</x:v>
      </x:c>
      <x:c r="G46" s="24" t="b">
        <x:v>1</x:v>
      </x:c>
      <x:c r="H46" t="str">
        <x:v>STUDENT_INITIAL_PASSWORD</x:v>
      </x:c>
    </x:row>
    <x:row r="47">
      <x:c r="A47" t="str">
        <x:v>est0021@alumnos.blenkir.edu.pe</x:v>
      </x:c>
      <x:c r="B47" t="str">
        <x:v>estudiante</x:v>
      </x:c>
      <x:c r="C47" t="str">
        <x:v>Sebastián</x:v>
      </x:c>
      <x:c r="D47" t="str">
        <x:v>Ramírez Gómez</x:v>
      </x:c>
      <x:c r="E47" t="str">
        <x:v>74632994</x:v>
      </x:c>
      <x:c r="F47" t="str">
        <x:v>916706109</x:v>
      </x:c>
      <x:c r="G47" s="24" t="b">
        <x:v>1</x:v>
      </x:c>
      <x:c r="H47" t="str">
        <x:v>STUDENT_INITIAL_PASSWORD</x:v>
      </x:c>
    </x:row>
    <x:row r="48">
      <x:c r="A48" t="str">
        <x:v>est0022@alumnos.blenkir.edu.pe</x:v>
      </x:c>
      <x:c r="B48" t="str">
        <x:v>estudiante</x:v>
      </x:c>
      <x:c r="C48" t="str">
        <x:v>Daniela</x:v>
      </x:c>
      <x:c r="D48" t="str">
        <x:v>Vásquez Romero</x:v>
      </x:c>
      <x:c r="E48" t="str">
        <x:v>87797529</x:v>
      </x:c>
      <x:c r="F48" t="str">
        <x:v>935249537</x:v>
      </x:c>
      <x:c r="G48" s="24" t="b">
        <x:v>1</x:v>
      </x:c>
      <x:c r="H48" t="str">
        <x:v>STUDENT_INITIAL_PASSWORD</x:v>
      </x:c>
    </x:row>
    <x:row r="49">
      <x:c r="A49" t="str">
        <x:v>est0023@alumnos.blenkir.edu.pe</x:v>
      </x:c>
      <x:c r="B49" t="str">
        <x:v>estudiante</x:v>
      </x:c>
      <x:c r="C49" t="str">
        <x:v>Luciana</x:v>
      </x:c>
      <x:c r="D49" t="str">
        <x:v>Cáceres Bendezú</x:v>
      </x:c>
      <x:c r="E49" t="str">
        <x:v>80963262</x:v>
      </x:c>
      <x:c r="F49" t="str">
        <x:v>954814033</x:v>
      </x:c>
      <x:c r="G49" s="24" t="b">
        <x:v>1</x:v>
      </x:c>
      <x:c r="H49" t="str">
        <x:v>STUDENT_INITIAL_PASSWORD</x:v>
      </x:c>
    </x:row>
    <x:row r="50">
      <x:c r="A50" t="str">
        <x:v>est0024@alumnos.blenkir.edu.pe</x:v>
      </x:c>
      <x:c r="B50" t="str">
        <x:v>estudiante</x:v>
      </x:c>
      <x:c r="C50" t="str">
        <x:v>Romina</x:v>
      </x:c>
      <x:c r="D50" t="str">
        <x:v>Espinoza Gonzales</x:v>
      </x:c>
      <x:c r="E50" t="str">
        <x:v>83295267</x:v>
      </x:c>
      <x:c r="F50" t="str">
        <x:v>950768029</x:v>
      </x:c>
      <x:c r="G50" s="24" t="b">
        <x:v>1</x:v>
      </x:c>
      <x:c r="H50" t="str">
        <x:v>STUDENT_INITIAL_PASSWORD</x:v>
      </x:c>
    </x:row>
    <x:row r="51">
      <x:c r="A51" t="str">
        <x:v>est0025@alumnos.blenkir.edu.pe</x:v>
      </x:c>
      <x:c r="B51" t="str">
        <x:v>estudiante</x:v>
      </x:c>
      <x:c r="C51" t="str">
        <x:v>Adrián</x:v>
      </x:c>
      <x:c r="D51" t="str">
        <x:v>Mendoza Salazar</x:v>
      </x:c>
      <x:c r="E51" t="str">
        <x:v>82841512</x:v>
      </x:c>
      <x:c r="F51" t="str">
        <x:v>964656896</x:v>
      </x:c>
      <x:c r="G51" s="24" t="b">
        <x:v>1</x:v>
      </x:c>
      <x:c r="H51" t="str">
        <x:v>STUDENT_INITIAL_PASSWORD</x:v>
      </x:c>
    </x:row>
    <x:row r="52">
      <x:c r="A52" t="str">
        <x:v>est0026@alumnos.blenkir.edu.pe</x:v>
      </x:c>
      <x:c r="B52" t="str">
        <x:v>estudiante</x:v>
      </x:c>
      <x:c r="C52" t="str">
        <x:v>David</x:v>
      </x:c>
      <x:c r="D52" t="str">
        <x:v>Sánchez Cabrera</x:v>
      </x:c>
      <x:c r="E52" t="str">
        <x:v>71527282</x:v>
      </x:c>
      <x:c r="F52" t="str">
        <x:v>994830011</x:v>
      </x:c>
      <x:c r="G52" s="24" t="b">
        <x:v>1</x:v>
      </x:c>
      <x:c r="H52" t="str">
        <x:v>STUDENT_INITIAL_PASSWORD</x:v>
      </x:c>
    </x:row>
    <x:row r="53">
      <x:c r="A53" t="str">
        <x:v>est0027@alumnos.blenkir.edu.pe</x:v>
      </x:c>
      <x:c r="B53" t="str">
        <x:v>estudiante</x:v>
      </x:c>
      <x:c r="C53" t="str">
        <x:v>Gonzalo</x:v>
      </x:c>
      <x:c r="D53" t="str">
        <x:v>Aguilar Guerrero</x:v>
      </x:c>
      <x:c r="E53" t="str">
        <x:v>76472364</x:v>
      </x:c>
      <x:c r="F53" t="str">
        <x:v>921777687</x:v>
      </x:c>
      <x:c r="G53" s="24" t="b">
        <x:v>1</x:v>
      </x:c>
      <x:c r="H53" t="str">
        <x:v>STUDENT_INITIAL_PASSWORD</x:v>
      </x:c>
    </x:row>
    <x:row r="54">
      <x:c r="A54" t="str">
        <x:v>est0028@alumnos.blenkir.edu.pe</x:v>
      </x:c>
      <x:c r="B54" t="str">
        <x:v>estudiante</x:v>
      </x:c>
      <x:c r="C54" t="str">
        <x:v>Juan</x:v>
      </x:c>
      <x:c r="D54" t="str">
        <x:v>Chávez Sánchez</x:v>
      </x:c>
      <x:c r="E54" t="str">
        <x:v>76510610</x:v>
      </x:c>
      <x:c r="F54" t="str">
        <x:v>945905482</x:v>
      </x:c>
      <x:c r="G54" s="24" t="b">
        <x:v>1</x:v>
      </x:c>
      <x:c r="H54" t="str">
        <x:v>STUDENT_INITIAL_PASSWORD</x:v>
      </x:c>
    </x:row>
    <x:row r="55">
      <x:c r="A55" t="str">
        <x:v>est0029@alumnos.blenkir.edu.pe</x:v>
      </x:c>
      <x:c r="B55" t="str">
        <x:v>estudiante</x:v>
      </x:c>
      <x:c r="C55" t="str">
        <x:v>Pablo</x:v>
      </x:c>
      <x:c r="D55" t="str">
        <x:v>Guerrero Cáceres</x:v>
      </x:c>
      <x:c r="E55" t="str">
        <x:v>71370872</x:v>
      </x:c>
      <x:c r="F55" t="str">
        <x:v>977677253</x:v>
      </x:c>
      <x:c r="G55" s="24" t="b">
        <x:v>1</x:v>
      </x:c>
      <x:c r="H55" t="str">
        <x:v>STUDENT_INITIAL_PASSWORD</x:v>
      </x:c>
    </x:row>
    <x:row r="56">
      <x:c r="A56" t="str">
        <x:v>est0030@alumnos.blenkir.edu.pe</x:v>
      </x:c>
      <x:c r="B56" t="str">
        <x:v>estudiante</x:v>
      </x:c>
      <x:c r="C56" t="str">
        <x:v>Víctor</x:v>
      </x:c>
      <x:c r="D56" t="str">
        <x:v>Quispe Gutiérrez</x:v>
      </x:c>
      <x:c r="E56" t="str">
        <x:v>84893642</x:v>
      </x:c>
      <x:c r="F56" t="str">
        <x:v>905967958</x:v>
      </x:c>
      <x:c r="G56" s="24" t="b">
        <x:v>1</x:v>
      </x:c>
      <x:c r="H56" t="str">
        <x:v>STUDENT_INITIAL_PASSWORD</x:v>
      </x:c>
    </x:row>
    <x:row r="57">
      <x:c r="A57" t="str">
        <x:v>est0031@alumnos.blenkir.edu.pe</x:v>
      </x:c>
      <x:c r="B57" t="str">
        <x:v>estudiante</x:v>
      </x:c>
      <x:c r="C57" t="str">
        <x:v>Fernanda</x:v>
      </x:c>
      <x:c r="D57" t="str">
        <x:v>Vargas Silva</x:v>
      </x:c>
      <x:c r="E57" t="str">
        <x:v>74132239</x:v>
      </x:c>
      <x:c r="F57" t="str">
        <x:v>926760548</x:v>
      </x:c>
      <x:c r="G57" s="24" t="b">
        <x:v>1</x:v>
      </x:c>
      <x:c r="H57" t="str">
        <x:v>STUDENT_INITIAL_PASSWORD</x:v>
      </x:c>
    </x:row>
    <x:row r="58">
      <x:c r="A58" t="str">
        <x:v>est0032@alumnos.blenkir.edu.pe</x:v>
      </x:c>
      <x:c r="B58" t="str">
        <x:v>estudiante</x:v>
      </x:c>
      <x:c r="C58" t="str">
        <x:v>Natalia</x:v>
      </x:c>
      <x:c r="D58" t="str">
        <x:v>Cabrera Campos</x:v>
      </x:c>
      <x:c r="E58" t="str">
        <x:v>86366569</x:v>
      </x:c>
      <x:c r="F58" t="str">
        <x:v>949585667</x:v>
      </x:c>
      <x:c r="G58" s="24" t="b">
        <x:v>1</x:v>
      </x:c>
      <x:c r="H58" t="str">
        <x:v>STUDENT_INITIAL_PASSWORD</x:v>
      </x:c>
    </x:row>
    <x:row r="59">
      <x:c r="A59" t="str">
        <x:v>est0033@alumnos.blenkir.edu.pe</x:v>
      </x:c>
      <x:c r="B59" t="str">
        <x:v>estudiante</x:v>
      </x:c>
      <x:c r="C59" t="str">
        <x:v>Victoria</x:v>
      </x:c>
      <x:c r="D59" t="str">
        <x:v>De la Cruz Huamán</x:v>
      </x:c>
      <x:c r="E59" t="str">
        <x:v>71529017</x:v>
      </x:c>
      <x:c r="F59" t="str">
        <x:v>961812076</x:v>
      </x:c>
      <x:c r="G59" s="24" t="b">
        <x:v>1</x:v>
      </x:c>
      <x:c r="H59" t="str">
        <x:v>STUDENT_INITIAL_PASSWORD</x:v>
      </x:c>
    </x:row>
    <x:row r="60">
      <x:c r="A60" t="str">
        <x:v>est0034@alumnos.blenkir.edu.pe</x:v>
      </x:c>
      <x:c r="B60" t="str">
        <x:v>estudiante</x:v>
      </x:c>
      <x:c r="C60" t="str">
        <x:v>Bruno</x:v>
      </x:c>
      <x:c r="D60" t="str">
        <x:v>Medina Soto</x:v>
      </x:c>
      <x:c r="E60" t="str">
        <x:v>85846699</x:v>
      </x:c>
      <x:c r="F60" t="str">
        <x:v>972984563</x:v>
      </x:c>
      <x:c r="G60" s="24" t="b">
        <x:v>1</x:v>
      </x:c>
      <x:c r="H60" t="str">
        <x:v>STUDENT_INITIAL_PASSWORD</x:v>
      </x:c>
    </x:row>
    <x:row r="61">
      <x:c r="A61" t="str">
        <x:v>est0035@alumnos.blenkir.edu.pe</x:v>
      </x:c>
      <x:c r="B61" t="str">
        <x:v>estudiante</x:v>
      </x:c>
      <x:c r="C61" t="str">
        <x:v>Emilio</x:v>
      </x:c>
      <x:c r="D61" t="str">
        <x:v>Salazar Carrasco</x:v>
      </x:c>
      <x:c r="E61" t="str">
        <x:v>79607373</x:v>
      </x:c>
      <x:c r="F61" t="str">
        <x:v>912681647</x:v>
      </x:c>
      <x:c r="G61" s="24" t="b">
        <x:v>1</x:v>
      </x:c>
      <x:c r="H61" t="str">
        <x:v>STUDENT_INITIAL_PASSWORD</x:v>
      </x:c>
    </x:row>
    <x:row r="62">
      <x:c r="A62" t="str">
        <x:v>est0036@alumnos.blenkir.edu.pe</x:v>
      </x:c>
      <x:c r="B62" t="str">
        <x:v>estudiante</x:v>
      </x:c>
      <x:c r="C62" t="str">
        <x:v>Javier</x:v>
      </x:c>
      <x:c r="D62" t="str">
        <x:v>Zúñiga López</x:v>
      </x:c>
      <x:c r="E62" t="str">
        <x:v>76318178</x:v>
      </x:c>
      <x:c r="F62" t="str">
        <x:v>957991437</x:v>
      </x:c>
      <x:c r="G62" s="24" t="b">
        <x:v>1</x:v>
      </x:c>
      <x:c r="H62" t="str">
        <x:v>STUDENT_INITIAL_PASSWORD</x:v>
      </x:c>
    </x:row>
    <x:row r="63">
      <x:c r="A63" t="str">
        <x:v>est0037@alumnos.blenkir.edu.pe</x:v>
      </x:c>
      <x:c r="B63" t="str">
        <x:v>estudiante</x:v>
      </x:c>
      <x:c r="C63" t="str">
        <x:v>Mateo</x:v>
      </x:c>
      <x:c r="D63" t="str">
        <x:v>Castro Torres</x:v>
      </x:c>
      <x:c r="E63" t="str">
        <x:v>83794632</x:v>
      </x:c>
      <x:c r="F63" t="str">
        <x:v>930798433</x:v>
      </x:c>
      <x:c r="G63" s="24" t="b">
        <x:v>1</x:v>
      </x:c>
      <x:c r="H63" t="str">
        <x:v>STUDENT_INITIAL_PASSWORD</x:v>
      </x:c>
    </x:row>
    <x:row r="64">
      <x:c r="A64" t="str">
        <x:v>est0038@alumnos.blenkir.edu.pe</x:v>
      </x:c>
      <x:c r="B64" t="str">
        <x:v>estudiante</x:v>
      </x:c>
      <x:c r="C64" t="str">
        <x:v>Rodrigo</x:v>
      </x:c>
      <x:c r="D64" t="str">
        <x:v>Gonzales Castillo</x:v>
      </x:c>
      <x:c r="E64" t="str">
        <x:v>74484947</x:v>
      </x:c>
      <x:c r="F64" t="str">
        <x:v>966334562</x:v>
      </x:c>
      <x:c r="G64" s="24" t="b">
        <x:v>1</x:v>
      </x:c>
      <x:c r="H64" t="str">
        <x:v>STUDENT_INITIAL_PASSWORD</x:v>
      </x:c>
    </x:row>
    <x:row r="65">
      <x:c r="A65" t="str">
        <x:v>est0039@alumnos.blenkir.edu.pe</x:v>
      </x:c>
      <x:c r="B65" t="str">
        <x:v>estudiante</x:v>
      </x:c>
      <x:c r="C65" t="str">
        <x:v>Carla</x:v>
      </x:c>
      <x:c r="D65" t="str">
        <x:v>Pérez Mamani</x:v>
      </x:c>
      <x:c r="E65" t="str">
        <x:v>71301928</x:v>
      </x:c>
      <x:c r="F65" t="str">
        <x:v>942119122</x:v>
      </x:c>
      <x:c r="G65" s="24" t="b">
        <x:v>1</x:v>
      </x:c>
      <x:c r="H65" t="str">
        <x:v>STUDENT_INITIAL_PASSWORD</x:v>
      </x:c>
    </x:row>
    <x:row r="66">
      <x:c r="A66" t="str">
        <x:v>est0040@alumnos.blenkir.edu.pe</x:v>
      </x:c>
      <x:c r="B66" t="str">
        <x:v>estudiante</x:v>
      </x:c>
      <x:c r="C66" t="str">
        <x:v>Jimena</x:v>
      </x:c>
      <x:c r="D66" t="str">
        <x:v>Valdivia Vargas</x:v>
      </x:c>
      <x:c r="E66" t="str">
        <x:v>76194721</x:v>
      </x:c>
      <x:c r="F66" t="str">
        <x:v>922471349</x:v>
      </x:c>
      <x:c r="G66" s="24" t="b">
        <x:v>1</x:v>
      </x:c>
      <x:c r="H66" t="str">
        <x:v>STUDENT_INITIAL_PASSWORD</x:v>
      </x:c>
    </x:row>
    <x:row r="67">
      <x:c r="A67" t="str">
        <x:v>est0041@alumnos.blenkir.edu.pe</x:v>
      </x:c>
      <x:c r="B67" t="str">
        <x:v>estudiante</x:v>
      </x:c>
      <x:c r="C67" t="str">
        <x:v>Renata</x:v>
      </x:c>
      <x:c r="D67" t="str">
        <x:v>Bendezú Castro</x:v>
      </x:c>
      <x:c r="E67" t="str">
        <x:v>80687714</x:v>
      </x:c>
      <x:c r="F67" t="str">
        <x:v>987356170</x:v>
      </x:c>
      <x:c r="G67" s="24" t="b">
        <x:v>1</x:v>
      </x:c>
      <x:c r="H67" t="str">
        <x:v>STUDENT_INITIAL_PASSWORD</x:v>
      </x:c>
    </x:row>
    <x:row r="68">
      <x:c r="A68" t="str">
        <x:v>est0042@alumnos.blenkir.edu.pe</x:v>
      </x:c>
      <x:c r="B68" t="str">
        <x:v>estudiante</x:v>
      </x:c>
      <x:c r="C68" t="str">
        <x:v>Alejandra</x:v>
      </x:c>
      <x:c r="D68" t="str">
        <x:v>Dávila Medina</x:v>
      </x:c>
      <x:c r="E68" t="str">
        <x:v>82822879</x:v>
      </x:c>
      <x:c r="F68" t="str">
        <x:v>961888639</x:v>
      </x:c>
      <x:c r="G68" s="24" t="b">
        <x:v>1</x:v>
      </x:c>
      <x:c r="H68" t="str">
        <x:v>STUDENT_INITIAL_PASSWORD</x:v>
      </x:c>
    </x:row>
    <x:row r="69">
      <x:c r="A69" t="str">
        <x:v>est0043@alumnos.blenkir.edu.pe</x:v>
      </x:c>
      <x:c r="B69" t="str">
        <x:v>estudiante</x:v>
      </x:c>
      <x:c r="C69" t="str">
        <x:v>Daniel</x:v>
      </x:c>
      <x:c r="D69" t="str">
        <x:v>Mamani Vargas</x:v>
      </x:c>
      <x:c r="E69" t="str">
        <x:v>70276300</x:v>
      </x:c>
      <x:c r="F69" t="str">
        <x:v>989541720</x:v>
      </x:c>
      <x:c r="G69" s="24" t="b">
        <x:v>1</x:v>
      </x:c>
      <x:c r="H69" t="str">
        <x:v>STUDENT_INITIAL_PASSWORD</x:v>
      </x:c>
    </x:row>
    <x:row r="70">
      <x:c r="A70" t="str">
        <x:v>est0044@alumnos.blenkir.edu.pe</x:v>
      </x:c>
      <x:c r="B70" t="str">
        <x:v>estudiante</x:v>
      </x:c>
      <x:c r="C70" t="str">
        <x:v>Gael</x:v>
      </x:c>
      <x:c r="D70" t="str">
        <x:v>Romero Chávez</x:v>
      </x:c>
      <x:c r="E70" t="str">
        <x:v>70100617</x:v>
      </x:c>
      <x:c r="F70" t="str">
        <x:v>982960272</x:v>
      </x:c>
      <x:c r="G70" s="24" t="b">
        <x:v>1</x:v>
      </x:c>
      <x:c r="H70" t="str">
        <x:v>STUDENT_INITIAL_PASSWORD</x:v>
      </x:c>
    </x:row>
    <x:row r="71">
      <x:c r="A71" t="str">
        <x:v>est0045@alumnos.blenkir.edu.pe</x:v>
      </x:c>
      <x:c r="B71" t="str">
        <x:v>estudiante</x:v>
      </x:c>
      <x:c r="C71" t="str">
        <x:v>José</x:v>
      </x:c>
      <x:c r="D71" t="str">
        <x:v>Yupanqui Mendoza</x:v>
      </x:c>
      <x:c r="E71" t="str">
        <x:v>74232747</x:v>
      </x:c>
      <x:c r="F71" t="str">
        <x:v>917963810</x:v>
      </x:c>
      <x:c r="G71" s="24" t="b">
        <x:v>1</x:v>
      </x:c>
      <x:c r="H71" t="str">
        <x:v>STUDENT_INITIAL_PASSWORD</x:v>
      </x:c>
    </x:row>
    <x:row r="72">
      <x:c r="A72" t="str">
        <x:v>est0046@alumnos.blenkir.edu.pe</x:v>
      </x:c>
      <x:c r="B72" t="str">
        <x:v>estudiante</x:v>
      </x:c>
      <x:c r="C72" t="str">
        <x:v>Nicolás</x:v>
      </x:c>
      <x:c r="D72" t="str">
        <x:v>Castillo Vásquez</x:v>
      </x:c>
      <x:c r="E72" t="str">
        <x:v>85216117</x:v>
      </x:c>
      <x:c r="F72" t="str">
        <x:v>965786280</x:v>
      </x:c>
      <x:c r="G72" s="24" t="b">
        <x:v>1</x:v>
      </x:c>
      <x:c r="H72" t="str">
        <x:v>STUDENT_INITIAL_PASSWORD</x:v>
      </x:c>
    </x:row>
    <x:row r="73">
      <x:c r="A73" t="str">
        <x:v>est0047@alumnos.blenkir.edu.pe</x:v>
      </x:c>
      <x:c r="B73" t="str">
        <x:v>estudiante</x:v>
      </x:c>
      <x:c r="C73" t="str">
        <x:v>Thiago</x:v>
      </x:c>
      <x:c r="D73" t="str">
        <x:v>Gómez Condori</x:v>
      </x:c>
      <x:c r="E73" t="str">
        <x:v>88020263</x:v>
      </x:c>
      <x:c r="F73" t="str">
        <x:v>929056021</x:v>
      </x:c>
      <x:c r="G73" s="24" t="b">
        <x:v>1</x:v>
      </x:c>
      <x:c r="H73" t="str">
        <x:v>STUDENT_INITIAL_PASSWORD</x:v>
      </x:c>
    </x:row>
    <x:row r="74">
      <x:c r="A74" t="str">
        <x:v>est0048@alumnos.blenkir.edu.pe</x:v>
      </x:c>
      <x:c r="B74" t="str">
        <x:v>estudiante</x:v>
      </x:c>
      <x:c r="C74" t="str">
        <x:v>Fabiana</x:v>
      </x:c>
      <x:c r="D74" t="str">
        <x:v>Paredes Morales</x:v>
      </x:c>
      <x:c r="E74" t="str">
        <x:v>77795580</x:v>
      </x:c>
      <x:c r="F74" t="str">
        <x:v>903024991</x:v>
      </x:c>
      <x:c r="G74" s="24" t="b">
        <x:v>1</x:v>
      </x:c>
      <x:c r="H74" t="str">
        <x:v>STUDENT_INITIAL_PASSWORD</x:v>
      </x:c>
    </x:row>
    <x:row r="75">
      <x:c r="A75" t="str">
        <x:v>est0049@alumnos.blenkir.edu.pe</x:v>
      </x:c>
      <x:c r="B75" t="str">
        <x:v>estudiante</x:v>
      </x:c>
      <x:c r="C75" t="str">
        <x:v>Mía</x:v>
      </x:c>
      <x:c r="D75" t="str">
        <x:v>Torres Vega</x:v>
      </x:c>
      <x:c r="E75" t="str">
        <x:v>75295672</x:v>
      </x:c>
      <x:c r="F75" t="str">
        <x:v>961023824</x:v>
      </x:c>
      <x:c r="G75" s="24" t="b">
        <x:v>1</x:v>
      </x:c>
      <x:c r="H75" t="str">
        <x:v>STUDENT_INITIAL_PASSWORD</x:v>
      </x:c>
    </x:row>
    <x:row r="76">
      <x:c r="A76" t="str">
        <x:v>est0050@alumnos.blenkir.edu.pe</x:v>
      </x:c>
      <x:c r="B76" t="str">
        <x:v>estudiante</x:v>
      </x:c>
      <x:c r="C76" t="str">
        <x:v>Valentina</x:v>
      </x:c>
      <x:c r="D76" t="str">
        <x:v>Arias Contreras</x:v>
      </x:c>
      <x:c r="E76" t="str">
        <x:v>82979940</x:v>
      </x:c>
      <x:c r="F76" t="str">
        <x:v>964839115</x:v>
      </x:c>
      <x:c r="G76" s="24" t="b">
        <x:v>1</x:v>
      </x:c>
      <x:c r="H76" t="str">
        <x:v>STUDENT_INITIAL_PASSWORD</x:v>
      </x:c>
    </x:row>
    <x:row r="77">
      <x:c r="A77" t="str">
        <x:v>est0051@alumnos.blenkir.edu.pe</x:v>
      </x:c>
      <x:c r="B77" t="str">
        <x:v>estudiante</x:v>
      </x:c>
      <x:c r="C77" t="str">
        <x:v>Andrés</x:v>
      </x:c>
      <x:c r="D77" t="str">
        <x:v>Córdova Navarro</x:v>
      </x:c>
      <x:c r="E77" t="str">
        <x:v>74549987</x:v>
      </x:c>
      <x:c r="F77" t="str">
        <x:v>960828211</x:v>
      </x:c>
      <x:c r="G77" s="24" t="b">
        <x:v>1</x:v>
      </x:c>
      <x:c r="H77" t="str">
        <x:v>STUDENT_INITIAL_PASSWORD</x:v>
      </x:c>
    </x:row>
    <x:row r="78">
      <x:c r="A78" t="str">
        <x:v>est0052@alumnos.blenkir.edu.pe</x:v>
      </x:c>
      <x:c r="B78" t="str">
        <x:v>estudiante</x:v>
      </x:c>
      <x:c r="C78" t="str">
        <x:v>Eduardo</x:v>
      </x:c>
      <x:c r="D78" t="str">
        <x:v>López Velásquez</x:v>
      </x:c>
      <x:c r="E78" t="str">
        <x:v>76088713</x:v>
      </x:c>
      <x:c r="F78" t="str">
        <x:v>938095021</x:v>
      </x:c>
      <x:c r="G78" s="24" t="b">
        <x:v>1</x:v>
      </x:c>
      <x:c r="H78" t="str">
        <x:v>STUDENT_INITIAL_PASSWORD</x:v>
      </x:c>
    </x:row>
    <x:row r="79">
      <x:c r="A79" t="str">
        <x:v>est0053@alumnos.blenkir.edu.pe</x:v>
      </x:c>
      <x:c r="B79" t="str">
        <x:v>estudiante</x:v>
      </x:c>
      <x:c r="C79" t="str">
        <x:v>Iván</x:v>
      </x:c>
      <x:c r="D79" t="str">
        <x:v>Rojas Córdova</x:v>
      </x:c>
      <x:c r="E79" t="str">
        <x:v>74045981</x:v>
      </x:c>
      <x:c r="F79" t="str">
        <x:v>956645303</x:v>
      </x:c>
      <x:c r="G79" s="24" t="b">
        <x:v>1</x:v>
      </x:c>
      <x:c r="H79" t="str">
        <x:v>STUDENT_INITIAL_PASSWORD</x:v>
      </x:c>
    </x:row>
    <x:row r="80">
      <x:c r="A80" t="str">
        <x:v>est0054@alumnos.blenkir.edu.pe</x:v>
      </x:c>
      <x:c r="B80" t="str">
        <x:v>estudiante</x:v>
      </x:c>
      <x:c r="C80" t="str">
        <x:v>Luis</x:v>
      </x:c>
      <x:c r="D80" t="str">
        <x:v>Velásquez Paredes</x:v>
      </x:c>
      <x:c r="E80" t="str">
        <x:v>81585389</x:v>
      </x:c>
      <x:c r="F80" t="str">
        <x:v>911197899</x:v>
      </x:c>
      <x:c r="G80" s="24" t="b">
        <x:v>1</x:v>
      </x:c>
      <x:c r="H80" t="str">
        <x:v>STUDENT_INITIAL_PASSWORD</x:v>
      </x:c>
    </x:row>
    <x:row r="81">
      <x:c r="A81" t="str">
        <x:v>est0055@alumnos.blenkir.edu.pe</x:v>
      </x:c>
      <x:c r="B81" t="str">
        <x:v>estudiante</x:v>
      </x:c>
      <x:c r="C81" t="str">
        <x:v>Renato</x:v>
      </x:c>
      <x:c r="D81" t="str">
        <x:v>Carrasco Yupanqui</x:v>
      </x:c>
      <x:c r="E81" t="str">
        <x:v>75298003</x:v>
      </x:c>
      <x:c r="F81" t="str">
        <x:v>964509191</x:v>
      </x:c>
      <x:c r="G81" s="24" t="b">
        <x:v>1</x:v>
      </x:c>
      <x:c r="H81" t="str">
        <x:v>STUDENT_INITIAL_PASSWORD</x:v>
      </x:c>
    </x:row>
    <x:row r="82">
      <x:c r="A82" t="str">
        <x:v>est0056@alumnos.blenkir.edu.pe</x:v>
      </x:c>
      <x:c r="B82" t="str">
        <x:v>estudiante</x:v>
      </x:c>
      <x:c r="C82" t="str">
        <x:v>Camila</x:v>
      </x:c>
      <x:c r="D82" t="str">
        <x:v>García Dávila</x:v>
      </x:c>
      <x:c r="E82" t="str">
        <x:v>87527838</x:v>
      </x:c>
      <x:c r="F82" t="str">
        <x:v>920108290</x:v>
      </x:c>
      <x:c r="G82" s="24" t="b">
        <x:v>1</x:v>
      </x:c>
      <x:c r="H82" t="str">
        <x:v>STUDENT_INITIAL_PASSWORD</x:v>
      </x:c>
    </x:row>
    <x:row r="83">
      <x:c r="A83" t="str">
        <x:v>est0057@alumnos.blenkir.edu.pe</x:v>
      </x:c>
      <x:c r="B83" t="str">
        <x:v>estudiante</x:v>
      </x:c>
      <x:c r="C83" t="str">
        <x:v>Isabella</x:v>
      </x:c>
      <x:c r="D83" t="str">
        <x:v>Navarro Pérez</x:v>
      </x:c>
      <x:c r="E83" t="str">
        <x:v>82889949</x:v>
      </x:c>
      <x:c r="F83" t="str">
        <x:v>979624367</x:v>
      </x:c>
      <x:c r="G83" s="24" t="b">
        <x:v>1</x:v>
      </x:c>
      <x:c r="H83" t="str">
        <x:v>STUDENT_INITIAL_PASSWORD</x:v>
      </x:c>
    </x:row>
    <x:row r="84">
      <x:c r="A84" t="str">
        <x:v>est0058@alumnos.blenkir.edu.pe</x:v>
      </x:c>
      <x:c r="B84" t="str">
        <x:v>estudiante</x:v>
      </x:c>
      <x:c r="C84" t="str">
        <x:v>Paula</x:v>
      </x:c>
      <x:c r="D84" t="str">
        <x:v>Soto Zúñiga</x:v>
      </x:c>
      <x:c r="E84" t="str">
        <x:v>89891533</x:v>
      </x:c>
      <x:c r="F84" t="str">
        <x:v>929751989</x:v>
      </x:c>
      <x:c r="G84" s="24" t="b">
        <x:v>1</x:v>
      </x:c>
      <x:c r="H84" t="str">
        <x:v>STUDENT_INITIAL_PASSWORD</x:v>
      </x:c>
    </x:row>
    <x:row r="85">
      <x:c r="A85" t="str">
        <x:v>est0059@alumnos.blenkir.edu.pe</x:v>
      </x:c>
      <x:c r="B85" t="str">
        <x:v>estudiante</x:v>
      </x:c>
      <x:c r="C85" t="str">
        <x:v>Andrea</x:v>
      </x:c>
      <x:c r="D85" t="str">
        <x:v>Alvarado De la Cruz</x:v>
      </x:c>
      <x:c r="E85" t="str">
        <x:v>78880067</x:v>
      </x:c>
      <x:c r="F85" t="str">
        <x:v>902960879</x:v>
      </x:c>
      <x:c r="G85" s="24" t="b">
        <x:v>1</x:v>
      </x:c>
      <x:c r="H85" t="str">
        <x:v>STUDENT_INITIAL_PASSWORD</x:v>
      </x:c>
    </x:row>
    <x:row r="86">
      <x:c r="A86" t="str">
        <x:v>est0060@alumnos.blenkir.edu.pe</x:v>
      </x:c>
      <x:c r="B86" t="str">
        <x:v>estudiante</x:v>
      </x:c>
      <x:c r="C86" t="str">
        <x:v>Cristian</x:v>
      </x:c>
      <x:c r="D86" t="str">
        <x:v>Contreras Quispe</x:v>
      </x:c>
      <x:c r="E86" t="str">
        <x:v>82877487</x:v>
      </x:c>
      <x:c r="F86" t="str">
        <x:v>954665071</x:v>
      </x:c>
      <x:c r="G86" s="24" t="b">
        <x:v>1</x:v>
      </x:c>
      <x:c r="H86" t="str">
        <x:v>STUDENT_INITIAL_PASSWORD</x:v>
      </x:c>
    </x:row>
    <x:row r="87">
      <x:c r="A87" t="str">
        <x:v>est0061@alumnos.blenkir.edu.pe</x:v>
      </x:c>
      <x:c r="B87" t="str">
        <x:v>estudiante</x:v>
      </x:c>
      <x:c r="C87" t="str">
        <x:v>Gabriel</x:v>
      </x:c>
      <x:c r="D87" t="str">
        <x:v>Huamán Aguilar</x:v>
      </x:c>
      <x:c r="E87" t="str">
        <x:v>78941872</x:v>
      </x:c>
      <x:c r="F87" t="str">
        <x:v>953780403</x:v>
      </x:c>
      <x:c r="G87" s="24" t="b">
        <x:v>1</x:v>
      </x:c>
      <x:c r="H87" t="str">
        <x:v>STUDENT_INITIAL_PASSWORD</x:v>
      </x:c>
    </x:row>
    <x:row r="88">
      <x:c r="A88" t="str">
        <x:v>est0062@alumnos.blenkir.edu.pe</x:v>
      </x:c>
      <x:c r="B88" t="str">
        <x:v>estudiante</x:v>
      </x:c>
      <x:c r="C88" t="str">
        <x:v>Jorge</x:v>
      </x:c>
      <x:c r="D88" t="str">
        <x:v>Ramos Espinoza</x:v>
      </x:c>
      <x:c r="E88" t="str">
        <x:v>75092805</x:v>
      </x:c>
      <x:c r="F88" t="str">
        <x:v>963491000</x:v>
      </x:c>
      <x:c r="G88" s="24" t="b">
        <x:v>1</x:v>
      </x:c>
      <x:c r="H88" t="str">
        <x:v>STUDENT_INITIAL_PASSWORD</x:v>
      </x:c>
    </x:row>
    <x:row r="89">
      <x:c r="A89" t="str">
        <x:v>est0063@alumnos.blenkir.edu.pe</x:v>
      </x:c>
      <x:c r="B89" t="str">
        <x:v>estudiante</x:v>
      </x:c>
      <x:c r="C89" t="str">
        <x:v>Miguel</x:v>
      </x:c>
      <x:c r="D89" t="str">
        <x:v>Vega Ramírez</x:v>
      </x:c>
      <x:c r="E89" t="str">
        <x:v>70680366</x:v>
      </x:c>
      <x:c r="F89" t="str">
        <x:v>933617436</x:v>
      </x:c>
      <x:c r="G89" s="24" t="b">
        <x:v>1</x:v>
      </x:c>
      <x:c r="H89" t="str">
        <x:v>STUDENT_INITIAL_PASSWORD</x:v>
      </x:c>
    </x:row>
    <x:row r="90">
      <x:c r="A90" t="str">
        <x:v>est0064@alumnos.blenkir.edu.pe</x:v>
      </x:c>
      <x:c r="B90" t="str">
        <x:v>estudiante</x:v>
      </x:c>
      <x:c r="C90" t="str">
        <x:v>Sergio</x:v>
      </x:c>
      <x:c r="D90" t="str">
        <x:v>Campos Alarcón</x:v>
      </x:c>
      <x:c r="E90" t="str">
        <x:v>76159143</x:v>
      </x:c>
      <x:c r="F90" t="str">
        <x:v>999371271</x:v>
      </x:c>
      <x:c r="G90" s="24" t="b">
        <x:v>1</x:v>
      </x:c>
      <x:c r="H90" t="str">
        <x:v>STUDENT_INITIAL_PASSWORD</x:v>
      </x:c>
    </x:row>
    <x:row r="91">
      <x:c r="A91" t="str">
        <x:v>est0065@alumnos.blenkir.edu.pe</x:v>
      </x:c>
      <x:c r="B91" t="str">
        <x:v>estudiante</x:v>
      </x:c>
      <x:c r="C91" t="str">
        <x:v>Elena</x:v>
      </x:c>
      <x:c r="D91" t="str">
        <x:v>Flores García</x:v>
      </x:c>
      <x:c r="E91" t="str">
        <x:v>77527511</x:v>
      </x:c>
      <x:c r="F91" t="str">
        <x:v>953889478</x:v>
      </x:c>
      <x:c r="G91" s="24" t="b">
        <x:v>1</x:v>
      </x:c>
      <x:c r="H91" t="str">
        <x:v>STUDENT_INITIAL_PASSWORD</x:v>
      </x:c>
    </x:row>
    <x:row r="92">
      <x:c r="A92" t="str">
        <x:v>est0066@alumnos.blenkir.edu.pe</x:v>
      </x:c>
      <x:c r="B92" t="str">
        <x:v>estudiante</x:v>
      </x:c>
      <x:c r="C92" t="str">
        <x:v>Mariana</x:v>
      </x:c>
      <x:c r="D92" t="str">
        <x:v>Morales Ramos</x:v>
      </x:c>
      <x:c r="E92" t="str">
        <x:v>70343152</x:v>
      </x:c>
      <x:c r="F92" t="str">
        <x:v>927073686</x:v>
      </x:c>
      <x:c r="G92" s="24" t="b">
        <x:v>1</x:v>
      </x:c>
      <x:c r="H92" t="str">
        <x:v>STUDENT_INITIAL_PASSWORD</x:v>
      </x:c>
    </x:row>
    <x:row r="93">
      <x:c r="A93" t="str">
        <x:v>est0067@alumnos.blenkir.edu.pe</x:v>
      </x:c>
      <x:c r="B93" t="str">
        <x:v>estudiante</x:v>
      </x:c>
      <x:c r="C93" t="str">
        <x:v>Sofía</x:v>
      </x:c>
      <x:c r="D93" t="str">
        <x:v>Silva Alvarado</x:v>
      </x:c>
      <x:c r="E93" t="str">
        <x:v>89500476</x:v>
      </x:c>
      <x:c r="F93" t="str">
        <x:v>995716921</x:v>
      </x:c>
      <x:c r="G93" s="24" t="b">
        <x:v>1</x:v>
      </x:c>
      <x:c r="H93" t="str">
        <x:v>STUDENT_INITIAL_PASSWORD</x:v>
      </x:c>
    </x:row>
    <x:row r="94">
      <x:c r="A94" t="str">
        <x:v>est0068@alumnos.blenkir.edu.pe</x:v>
      </x:c>
      <x:c r="B94" t="str">
        <x:v>estudiante</x:v>
      </x:c>
      <x:c r="C94" t="str">
        <x:v>Alejandro</x:v>
      </x:c>
      <x:c r="D94" t="str">
        <x:v>Alarcón García</x:v>
      </x:c>
      <x:c r="E94" t="str">
        <x:v>75204135</x:v>
      </x:c>
      <x:c r="F94" t="str">
        <x:v>926055798</x:v>
      </x:c>
      <x:c r="G94" s="24" t="b">
        <x:v>1</x:v>
      </x:c>
      <x:c r="H94" t="str">
        <x:v>STUDENT_INITIAL_PASSWORD</x:v>
      </x:c>
    </x:row>
    <x:row r="95">
      <x:c r="A95" t="str">
        <x:v>est0069@alumnos.blenkir.edu.pe</x:v>
      </x:c>
      <x:c r="B95" t="str">
        <x:v>estudiante</x:v>
      </x:c>
      <x:c r="C95" t="str">
        <x:v>Diego</x:v>
      </x:c>
      <x:c r="D95" t="str">
        <x:v>Condori Rojas</x:v>
      </x:c>
      <x:c r="E95" t="str">
        <x:v>81682146</x:v>
      </x:c>
      <x:c r="F95" t="str">
        <x:v>904505849</x:v>
      </x:c>
      <x:c r="G95" s="24" t="b">
        <x:v>1</x:v>
      </x:c>
      <x:c r="H95" t="str">
        <x:v>STUDENT_INITIAL_PASSWORD</x:v>
      </x:c>
    </x:row>
    <x:row r="96">
      <x:c r="A96" t="str">
        <x:v>est0070@alumnos.blenkir.edu.pe</x:v>
      </x:c>
      <x:c r="B96" t="str">
        <x:v>estudiante</x:v>
      </x:c>
      <x:c r="C96" t="str">
        <x:v>Héctor</x:v>
      </x:c>
      <x:c r="D96" t="str">
        <x:v>Gutiérrez Arias</x:v>
      </x:c>
      <x:c r="E96" t="str">
        <x:v>73748777</x:v>
      </x:c>
      <x:c r="F96" t="str">
        <x:v>976946125</x:v>
      </x:c>
      <x:c r="G96" s="24" t="b">
        <x:v>1</x:v>
      </x:c>
      <x:c r="H96" t="str">
        <x:v>STUDENT_INITIAL_PASSWORD</x:v>
      </x:c>
    </x:row>
    <x:row r="97">
      <x:c r="A97" t="str">
        <x:v>est0071@alumnos.blenkir.edu.pe</x:v>
      </x:c>
      <x:c r="B97" t="str">
        <x:v>estudiante</x:v>
      </x:c>
      <x:c r="C97" t="str">
        <x:v>Leonardo</x:v>
      </x:c>
      <x:c r="D97" t="str">
        <x:v>Ramírez Gómez</x:v>
      </x:c>
      <x:c r="E97" t="str">
        <x:v>87866592</x:v>
      </x:c>
      <x:c r="F97" t="str">
        <x:v>909172482</x:v>
      </x:c>
      <x:c r="G97" s="24" t="b">
        <x:v>1</x:v>
      </x:c>
      <x:c r="H97" t="str">
        <x:v>STUDENT_INITIAL_PASSWORD</x:v>
      </x:c>
    </x:row>
    <x:row r="98">
      <x:c r="A98" t="str">
        <x:v>est0072@alumnos.blenkir.edu.pe</x:v>
      </x:c>
      <x:c r="B98" t="str">
        <x:v>estudiante</x:v>
      </x:c>
      <x:c r="C98" t="str">
        <x:v>Rafael</x:v>
      </x:c>
      <x:c r="D98" t="str">
        <x:v>Vásquez Romero</x:v>
      </x:c>
      <x:c r="E98" t="str">
        <x:v>80795324</x:v>
      </x:c>
      <x:c r="F98" t="str">
        <x:v>904045159</x:v>
      </x:c>
      <x:c r="G98" s="24" t="b">
        <x:v>1</x:v>
      </x:c>
      <x:c r="H98" t="str">
        <x:v>STUDENT_INITIAL_PASSWORD</x:v>
      </x:c>
    </x:row>
    <x:row r="99">
      <x:c r="A99" t="str">
        <x:v>est0073@alumnos.blenkir.edu.pe</x:v>
      </x:c>
      <x:c r="B99" t="str">
        <x:v>estudiante</x:v>
      </x:c>
      <x:c r="C99" t="str">
        <x:v>Ariana</x:v>
      </x:c>
      <x:c r="D99" t="str">
        <x:v>Cáceres Bendezú</x:v>
      </x:c>
      <x:c r="E99" t="str">
        <x:v>79277218</x:v>
      </x:c>
      <x:c r="F99" t="str">
        <x:v>975298016</x:v>
      </x:c>
      <x:c r="G99" s="24" t="b">
        <x:v>1</x:v>
      </x:c>
      <x:c r="H99" t="str">
        <x:v>STUDENT_INITIAL_PASSWORD</x:v>
      </x:c>
    </x:row>
    <x:row r="100">
      <x:c r="A100" t="str">
        <x:v>est0074@alumnos.blenkir.edu.pe</x:v>
      </x:c>
      <x:c r="B100" t="str">
        <x:v>estudiante</x:v>
      </x:c>
      <x:c r="C100" t="str">
        <x:v>Gabriela</x:v>
      </x:c>
      <x:c r="D100" t="str">
        <x:v>Espinoza Gonzales</x:v>
      </x:c>
      <x:c r="E100" t="str">
        <x:v>85208506</x:v>
      </x:c>
      <x:c r="F100" t="str">
        <x:v>914298439</x:v>
      </x:c>
      <x:c r="G100" s="24" t="b">
        <x:v>1</x:v>
      </x:c>
      <x:c r="H100" t="str">
        <x:v>STUDENT_INITIAL_PASSWORD</x:v>
      </x:c>
    </x:row>
    <x:row r="101">
      <x:c r="A101" t="str">
        <x:v>est0075@alumnos.blenkir.edu.pe</x:v>
      </x:c>
      <x:c r="B101" t="str">
        <x:v>estudiante</x:v>
      </x:c>
      <x:c r="C101" t="str">
        <x:v>Nicole</x:v>
      </x:c>
      <x:c r="D101" t="str">
        <x:v>Mendoza Salazar</x:v>
      </x:c>
      <x:c r="E101" t="str">
        <x:v>85834473</x:v>
      </x:c>
      <x:c r="F101" t="str">
        <x:v>939327067</x:v>
      </x:c>
      <x:c r="G101" s="24" t="b">
        <x:v>1</x:v>
      </x:c>
      <x:c r="H101" t="str">
        <x:v>STUDENT_INITIAL_PASSWORD</x:v>
      </x:c>
    </x:row>
    <x:row r="102">
      <x:c r="A102" t="str">
        <x:v>est0076@alumnos.blenkir.edu.pe</x:v>
      </x:c>
      <x:c r="B102" t="str">
        <x:v>estudiante</x:v>
      </x:c>
      <x:c r="C102" t="str">
        <x:v>Ximena</x:v>
      </x:c>
      <x:c r="D102" t="str">
        <x:v>Sánchez Cabrera</x:v>
      </x:c>
      <x:c r="E102" t="str">
        <x:v>88934458</x:v>
      </x:c>
      <x:c r="F102" t="str">
        <x:v>950657732</x:v>
      </x:c>
      <x:c r="G102" s="24" t="b">
        <x:v>1</x:v>
      </x:c>
      <x:c r="H102" t="str">
        <x:v>STUDENT_INITIAL_PASSWORD</x:v>
      </x:c>
    </x:row>
    <x:row r="103">
      <x:c r="A103" t="str">
        <x:v>est0077@alumnos.blenkir.edu.pe</x:v>
      </x:c>
      <x:c r="B103" t="str">
        <x:v>estudiante</x:v>
      </x:c>
      <x:c r="C103" t="str">
        <x:v>Carlos</x:v>
      </x:c>
      <x:c r="D103" t="str">
        <x:v>Aguilar Guerrero</x:v>
      </x:c>
      <x:c r="E103" t="str">
        <x:v>88091950</x:v>
      </x:c>
      <x:c r="F103" t="str">
        <x:v>973300197</x:v>
      </x:c>
      <x:c r="G103" s="24" t="b">
        <x:v>1</x:v>
      </x:c>
      <x:c r="H103" t="str">
        <x:v>STUDENT_INITIAL_PASSWORD</x:v>
      </x:c>
    </x:row>
    <x:row r="104">
      <x:c r="A104" t="str">
        <x:v>est0078@alumnos.blenkir.edu.pe</x:v>
      </x:c>
      <x:c r="B104" t="str">
        <x:v>estudiante</x:v>
      </x:c>
      <x:c r="C104" t="str">
        <x:v>Fernando</x:v>
      </x:c>
      <x:c r="D104" t="str">
        <x:v>Chávez Sánchez</x:v>
      </x:c>
      <x:c r="E104" t="str">
        <x:v>78860057</x:v>
      </x:c>
      <x:c r="F104" t="str">
        <x:v>964359389</x:v>
      </x:c>
      <x:c r="G104" s="24" t="b">
        <x:v>1</x:v>
      </x:c>
      <x:c r="H104" t="str">
        <x:v>STUDENT_INITIAL_PASSWORD</x:v>
      </x:c>
    </x:row>
    <x:row r="105">
      <x:c r="A105" t="str">
        <x:v>est0079@alumnos.blenkir.edu.pe</x:v>
      </x:c>
      <x:c r="B105" t="str">
        <x:v>estudiante</x:v>
      </x:c>
      <x:c r="C105" t="str">
        <x:v>Joaquín</x:v>
      </x:c>
      <x:c r="D105" t="str">
        <x:v>Guerrero Cáceres</x:v>
      </x:c>
      <x:c r="E105" t="str">
        <x:v>72503377</x:v>
      </x:c>
      <x:c r="F105" t="str">
        <x:v>909323337</x:v>
      </x:c>
      <x:c r="G105" s="24" t="b">
        <x:v>1</x:v>
      </x:c>
      <x:c r="H105" t="str">
        <x:v>STUDENT_INITIAL_PASSWORD</x:v>
      </x:c>
    </x:row>
    <x:row r="106">
      <x:c r="A106" t="str">
        <x:v>est0080@alumnos.blenkir.edu.pe</x:v>
      </x:c>
      <x:c r="B106" t="str">
        <x:v>estudiante</x:v>
      </x:c>
      <x:c r="C106" t="str">
        <x:v>Matías</x:v>
      </x:c>
      <x:c r="D106" t="str">
        <x:v>Quispe Gutiérrez</x:v>
      </x:c>
      <x:c r="E106" t="str">
        <x:v>76928213</x:v>
      </x:c>
      <x:c r="F106" t="str">
        <x:v>979558527</x:v>
      </x:c>
      <x:c r="G106" s="24" t="b">
        <x:v>1</x:v>
      </x:c>
      <x:c r="H106" t="str">
        <x:v>STUDENT_INITIAL_PASSWORD</x:v>
      </x:c>
    </x:row>
    <x:row r="107">
      <x:c r="A107" t="str">
        <x:v>est0081@alumnos.blenkir.edu.pe</x:v>
      </x:c>
      <x:c r="B107" t="str">
        <x:v>estudiante</x:v>
      </x:c>
      <x:c r="C107" t="str">
        <x:v>Sebastián</x:v>
      </x:c>
      <x:c r="D107" t="str">
        <x:v>Vargas Silva</x:v>
      </x:c>
      <x:c r="E107" t="str">
        <x:v>73651956</x:v>
      </x:c>
      <x:c r="F107" t="str">
        <x:v>943137575</x:v>
      </x:c>
      <x:c r="G107" s="24" t="b">
        <x:v>1</x:v>
      </x:c>
      <x:c r="H107" t="str">
        <x:v>STUDENT_INITIAL_PASSWORD</x:v>
      </x:c>
    </x:row>
    <x:row r="108">
      <x:c r="A108" t="str">
        <x:v>est0082@alumnos.blenkir.edu.pe</x:v>
      </x:c>
      <x:c r="B108" t="str">
        <x:v>estudiante</x:v>
      </x:c>
      <x:c r="C108" t="str">
        <x:v>Daniela</x:v>
      </x:c>
      <x:c r="D108" t="str">
        <x:v>Cabrera Campos</x:v>
      </x:c>
      <x:c r="E108" t="str">
        <x:v>84990039</x:v>
      </x:c>
      <x:c r="F108" t="str">
        <x:v>936757070</x:v>
      </x:c>
      <x:c r="G108" s="24" t="b">
        <x:v>1</x:v>
      </x:c>
      <x:c r="H108" t="str">
        <x:v>STUDENT_INITIAL_PASSWORD</x:v>
      </x:c>
    </x:row>
    <x:row r="109">
      <x:c r="A109" t="str">
        <x:v>est0083@alumnos.blenkir.edu.pe</x:v>
      </x:c>
      <x:c r="B109" t="str">
        <x:v>estudiante</x:v>
      </x:c>
      <x:c r="C109" t="str">
        <x:v>Luciana</x:v>
      </x:c>
      <x:c r="D109" t="str">
        <x:v>De la Cruz Huamán</x:v>
      </x:c>
      <x:c r="E109" t="str">
        <x:v>89413911</x:v>
      </x:c>
      <x:c r="F109" t="str">
        <x:v>933971738</x:v>
      </x:c>
      <x:c r="G109" s="24" t="b">
        <x:v>1</x:v>
      </x:c>
      <x:c r="H109" t="str">
        <x:v>STUDENT_INITIAL_PASSWORD</x:v>
      </x:c>
    </x:row>
    <x:row r="110">
      <x:c r="A110" t="str">
        <x:v>est0084@alumnos.blenkir.edu.pe</x:v>
      </x:c>
      <x:c r="B110" t="str">
        <x:v>estudiante</x:v>
      </x:c>
      <x:c r="C110" t="str">
        <x:v>Romina</x:v>
      </x:c>
      <x:c r="D110" t="str">
        <x:v>Medina Soto</x:v>
      </x:c>
      <x:c r="E110" t="str">
        <x:v>83543013</x:v>
      </x:c>
      <x:c r="F110" t="str">
        <x:v>985899587</x:v>
      </x:c>
      <x:c r="G110" s="24" t="b">
        <x:v>1</x:v>
      </x:c>
      <x:c r="H110" t="str">
        <x:v>STUDENT_INITIAL_PASSWORD</x:v>
      </x:c>
    </x:row>
    <x:row r="111">
      <x:c r="A111" t="str">
        <x:v>est0085@alumnos.blenkir.edu.pe</x:v>
      </x:c>
      <x:c r="B111" t="str">
        <x:v>estudiante</x:v>
      </x:c>
      <x:c r="C111" t="str">
        <x:v>Adrián</x:v>
      </x:c>
      <x:c r="D111" t="str">
        <x:v>Salazar Carrasco</x:v>
      </x:c>
      <x:c r="E111" t="str">
        <x:v>86253124</x:v>
      </x:c>
      <x:c r="F111" t="str">
        <x:v>984336145</x:v>
      </x:c>
      <x:c r="G111" s="24" t="b">
        <x:v>1</x:v>
      </x:c>
      <x:c r="H111" t="str">
        <x:v>STUDENT_INITIAL_PASSWORD</x:v>
      </x:c>
    </x:row>
    <x:row r="112">
      <x:c r="A112" t="str">
        <x:v>est0086@alumnos.blenkir.edu.pe</x:v>
      </x:c>
      <x:c r="B112" t="str">
        <x:v>estudiante</x:v>
      </x:c>
      <x:c r="C112" t="str">
        <x:v>David</x:v>
      </x:c>
      <x:c r="D112" t="str">
        <x:v>Zúñiga López</x:v>
      </x:c>
      <x:c r="E112" t="str">
        <x:v>74393790</x:v>
      </x:c>
      <x:c r="F112" t="str">
        <x:v>963684546</x:v>
      </x:c>
      <x:c r="G112" s="24" t="b">
        <x:v>1</x:v>
      </x:c>
      <x:c r="H112" t="str">
        <x:v>STUDENT_INITIAL_PASSWORD</x:v>
      </x:c>
    </x:row>
    <x:row r="113">
      <x:c r="A113" t="str">
        <x:v>est0087@alumnos.blenkir.edu.pe</x:v>
      </x:c>
      <x:c r="B113" t="str">
        <x:v>estudiante</x:v>
      </x:c>
      <x:c r="C113" t="str">
        <x:v>Gonzalo</x:v>
      </x:c>
      <x:c r="D113" t="str">
        <x:v>Castro Torres</x:v>
      </x:c>
      <x:c r="E113" t="str">
        <x:v>88689806</x:v>
      </x:c>
      <x:c r="F113" t="str">
        <x:v>929123368</x:v>
      </x:c>
      <x:c r="G113" s="24" t="b">
        <x:v>1</x:v>
      </x:c>
      <x:c r="H113" t="str">
        <x:v>STUDENT_INITIAL_PASSWORD</x:v>
      </x:c>
    </x:row>
    <x:row r="114">
      <x:c r="A114" t="str">
        <x:v>est0088@alumnos.blenkir.edu.pe</x:v>
      </x:c>
      <x:c r="B114" t="str">
        <x:v>estudiante</x:v>
      </x:c>
      <x:c r="C114" t="str">
        <x:v>Juan</x:v>
      </x:c>
      <x:c r="D114" t="str">
        <x:v>Gonzales Castillo</x:v>
      </x:c>
      <x:c r="E114" t="str">
        <x:v>79458874</x:v>
      </x:c>
      <x:c r="F114" t="str">
        <x:v>988296043</x:v>
      </x:c>
      <x:c r="G114" s="24" t="b">
        <x:v>1</x:v>
      </x:c>
      <x:c r="H114" t="str">
        <x:v>STUDENT_INITIAL_PASSWORD</x:v>
      </x:c>
    </x:row>
    <x:row r="115">
      <x:c r="A115" t="str">
        <x:v>est0089@alumnos.blenkir.edu.pe</x:v>
      </x:c>
      <x:c r="B115" t="str">
        <x:v>estudiante</x:v>
      </x:c>
      <x:c r="C115" t="str">
        <x:v>Pablo</x:v>
      </x:c>
      <x:c r="D115" t="str">
        <x:v>Pérez Mamani</x:v>
      </x:c>
      <x:c r="E115" t="str">
        <x:v>88507102</x:v>
      </x:c>
      <x:c r="F115" t="str">
        <x:v>910244471</x:v>
      </x:c>
      <x:c r="G115" s="24" t="b">
        <x:v>1</x:v>
      </x:c>
      <x:c r="H115" t="str">
        <x:v>STUDENT_INITIAL_PASSWORD</x:v>
      </x:c>
    </x:row>
    <x:row r="116">
      <x:c r="A116" t="str">
        <x:v>est0090@alumnos.blenkir.edu.pe</x:v>
      </x:c>
      <x:c r="B116" t="str">
        <x:v>estudiante</x:v>
      </x:c>
      <x:c r="C116" t="str">
        <x:v>Víctor</x:v>
      </x:c>
      <x:c r="D116" t="str">
        <x:v>Valdivia Vargas</x:v>
      </x:c>
      <x:c r="E116" t="str">
        <x:v>79551334</x:v>
      </x:c>
      <x:c r="F116" t="str">
        <x:v>995025266</x:v>
      </x:c>
      <x:c r="G116" s="24" t="b">
        <x:v>1</x:v>
      </x:c>
      <x:c r="H116" t="str">
        <x:v>STUDENT_INITIAL_PASSWORD</x:v>
      </x:c>
    </x:row>
    <x:row r="117">
      <x:c r="A117" t="str">
        <x:v>est0091@alumnos.blenkir.edu.pe</x:v>
      </x:c>
      <x:c r="B117" t="str">
        <x:v>estudiante</x:v>
      </x:c>
      <x:c r="C117" t="str">
        <x:v>Fernanda</x:v>
      </x:c>
      <x:c r="D117" t="str">
        <x:v>Bendezú Castro</x:v>
      </x:c>
      <x:c r="E117" t="str">
        <x:v>76431126</x:v>
      </x:c>
      <x:c r="F117" t="str">
        <x:v>966263346</x:v>
      </x:c>
      <x:c r="G117" s="24" t="b">
        <x:v>1</x:v>
      </x:c>
      <x:c r="H117" t="str">
        <x:v>STUDENT_INITIAL_PASSWORD</x:v>
      </x:c>
    </x:row>
    <x:row r="118">
      <x:c r="A118" t="str">
        <x:v>est0092@alumnos.blenkir.edu.pe</x:v>
      </x:c>
      <x:c r="B118" t="str">
        <x:v>estudiante</x:v>
      </x:c>
      <x:c r="C118" t="str">
        <x:v>Natalia</x:v>
      </x:c>
      <x:c r="D118" t="str">
        <x:v>Dávila Medina</x:v>
      </x:c>
      <x:c r="E118" t="str">
        <x:v>72168891</x:v>
      </x:c>
      <x:c r="F118" t="str">
        <x:v>991203575</x:v>
      </x:c>
      <x:c r="G118" s="24" t="b">
        <x:v>1</x:v>
      </x:c>
      <x:c r="H118" t="str">
        <x:v>STUDENT_INITIAL_PASSWORD</x:v>
      </x:c>
    </x:row>
    <x:row r="119">
      <x:c r="A119" t="str">
        <x:v>est0093@alumnos.blenkir.edu.pe</x:v>
      </x:c>
      <x:c r="B119" t="str">
        <x:v>estudiante</x:v>
      </x:c>
      <x:c r="C119" t="str">
        <x:v>Victoria</x:v>
      </x:c>
      <x:c r="D119" t="str">
        <x:v>Mamani Vargas</x:v>
      </x:c>
      <x:c r="E119" t="str">
        <x:v>78734728</x:v>
      </x:c>
      <x:c r="F119" t="str">
        <x:v>996351188</x:v>
      </x:c>
      <x:c r="G119" s="24" t="b">
        <x:v>1</x:v>
      </x:c>
      <x:c r="H119" t="str">
        <x:v>STUDENT_INITIAL_PASSWORD</x:v>
      </x:c>
    </x:row>
    <x:row r="120">
      <x:c r="A120" t="str">
        <x:v>est0094@alumnos.blenkir.edu.pe</x:v>
      </x:c>
      <x:c r="B120" t="str">
        <x:v>estudiante</x:v>
      </x:c>
      <x:c r="C120" t="str">
        <x:v>Bruno</x:v>
      </x:c>
      <x:c r="D120" t="str">
        <x:v>Romero Chávez</x:v>
      </x:c>
      <x:c r="E120" t="str">
        <x:v>71834638</x:v>
      </x:c>
      <x:c r="F120" t="str">
        <x:v>955612430</x:v>
      </x:c>
      <x:c r="G120" s="24" t="b">
        <x:v>1</x:v>
      </x:c>
      <x:c r="H120" t="str">
        <x:v>STUDENT_INITIAL_PASSWORD</x:v>
      </x:c>
    </x:row>
    <x:row r="121">
      <x:c r="A121" t="str">
        <x:v>est0095@alumnos.blenkir.edu.pe</x:v>
      </x:c>
      <x:c r="B121" t="str">
        <x:v>estudiante</x:v>
      </x:c>
      <x:c r="C121" t="str">
        <x:v>Emilio</x:v>
      </x:c>
      <x:c r="D121" t="str">
        <x:v>Yupanqui Mendoza</x:v>
      </x:c>
      <x:c r="E121" t="str">
        <x:v>84827518</x:v>
      </x:c>
      <x:c r="F121" t="str">
        <x:v>954917151</x:v>
      </x:c>
      <x:c r="G121" s="24" t="b">
        <x:v>1</x:v>
      </x:c>
      <x:c r="H121" t="str">
        <x:v>STUDENT_INITIAL_PASSWORD</x:v>
      </x:c>
    </x:row>
    <x:row r="122">
      <x:c r="A122" t="str">
        <x:v>est0096@alumnos.blenkir.edu.pe</x:v>
      </x:c>
      <x:c r="B122" t="str">
        <x:v>estudiante</x:v>
      </x:c>
      <x:c r="C122" t="str">
        <x:v>Javier</x:v>
      </x:c>
      <x:c r="D122" t="str">
        <x:v>Castillo Vásquez</x:v>
      </x:c>
      <x:c r="E122" t="str">
        <x:v>75706593</x:v>
      </x:c>
      <x:c r="F122" t="str">
        <x:v>979155850</x:v>
      </x:c>
      <x:c r="G122" s="24" t="b">
        <x:v>1</x:v>
      </x:c>
      <x:c r="H122" t="str">
        <x:v>STUDENT_INITIAL_PASSWORD</x:v>
      </x:c>
    </x:row>
    <x:row r="123">
      <x:c r="A123" t="str">
        <x:v>est0097@alumnos.blenkir.edu.pe</x:v>
      </x:c>
      <x:c r="B123" t="str">
        <x:v>estudiante</x:v>
      </x:c>
      <x:c r="C123" t="str">
        <x:v>Mateo</x:v>
      </x:c>
      <x:c r="D123" t="str">
        <x:v>Gómez Condori</x:v>
      </x:c>
      <x:c r="E123" t="str">
        <x:v>87035762</x:v>
      </x:c>
      <x:c r="F123" t="str">
        <x:v>938082878</x:v>
      </x:c>
      <x:c r="G123" s="24" t="b">
        <x:v>1</x:v>
      </x:c>
      <x:c r="H123" t="str">
        <x:v>STUDENT_INITIAL_PASSWORD</x:v>
      </x:c>
    </x:row>
    <x:row r="124">
      <x:c r="A124" t="str">
        <x:v>est0098@alumnos.blenkir.edu.pe</x:v>
      </x:c>
      <x:c r="B124" t="str">
        <x:v>estudiante</x:v>
      </x:c>
      <x:c r="C124" t="str">
        <x:v>Rodrigo</x:v>
      </x:c>
      <x:c r="D124" t="str">
        <x:v>Paredes Morales</x:v>
      </x:c>
      <x:c r="E124" t="str">
        <x:v>79543288</x:v>
      </x:c>
      <x:c r="F124" t="str">
        <x:v>955626074</x:v>
      </x:c>
      <x:c r="G124" s="24" t="b">
        <x:v>1</x:v>
      </x:c>
      <x:c r="H124" t="str">
        <x:v>STUDENT_INITIAL_PASSWORD</x:v>
      </x:c>
    </x:row>
    <x:row r="125">
      <x:c r="A125" t="str">
        <x:v>est0099@alumnos.blenkir.edu.pe</x:v>
      </x:c>
      <x:c r="B125" t="str">
        <x:v>estudiante</x:v>
      </x:c>
      <x:c r="C125" t="str">
        <x:v>Carla</x:v>
      </x:c>
      <x:c r="D125" t="str">
        <x:v>Torres Vega</x:v>
      </x:c>
      <x:c r="E125" t="str">
        <x:v>89748141</x:v>
      </x:c>
      <x:c r="F125" t="str">
        <x:v>915226243</x:v>
      </x:c>
      <x:c r="G125" s="24" t="b">
        <x:v>1</x:v>
      </x:c>
      <x:c r="H125" t="str">
        <x:v>STUDENT_INITIAL_PASSWORD</x:v>
      </x:c>
    </x:row>
    <x:row r="126">
      <x:c r="A126" t="str">
        <x:v>est0100@alumnos.blenkir.edu.pe</x:v>
      </x:c>
      <x:c r="B126" t="str">
        <x:v>estudiante</x:v>
      </x:c>
      <x:c r="C126" t="str">
        <x:v>Jimena</x:v>
      </x:c>
      <x:c r="D126" t="str">
        <x:v>Arias Contreras</x:v>
      </x:c>
      <x:c r="E126" t="str">
        <x:v>86056028</x:v>
      </x:c>
      <x:c r="F126" t="str">
        <x:v>919528576</x:v>
      </x:c>
      <x:c r="G126" s="24" t="b">
        <x:v>1</x:v>
      </x:c>
      <x:c r="H126" t="str">
        <x:v>STUDENT_INITIAL_PASSWORD</x:v>
      </x:c>
    </x:row>
    <x:row r="127">
      <x:c r="A127" t="str">
        <x:v>est0101@alumnos.blenkir.edu.pe</x:v>
      </x:c>
      <x:c r="B127" t="str">
        <x:v>estudiante</x:v>
      </x:c>
      <x:c r="C127" t="str">
        <x:v>Renata</x:v>
      </x:c>
      <x:c r="D127" t="str">
        <x:v>Córdova Navarro</x:v>
      </x:c>
      <x:c r="E127" t="str">
        <x:v>80846426</x:v>
      </x:c>
      <x:c r="F127" t="str">
        <x:v>970129023</x:v>
      </x:c>
      <x:c r="G127" s="24" t="b">
        <x:v>1</x:v>
      </x:c>
      <x:c r="H127" t="str">
        <x:v>STUDENT_INITIAL_PASSWORD</x:v>
      </x:c>
    </x:row>
    <x:row r="128">
      <x:c r="A128" t="str">
        <x:v>est0102@alumnos.blenkir.edu.pe</x:v>
      </x:c>
      <x:c r="B128" t="str">
        <x:v>estudiante</x:v>
      </x:c>
      <x:c r="C128" t="str">
        <x:v>Alejandra</x:v>
      </x:c>
      <x:c r="D128" t="str">
        <x:v>López Velásquez</x:v>
      </x:c>
      <x:c r="E128" t="str">
        <x:v>73416386</x:v>
      </x:c>
      <x:c r="F128" t="str">
        <x:v>922481381</x:v>
      </x:c>
      <x:c r="G128" s="24" t="b">
        <x:v>1</x:v>
      </x:c>
      <x:c r="H128" t="str">
        <x:v>STUDENT_INITIAL_PASSWORD</x:v>
      </x:c>
    </x:row>
    <x:row r="129">
      <x:c r="A129" t="str">
        <x:v>est0103@alumnos.blenkir.edu.pe</x:v>
      </x:c>
      <x:c r="B129" t="str">
        <x:v>estudiante</x:v>
      </x:c>
      <x:c r="C129" t="str">
        <x:v>Daniel</x:v>
      </x:c>
      <x:c r="D129" t="str">
        <x:v>Rojas Córdova</x:v>
      </x:c>
      <x:c r="E129" t="str">
        <x:v>89679143</x:v>
      </x:c>
      <x:c r="F129" t="str">
        <x:v>923107962</x:v>
      </x:c>
      <x:c r="G129" s="24" t="b">
        <x:v>1</x:v>
      </x:c>
      <x:c r="H129" t="str">
        <x:v>STUDENT_INITIAL_PASSWORD</x:v>
      </x:c>
    </x:row>
    <x:row r="130">
      <x:c r="A130" t="str">
        <x:v>est0104@alumnos.blenkir.edu.pe</x:v>
      </x:c>
      <x:c r="B130" t="str">
        <x:v>estudiante</x:v>
      </x:c>
      <x:c r="C130" t="str">
        <x:v>Gael</x:v>
      </x:c>
      <x:c r="D130" t="str">
        <x:v>Velásquez Paredes</x:v>
      </x:c>
      <x:c r="E130" t="str">
        <x:v>71815476</x:v>
      </x:c>
      <x:c r="F130" t="str">
        <x:v>902652812</x:v>
      </x:c>
      <x:c r="G130" s="24" t="b">
        <x:v>1</x:v>
      </x:c>
      <x:c r="H130" t="str">
        <x:v>STUDENT_INITIAL_PASSWORD</x:v>
      </x:c>
    </x:row>
    <x:row r="131">
      <x:c r="A131" t="str">
        <x:v>est0105@alumnos.blenkir.edu.pe</x:v>
      </x:c>
      <x:c r="B131" t="str">
        <x:v>estudiante</x:v>
      </x:c>
      <x:c r="C131" t="str">
        <x:v>José</x:v>
      </x:c>
      <x:c r="D131" t="str">
        <x:v>Carrasco Yupanqui</x:v>
      </x:c>
      <x:c r="E131" t="str">
        <x:v>73818372</x:v>
      </x:c>
      <x:c r="F131" t="str">
        <x:v>983365954</x:v>
      </x:c>
      <x:c r="G131" s="24" t="b">
        <x:v>1</x:v>
      </x:c>
      <x:c r="H131" t="str">
        <x:v>STUDENT_INITIAL_PASSWORD</x:v>
      </x:c>
    </x:row>
    <x:row r="132">
      <x:c r="A132" t="str">
        <x:v>est0106@alumnos.blenkir.edu.pe</x:v>
      </x:c>
      <x:c r="B132" t="str">
        <x:v>estudiante</x:v>
      </x:c>
      <x:c r="C132" t="str">
        <x:v>Nicolás</x:v>
      </x:c>
      <x:c r="D132" t="str">
        <x:v>García Dávila</x:v>
      </x:c>
      <x:c r="E132" t="str">
        <x:v>71715935</x:v>
      </x:c>
      <x:c r="F132" t="str">
        <x:v>980273909</x:v>
      </x:c>
      <x:c r="G132" s="24" t="b">
        <x:v>1</x:v>
      </x:c>
      <x:c r="H132" t="str">
        <x:v>STUDENT_INITIAL_PASSWORD</x:v>
      </x:c>
    </x:row>
    <x:row r="133">
      <x:c r="A133" t="str">
        <x:v>est0107@alumnos.blenkir.edu.pe</x:v>
      </x:c>
      <x:c r="B133" t="str">
        <x:v>estudiante</x:v>
      </x:c>
      <x:c r="C133" t="str">
        <x:v>Thiago</x:v>
      </x:c>
      <x:c r="D133" t="str">
        <x:v>Navarro Pérez</x:v>
      </x:c>
      <x:c r="E133" t="str">
        <x:v>74589860</x:v>
      </x:c>
      <x:c r="F133" t="str">
        <x:v>964100542</x:v>
      </x:c>
      <x:c r="G133" s="24" t="b">
        <x:v>1</x:v>
      </x:c>
      <x:c r="H133" t="str">
        <x:v>STUDENT_INITIAL_PASSWORD</x:v>
      </x:c>
    </x:row>
    <x:row r="134">
      <x:c r="A134" t="str">
        <x:v>est0108@alumnos.blenkir.edu.pe</x:v>
      </x:c>
      <x:c r="B134" t="str">
        <x:v>estudiante</x:v>
      </x:c>
      <x:c r="C134" t="str">
        <x:v>Fabiana</x:v>
      </x:c>
      <x:c r="D134" t="str">
        <x:v>Soto Zúñiga</x:v>
      </x:c>
      <x:c r="E134" t="str">
        <x:v>88400741</x:v>
      </x:c>
      <x:c r="F134" t="str">
        <x:v>953762667</x:v>
      </x:c>
      <x:c r="G134" s="24" t="b">
        <x:v>1</x:v>
      </x:c>
      <x:c r="H134" t="str">
        <x:v>STUDENT_INITIAL_PASSWORD</x:v>
      </x:c>
    </x:row>
    <x:row r="135">
      <x:c r="A135" t="str">
        <x:v>est0109@alumnos.blenkir.edu.pe</x:v>
      </x:c>
      <x:c r="B135" t="str">
        <x:v>estudiante</x:v>
      </x:c>
      <x:c r="C135" t="str">
        <x:v>Mía</x:v>
      </x:c>
      <x:c r="D135" t="str">
        <x:v>Alvarado De la Cruz</x:v>
      </x:c>
      <x:c r="E135" t="str">
        <x:v>88073223</x:v>
      </x:c>
      <x:c r="F135" t="str">
        <x:v>992391408</x:v>
      </x:c>
      <x:c r="G135" s="24" t="b">
        <x:v>1</x:v>
      </x:c>
      <x:c r="H135" t="str">
        <x:v>STUDENT_INITIAL_PASSWORD</x:v>
      </x:c>
    </x:row>
    <x:row r="136">
      <x:c r="A136" t="str">
        <x:v>est0110@alumnos.blenkir.edu.pe</x:v>
      </x:c>
      <x:c r="B136" t="str">
        <x:v>estudiante</x:v>
      </x:c>
      <x:c r="C136" t="str">
        <x:v>Valentina</x:v>
      </x:c>
      <x:c r="D136" t="str">
        <x:v>Contreras Quispe</x:v>
      </x:c>
      <x:c r="E136" t="str">
        <x:v>77988456</x:v>
      </x:c>
      <x:c r="F136" t="str">
        <x:v>966964757</x:v>
      </x:c>
      <x:c r="G136" s="24" t="b">
        <x:v>1</x:v>
      </x:c>
      <x:c r="H136" t="str">
        <x:v>STUDENT_INITIAL_PASSWORD</x:v>
      </x:c>
    </x:row>
    <x:row r="137">
      <x:c r="A137" t="str">
        <x:v>est0111@alumnos.blenkir.edu.pe</x:v>
      </x:c>
      <x:c r="B137" t="str">
        <x:v>estudiante</x:v>
      </x:c>
      <x:c r="C137" t="str">
        <x:v>Andrés</x:v>
      </x:c>
      <x:c r="D137" t="str">
        <x:v>Huamán Aguilar</x:v>
      </x:c>
      <x:c r="E137" t="str">
        <x:v>77122464</x:v>
      </x:c>
      <x:c r="F137" t="str">
        <x:v>965328418</x:v>
      </x:c>
      <x:c r="G137" s="24" t="b">
        <x:v>1</x:v>
      </x:c>
      <x:c r="H137" t="str">
        <x:v>STUDENT_INITIAL_PASSWORD</x:v>
      </x:c>
    </x:row>
    <x:row r="138">
      <x:c r="A138" t="str">
        <x:v>est0112@alumnos.blenkir.edu.pe</x:v>
      </x:c>
      <x:c r="B138" t="str">
        <x:v>estudiante</x:v>
      </x:c>
      <x:c r="C138" t="str">
        <x:v>Eduardo</x:v>
      </x:c>
      <x:c r="D138" t="str">
        <x:v>Ramos Espinoza</x:v>
      </x:c>
      <x:c r="E138" t="str">
        <x:v>79007059</x:v>
      </x:c>
      <x:c r="F138" t="str">
        <x:v>939451998</x:v>
      </x:c>
      <x:c r="G138" s="24" t="b">
        <x:v>1</x:v>
      </x:c>
      <x:c r="H138" t="str">
        <x:v>STUDENT_INITIAL_PASSWORD</x:v>
      </x:c>
    </x:row>
    <x:row r="139">
      <x:c r="A139" t="str">
        <x:v>est0113@alumnos.blenkir.edu.pe</x:v>
      </x:c>
      <x:c r="B139" t="str">
        <x:v>estudiante</x:v>
      </x:c>
      <x:c r="C139" t="str">
        <x:v>Iván</x:v>
      </x:c>
      <x:c r="D139" t="str">
        <x:v>Vega Ramírez</x:v>
      </x:c>
      <x:c r="E139" t="str">
        <x:v>85922249</x:v>
      </x:c>
      <x:c r="F139" t="str">
        <x:v>958218716</x:v>
      </x:c>
      <x:c r="G139" s="24" t="b">
        <x:v>1</x:v>
      </x:c>
      <x:c r="H139" t="str">
        <x:v>STUDENT_INITIAL_PASSWORD</x:v>
      </x:c>
    </x:row>
    <x:row r="140">
      <x:c r="A140" t="str">
        <x:v>est0114@alumnos.blenkir.edu.pe</x:v>
      </x:c>
      <x:c r="B140" t="str">
        <x:v>estudiante</x:v>
      </x:c>
      <x:c r="C140" t="str">
        <x:v>Luis</x:v>
      </x:c>
      <x:c r="D140" t="str">
        <x:v>Campos Alarcón</x:v>
      </x:c>
      <x:c r="E140" t="str">
        <x:v>71779503</x:v>
      </x:c>
      <x:c r="F140" t="str">
        <x:v>970337668</x:v>
      </x:c>
      <x:c r="G140" s="24" t="b">
        <x:v>1</x:v>
      </x:c>
      <x:c r="H140" t="str">
        <x:v>STUDENT_INITIAL_PASSWORD</x:v>
      </x:c>
    </x:row>
    <x:row r="141">
      <x:c r="A141" t="str">
        <x:v>est0115@alumnos.blenkir.edu.pe</x:v>
      </x:c>
      <x:c r="B141" t="str">
        <x:v>estudiante</x:v>
      </x:c>
      <x:c r="C141" t="str">
        <x:v>Renato</x:v>
      </x:c>
      <x:c r="D141" t="str">
        <x:v>Flores García</x:v>
      </x:c>
      <x:c r="E141" t="str">
        <x:v>82776138</x:v>
      </x:c>
      <x:c r="F141" t="str">
        <x:v>922250154</x:v>
      </x:c>
      <x:c r="G141" s="24" t="b">
        <x:v>1</x:v>
      </x:c>
      <x:c r="H141" t="str">
        <x:v>STUDENT_INITIAL_PASSWORD</x:v>
      </x:c>
    </x:row>
    <x:row r="142">
      <x:c r="A142" t="str">
        <x:v>est0116@alumnos.blenkir.edu.pe</x:v>
      </x:c>
      <x:c r="B142" t="str">
        <x:v>estudiante</x:v>
      </x:c>
      <x:c r="C142" t="str">
        <x:v>Camila</x:v>
      </x:c>
      <x:c r="D142" t="str">
        <x:v>Morales Ramos</x:v>
      </x:c>
      <x:c r="E142" t="str">
        <x:v>79961343</x:v>
      </x:c>
      <x:c r="F142" t="str">
        <x:v>965020711</x:v>
      </x:c>
      <x:c r="G142" s="24" t="b">
        <x:v>1</x:v>
      </x:c>
      <x:c r="H142" t="str">
        <x:v>STUDENT_INITIAL_PASSWORD</x:v>
      </x:c>
    </x:row>
    <x:row r="143">
      <x:c r="A143" t="str">
        <x:v>est0117@alumnos.blenkir.edu.pe</x:v>
      </x:c>
      <x:c r="B143" t="str">
        <x:v>estudiante</x:v>
      </x:c>
      <x:c r="C143" t="str">
        <x:v>Isabella</x:v>
      </x:c>
      <x:c r="D143" t="str">
        <x:v>Silva Alvarado</x:v>
      </x:c>
      <x:c r="E143" t="str">
        <x:v>80360159</x:v>
      </x:c>
      <x:c r="F143" t="str">
        <x:v>916055426</x:v>
      </x:c>
      <x:c r="G143" s="24" t="b">
        <x:v>1</x:v>
      </x:c>
      <x:c r="H143" t="str">
        <x:v>STUDENT_INITIAL_PASSWORD</x:v>
      </x:c>
    </x:row>
    <x:row r="144">
      <x:c r="A144" t="str">
        <x:v>est0118@alumnos.blenkir.edu.pe</x:v>
      </x:c>
      <x:c r="B144" t="str">
        <x:v>estudiante</x:v>
      </x:c>
      <x:c r="C144" t="str">
        <x:v>Paula</x:v>
      </x:c>
      <x:c r="D144" t="str">
        <x:v>Alarcón García</x:v>
      </x:c>
      <x:c r="E144" t="str">
        <x:v>85122168</x:v>
      </x:c>
      <x:c r="F144" t="str">
        <x:v>943778171</x:v>
      </x:c>
      <x:c r="G144" s="24" t="b">
        <x:v>1</x:v>
      </x:c>
      <x:c r="H144" t="str">
        <x:v>STUDENT_INITIAL_PASSWORD</x:v>
      </x:c>
    </x:row>
    <x:row r="145">
      <x:c r="A145" t="str">
        <x:v>est0119@alumnos.blenkir.edu.pe</x:v>
      </x:c>
      <x:c r="B145" t="str">
        <x:v>estudiante</x:v>
      </x:c>
      <x:c r="C145" t="str">
        <x:v>Andrea</x:v>
      </x:c>
      <x:c r="D145" t="str">
        <x:v>Condori Rojas</x:v>
      </x:c>
      <x:c r="E145" t="str">
        <x:v>74603990</x:v>
      </x:c>
      <x:c r="F145" t="str">
        <x:v>939321641</x:v>
      </x:c>
      <x:c r="G145" s="24" t="b">
        <x:v>1</x:v>
      </x:c>
      <x:c r="H145" t="str">
        <x:v>STUDENT_INITIAL_PASSWORD</x:v>
      </x:c>
    </x:row>
    <x:row r="146">
      <x:c r="A146" t="str">
        <x:v>est0120@alumnos.blenkir.edu.pe</x:v>
      </x:c>
      <x:c r="B146" t="str">
        <x:v>estudiante</x:v>
      </x:c>
      <x:c r="C146" t="str">
        <x:v>Cristian</x:v>
      </x:c>
      <x:c r="D146" t="str">
        <x:v>Gutiérrez Arias</x:v>
      </x:c>
      <x:c r="E146" t="str">
        <x:v>70012365</x:v>
      </x:c>
      <x:c r="F146" t="str">
        <x:v>981173716</x:v>
      </x:c>
      <x:c r="G146" s="24" t="b">
        <x:v>1</x:v>
      </x:c>
      <x:c r="H146" t="str">
        <x:v>STUDENT_INITIAL_PASSWORD</x:v>
      </x:c>
    </x:row>
    <x:row r="147">
      <x:c r="A147" t="str">
        <x:v>est0121@alumnos.blenkir.edu.pe</x:v>
      </x:c>
      <x:c r="B147" t="str">
        <x:v>estudiante</x:v>
      </x:c>
      <x:c r="C147" t="str">
        <x:v>Gabriel</x:v>
      </x:c>
      <x:c r="D147" t="str">
        <x:v>Ramírez Gómez</x:v>
      </x:c>
      <x:c r="E147" t="str">
        <x:v>78331207</x:v>
      </x:c>
      <x:c r="F147" t="str">
        <x:v>964630106</x:v>
      </x:c>
      <x:c r="G147" s="24" t="b">
        <x:v>1</x:v>
      </x:c>
      <x:c r="H147" t="str">
        <x:v>STUDENT_INITIAL_PASSWORD</x:v>
      </x:c>
    </x:row>
    <x:row r="148">
      <x:c r="A148" t="str">
        <x:v>est0122@alumnos.blenkir.edu.pe</x:v>
      </x:c>
      <x:c r="B148" t="str">
        <x:v>estudiante</x:v>
      </x:c>
      <x:c r="C148" t="str">
        <x:v>Jorge</x:v>
      </x:c>
      <x:c r="D148" t="str">
        <x:v>Vásquez Romero</x:v>
      </x:c>
      <x:c r="E148" t="str">
        <x:v>70894972</x:v>
      </x:c>
      <x:c r="F148" t="str">
        <x:v>956567703</x:v>
      </x:c>
      <x:c r="G148" s="24" t="b">
        <x:v>1</x:v>
      </x:c>
      <x:c r="H148" t="str">
        <x:v>STUDENT_INITIAL_PASSWORD</x:v>
      </x:c>
    </x:row>
    <x:row r="149">
      <x:c r="A149" t="str">
        <x:v>est0123@alumnos.blenkir.edu.pe</x:v>
      </x:c>
      <x:c r="B149" t="str">
        <x:v>estudiante</x:v>
      </x:c>
      <x:c r="C149" t="str">
        <x:v>Miguel</x:v>
      </x:c>
      <x:c r="D149" t="str">
        <x:v>Cáceres Bendezú</x:v>
      </x:c>
      <x:c r="E149" t="str">
        <x:v>82593558</x:v>
      </x:c>
      <x:c r="F149" t="str">
        <x:v>973524732</x:v>
      </x:c>
      <x:c r="G149" s="24" t="b">
        <x:v>1</x:v>
      </x:c>
      <x:c r="H149" t="str">
        <x:v>STUDENT_INITIAL_PASSWORD</x:v>
      </x:c>
    </x:row>
    <x:row r="150">
      <x:c r="A150" t="str">
        <x:v>est0124@alumnos.blenkir.edu.pe</x:v>
      </x:c>
      <x:c r="B150" t="str">
        <x:v>estudiante</x:v>
      </x:c>
      <x:c r="C150" t="str">
        <x:v>Sergio</x:v>
      </x:c>
      <x:c r="D150" t="str">
        <x:v>Espinoza Gonzales</x:v>
      </x:c>
      <x:c r="E150" t="str">
        <x:v>72050970</x:v>
      </x:c>
      <x:c r="F150" t="str">
        <x:v>973393906</x:v>
      </x:c>
      <x:c r="G150" s="24" t="b">
        <x:v>1</x:v>
      </x:c>
      <x:c r="H150" t="str">
        <x:v>STUDENT_INITIAL_PASSWORD</x:v>
      </x:c>
    </x:row>
    <x:row r="151">
      <x:c r="A151" t="str">
        <x:v>est0125@alumnos.blenkir.edu.pe</x:v>
      </x:c>
      <x:c r="B151" t="str">
        <x:v>estudiante</x:v>
      </x:c>
      <x:c r="C151" t="str">
        <x:v>Elena</x:v>
      </x:c>
      <x:c r="D151" t="str">
        <x:v>Mendoza Salazar</x:v>
      </x:c>
      <x:c r="E151" t="str">
        <x:v>72170426</x:v>
      </x:c>
      <x:c r="F151" t="str">
        <x:v>940266565</x:v>
      </x:c>
      <x:c r="G151" s="24" t="b">
        <x:v>1</x:v>
      </x:c>
      <x:c r="H151" t="str">
        <x:v>STUDENT_INITIAL_PASSWORD</x:v>
      </x:c>
    </x:row>
    <x:row r="152">
      <x:c r="A152" t="str">
        <x:v>est0126@alumnos.blenkir.edu.pe</x:v>
      </x:c>
      <x:c r="B152" t="str">
        <x:v>estudiante</x:v>
      </x:c>
      <x:c r="C152" t="str">
        <x:v>Mariana</x:v>
      </x:c>
      <x:c r="D152" t="str">
        <x:v>Sánchez Cabrera</x:v>
      </x:c>
      <x:c r="E152" t="str">
        <x:v>85087126</x:v>
      </x:c>
      <x:c r="F152" t="str">
        <x:v>926716254</x:v>
      </x:c>
      <x:c r="G152" s="24" t="b">
        <x:v>1</x:v>
      </x:c>
      <x:c r="H152" t="str">
        <x:v>STUDENT_INITIAL_PASSWORD</x:v>
      </x:c>
    </x:row>
    <x:row r="153">
      <x:c r="A153" t="str">
        <x:v>est0127@alumnos.blenkir.edu.pe</x:v>
      </x:c>
      <x:c r="B153" t="str">
        <x:v>estudiante</x:v>
      </x:c>
      <x:c r="C153" t="str">
        <x:v>Sofía</x:v>
      </x:c>
      <x:c r="D153" t="str">
        <x:v>Aguilar Guerrero</x:v>
      </x:c>
      <x:c r="E153" t="str">
        <x:v>76631735</x:v>
      </x:c>
      <x:c r="F153" t="str">
        <x:v>997101678</x:v>
      </x:c>
      <x:c r="G153" s="24" t="b">
        <x:v>1</x:v>
      </x:c>
      <x:c r="H153" t="str">
        <x:v>STUDENT_INITIAL_PASSWORD</x:v>
      </x:c>
    </x:row>
    <x:row r="154">
      <x:c r="A154" t="str">
        <x:v>est0128@alumnos.blenkir.edu.pe</x:v>
      </x:c>
      <x:c r="B154" t="str">
        <x:v>estudiante</x:v>
      </x:c>
      <x:c r="C154" t="str">
        <x:v>Alejandro</x:v>
      </x:c>
      <x:c r="D154" t="str">
        <x:v>Chávez Sánchez</x:v>
      </x:c>
      <x:c r="E154" t="str">
        <x:v>79097330</x:v>
      </x:c>
      <x:c r="F154" t="str">
        <x:v>990120873</x:v>
      </x:c>
      <x:c r="G154" s="24" t="b">
        <x:v>1</x:v>
      </x:c>
      <x:c r="H154" t="str">
        <x:v>STUDENT_INITIAL_PASSWORD</x:v>
      </x:c>
    </x:row>
    <x:row r="155">
      <x:c r="A155" t="str">
        <x:v>est0129@alumnos.blenkir.edu.pe</x:v>
      </x:c>
      <x:c r="B155" t="str">
        <x:v>estudiante</x:v>
      </x:c>
      <x:c r="C155" t="str">
        <x:v>Diego</x:v>
      </x:c>
      <x:c r="D155" t="str">
        <x:v>Guerrero Cáceres</x:v>
      </x:c>
      <x:c r="E155" t="str">
        <x:v>88976370</x:v>
      </x:c>
      <x:c r="F155" t="str">
        <x:v>910799570</x:v>
      </x:c>
      <x:c r="G155" s="24" t="b">
        <x:v>1</x:v>
      </x:c>
      <x:c r="H155" t="str">
        <x:v>STUDENT_INITIAL_PASSWORD</x:v>
      </x:c>
    </x:row>
    <x:row r="156">
      <x:c r="A156" t="str">
        <x:v>est0130@alumnos.blenkir.edu.pe</x:v>
      </x:c>
      <x:c r="B156" t="str">
        <x:v>estudiante</x:v>
      </x:c>
      <x:c r="C156" t="str">
        <x:v>Héctor</x:v>
      </x:c>
      <x:c r="D156" t="str">
        <x:v>Quispe Gutiérrez</x:v>
      </x:c>
      <x:c r="E156" t="str">
        <x:v>84781033</x:v>
      </x:c>
      <x:c r="F156" t="str">
        <x:v>962252338</x:v>
      </x:c>
      <x:c r="G156" s="24" t="b">
        <x:v>1</x:v>
      </x:c>
      <x:c r="H156" t="str">
        <x:v>STUDENT_INITIAL_PASSWORD</x:v>
      </x:c>
    </x:row>
    <x:row r="157">
      <x:c r="A157" t="str">
        <x:v>est0131@alumnos.blenkir.edu.pe</x:v>
      </x:c>
      <x:c r="B157" t="str">
        <x:v>estudiante</x:v>
      </x:c>
      <x:c r="C157" t="str">
        <x:v>Leonardo</x:v>
      </x:c>
      <x:c r="D157" t="str">
        <x:v>Vargas Silva</x:v>
      </x:c>
      <x:c r="E157" t="str">
        <x:v>80420931</x:v>
      </x:c>
      <x:c r="F157" t="str">
        <x:v>979385287</x:v>
      </x:c>
      <x:c r="G157" s="24" t="b">
        <x:v>1</x:v>
      </x:c>
      <x:c r="H157" t="str">
        <x:v>STUDENT_INITIAL_PASSWORD</x:v>
      </x:c>
    </x:row>
    <x:row r="158">
      <x:c r="A158" t="str">
        <x:v>est0132@alumnos.blenkir.edu.pe</x:v>
      </x:c>
      <x:c r="B158" t="str">
        <x:v>estudiante</x:v>
      </x:c>
      <x:c r="C158" t="str">
        <x:v>Rafael</x:v>
      </x:c>
      <x:c r="D158" t="str">
        <x:v>Cabrera Campos</x:v>
      </x:c>
      <x:c r="E158" t="str">
        <x:v>83031864</x:v>
      </x:c>
      <x:c r="F158" t="str">
        <x:v>923819873</x:v>
      </x:c>
      <x:c r="G158" s="24" t="b">
        <x:v>1</x:v>
      </x:c>
      <x:c r="H158" t="str">
        <x:v>STUDENT_INITIAL_PASSWORD</x:v>
      </x:c>
    </x:row>
    <x:row r="159">
      <x:c r="A159" t="str">
        <x:v>est0133@alumnos.blenkir.edu.pe</x:v>
      </x:c>
      <x:c r="B159" t="str">
        <x:v>estudiante</x:v>
      </x:c>
      <x:c r="C159" t="str">
        <x:v>Ariana</x:v>
      </x:c>
      <x:c r="D159" t="str">
        <x:v>De la Cruz Huamán</x:v>
      </x:c>
      <x:c r="E159" t="str">
        <x:v>76223255</x:v>
      </x:c>
      <x:c r="F159" t="str">
        <x:v>982466898</x:v>
      </x:c>
      <x:c r="G159" s="24" t="b">
        <x:v>1</x:v>
      </x:c>
      <x:c r="H159" t="str">
        <x:v>STUDENT_INITIAL_PASSWORD</x:v>
      </x:c>
    </x:row>
    <x:row r="160">
      <x:c r="A160" t="str">
        <x:v>est0134@alumnos.blenkir.edu.pe</x:v>
      </x:c>
      <x:c r="B160" t="str">
        <x:v>estudiante</x:v>
      </x:c>
      <x:c r="C160" t="str">
        <x:v>Gabriela</x:v>
      </x:c>
      <x:c r="D160" t="str">
        <x:v>Medina Soto</x:v>
      </x:c>
      <x:c r="E160" t="str">
        <x:v>86683771</x:v>
      </x:c>
      <x:c r="F160" t="str">
        <x:v>988489665</x:v>
      </x:c>
      <x:c r="G160" s="24" t="b">
        <x:v>1</x:v>
      </x:c>
      <x:c r="H160" t="str">
        <x:v>STUDENT_INITIAL_PASSWORD</x:v>
      </x:c>
    </x:row>
    <x:row r="161">
      <x:c r="A161" t="str">
        <x:v>est0135@alumnos.blenkir.edu.pe</x:v>
      </x:c>
      <x:c r="B161" t="str">
        <x:v>estudiante</x:v>
      </x:c>
      <x:c r="C161" t="str">
        <x:v>Nicole</x:v>
      </x:c>
      <x:c r="D161" t="str">
        <x:v>Salazar Carrasco</x:v>
      </x:c>
      <x:c r="E161" t="str">
        <x:v>83297714</x:v>
      </x:c>
      <x:c r="F161" t="str">
        <x:v>985832708</x:v>
      </x:c>
      <x:c r="G161" s="24" t="b">
        <x:v>1</x:v>
      </x:c>
      <x:c r="H161" t="str">
        <x:v>STUDENT_INITIAL_PASSWORD</x:v>
      </x:c>
    </x:row>
    <x:row r="162">
      <x:c r="A162" t="str">
        <x:v>est0136@alumnos.blenkir.edu.pe</x:v>
      </x:c>
      <x:c r="B162" t="str">
        <x:v>estudiante</x:v>
      </x:c>
      <x:c r="C162" t="str">
        <x:v>Ximena</x:v>
      </x:c>
      <x:c r="D162" t="str">
        <x:v>Zúñiga López</x:v>
      </x:c>
      <x:c r="E162" t="str">
        <x:v>81496097</x:v>
      </x:c>
      <x:c r="F162" t="str">
        <x:v>944123446</x:v>
      </x:c>
      <x:c r="G162" s="24" t="b">
        <x:v>1</x:v>
      </x:c>
      <x:c r="H162" t="str">
        <x:v>STUDENT_INITIAL_PASSWORD</x:v>
      </x:c>
    </x:row>
    <x:row r="163">
      <x:c r="A163" t="str">
        <x:v>est0137@alumnos.blenkir.edu.pe</x:v>
      </x:c>
      <x:c r="B163" t="str">
        <x:v>estudiante</x:v>
      </x:c>
      <x:c r="C163" t="str">
        <x:v>Carlos</x:v>
      </x:c>
      <x:c r="D163" t="str">
        <x:v>Castro Torres</x:v>
      </x:c>
      <x:c r="E163" t="str">
        <x:v>82880714</x:v>
      </x:c>
      <x:c r="F163" t="str">
        <x:v>958792398</x:v>
      </x:c>
      <x:c r="G163" s="24" t="b">
        <x:v>1</x:v>
      </x:c>
      <x:c r="H163" t="str">
        <x:v>STUDENT_INITIAL_PASSWORD</x:v>
      </x:c>
    </x:row>
    <x:row r="164">
      <x:c r="A164" t="str">
        <x:v>est0138@alumnos.blenkir.edu.pe</x:v>
      </x:c>
      <x:c r="B164" t="str">
        <x:v>estudiante</x:v>
      </x:c>
      <x:c r="C164" t="str">
        <x:v>Fernando</x:v>
      </x:c>
      <x:c r="D164" t="str">
        <x:v>Gonzales Castillo</x:v>
      </x:c>
      <x:c r="E164" t="str">
        <x:v>84380602</x:v>
      </x:c>
      <x:c r="F164" t="str">
        <x:v>962162368</x:v>
      </x:c>
      <x:c r="G164" s="24" t="b">
        <x:v>1</x:v>
      </x:c>
      <x:c r="H164" t="str">
        <x:v>STUDENT_INITIAL_PASSWORD</x:v>
      </x:c>
    </x:row>
    <x:row r="165">
      <x:c r="A165" t="str">
        <x:v>est0139@alumnos.blenkir.edu.pe</x:v>
      </x:c>
      <x:c r="B165" t="str">
        <x:v>estudiante</x:v>
      </x:c>
      <x:c r="C165" t="str">
        <x:v>Joaquín</x:v>
      </x:c>
      <x:c r="D165" t="str">
        <x:v>Pérez Mamani</x:v>
      </x:c>
      <x:c r="E165" t="str">
        <x:v>88574917</x:v>
      </x:c>
      <x:c r="F165" t="str">
        <x:v>953774705</x:v>
      </x:c>
      <x:c r="G165" s="24" t="b">
        <x:v>1</x:v>
      </x:c>
      <x:c r="H165" t="str">
        <x:v>STUDENT_INITIAL_PASSWORD</x:v>
      </x:c>
    </x:row>
    <x:row r="166">
      <x:c r="A166" t="str">
        <x:v>est0140@alumnos.blenkir.edu.pe</x:v>
      </x:c>
      <x:c r="B166" t="str">
        <x:v>estudiante</x:v>
      </x:c>
      <x:c r="C166" t="str">
        <x:v>Matías</x:v>
      </x:c>
      <x:c r="D166" t="str">
        <x:v>Valdivia Vargas</x:v>
      </x:c>
      <x:c r="E166" t="str">
        <x:v>72877365</x:v>
      </x:c>
      <x:c r="F166" t="str">
        <x:v>942158956</x:v>
      </x:c>
      <x:c r="G166" s="24" t="b">
        <x:v>1</x:v>
      </x:c>
      <x:c r="H166" t="str">
        <x:v>STUDENT_INITIAL_PASSWORD</x:v>
      </x:c>
    </x:row>
    <x:row r="167">
      <x:c r="A167" t="str">
        <x:v>est0141@alumnos.blenkir.edu.pe</x:v>
      </x:c>
      <x:c r="B167" t="str">
        <x:v>estudiante</x:v>
      </x:c>
      <x:c r="C167" t="str">
        <x:v>Sebastián</x:v>
      </x:c>
      <x:c r="D167" t="str">
        <x:v>Bendezú Castro</x:v>
      </x:c>
      <x:c r="E167" t="str">
        <x:v>89153640</x:v>
      </x:c>
      <x:c r="F167" t="str">
        <x:v>921517195</x:v>
      </x:c>
      <x:c r="G167" s="24" t="b">
        <x:v>1</x:v>
      </x:c>
      <x:c r="H167" t="str">
        <x:v>STUDENT_INITIAL_PASSWORD</x:v>
      </x:c>
    </x:row>
    <x:row r="168">
      <x:c r="A168" t="str">
        <x:v>est0142@alumnos.blenkir.edu.pe</x:v>
      </x:c>
      <x:c r="B168" t="str">
        <x:v>estudiante</x:v>
      </x:c>
      <x:c r="C168" t="str">
        <x:v>Daniela</x:v>
      </x:c>
      <x:c r="D168" t="str">
        <x:v>Dávila Medina</x:v>
      </x:c>
      <x:c r="E168" t="str">
        <x:v>75630067</x:v>
      </x:c>
      <x:c r="F168" t="str">
        <x:v>904657751</x:v>
      </x:c>
      <x:c r="G168" s="24" t="b">
        <x:v>1</x:v>
      </x:c>
      <x:c r="H168" t="str">
        <x:v>STUDENT_INITIAL_PASSWORD</x:v>
      </x:c>
    </x:row>
    <x:row r="169">
      <x:c r="A169" t="str">
        <x:v>est0143@alumnos.blenkir.edu.pe</x:v>
      </x:c>
      <x:c r="B169" t="str">
        <x:v>estudiante</x:v>
      </x:c>
      <x:c r="C169" t="str">
        <x:v>Luciana</x:v>
      </x:c>
      <x:c r="D169" t="str">
        <x:v>Mamani Vargas</x:v>
      </x:c>
      <x:c r="E169" t="str">
        <x:v>83566958</x:v>
      </x:c>
      <x:c r="F169" t="str">
        <x:v>910745684</x:v>
      </x:c>
      <x:c r="G169" s="24" t="b">
        <x:v>1</x:v>
      </x:c>
      <x:c r="H169" t="str">
        <x:v>STUDENT_INITIAL_PASSWORD</x:v>
      </x:c>
    </x:row>
    <x:row r="170">
      <x:c r="A170" t="str">
        <x:v>est0144@alumnos.blenkir.edu.pe</x:v>
      </x:c>
      <x:c r="B170" t="str">
        <x:v>estudiante</x:v>
      </x:c>
      <x:c r="C170" t="str">
        <x:v>Romina</x:v>
      </x:c>
      <x:c r="D170" t="str">
        <x:v>Romero Chávez</x:v>
      </x:c>
      <x:c r="E170" t="str">
        <x:v>82900548</x:v>
      </x:c>
      <x:c r="F170" t="str">
        <x:v>974378191</x:v>
      </x:c>
      <x:c r="G170" s="24" t="b">
        <x:v>1</x:v>
      </x:c>
      <x:c r="H170" t="str">
        <x:v>STUDENT_INITIAL_PASSWORD</x:v>
      </x:c>
    </x:row>
    <x:row r="171">
      <x:c r="A171" t="str">
        <x:v>est0145@alumnos.blenkir.edu.pe</x:v>
      </x:c>
      <x:c r="B171" t="str">
        <x:v>estudiante</x:v>
      </x:c>
      <x:c r="C171" t="str">
        <x:v>Adrián</x:v>
      </x:c>
      <x:c r="D171" t="str">
        <x:v>Yupanqui Mendoza</x:v>
      </x:c>
      <x:c r="E171" t="str">
        <x:v>86977654</x:v>
      </x:c>
      <x:c r="F171" t="str">
        <x:v>998225922</x:v>
      </x:c>
      <x:c r="G171" s="24" t="b">
        <x:v>1</x:v>
      </x:c>
      <x:c r="H171" t="str">
        <x:v>STUDENT_INITIAL_PASSWORD</x:v>
      </x:c>
    </x:row>
    <x:row r="172">
      <x:c r="A172" t="str">
        <x:v>est0146@alumnos.blenkir.edu.pe</x:v>
      </x:c>
      <x:c r="B172" t="str">
        <x:v>estudiante</x:v>
      </x:c>
      <x:c r="C172" t="str">
        <x:v>David</x:v>
      </x:c>
      <x:c r="D172" t="str">
        <x:v>Castillo Vásquez</x:v>
      </x:c>
      <x:c r="E172" t="str">
        <x:v>72411739</x:v>
      </x:c>
      <x:c r="F172" t="str">
        <x:v>951985924</x:v>
      </x:c>
      <x:c r="G172" s="24" t="b">
        <x:v>1</x:v>
      </x:c>
      <x:c r="H172" t="str">
        <x:v>STUDENT_INITIAL_PASSWORD</x:v>
      </x:c>
    </x:row>
    <x:row r="173">
      <x:c r="A173" t="str">
        <x:v>est0147@alumnos.blenkir.edu.pe</x:v>
      </x:c>
      <x:c r="B173" t="str">
        <x:v>estudiante</x:v>
      </x:c>
      <x:c r="C173" t="str">
        <x:v>Gonzalo</x:v>
      </x:c>
      <x:c r="D173" t="str">
        <x:v>Gómez Condori</x:v>
      </x:c>
      <x:c r="E173" t="str">
        <x:v>81913252</x:v>
      </x:c>
      <x:c r="F173" t="str">
        <x:v>977308657</x:v>
      </x:c>
      <x:c r="G173" s="24" t="b">
        <x:v>1</x:v>
      </x:c>
      <x:c r="H173" t="str">
        <x:v>STUDENT_INITIAL_PASSWORD</x:v>
      </x:c>
    </x:row>
    <x:row r="174">
      <x:c r="A174" t="str">
        <x:v>est0148@alumnos.blenkir.edu.pe</x:v>
      </x:c>
      <x:c r="B174" t="str">
        <x:v>estudiante</x:v>
      </x:c>
      <x:c r="C174" t="str">
        <x:v>Juan</x:v>
      </x:c>
      <x:c r="D174" t="str">
        <x:v>Paredes Morales</x:v>
      </x:c>
      <x:c r="E174" t="str">
        <x:v>89485806</x:v>
      </x:c>
      <x:c r="F174" t="str">
        <x:v>935114712</x:v>
      </x:c>
      <x:c r="G174" s="24" t="b">
        <x:v>1</x:v>
      </x:c>
      <x:c r="H174" t="str">
        <x:v>STUDENT_INITIAL_PASSWORD</x:v>
      </x:c>
    </x:row>
    <x:row r="175">
      <x:c r="A175" t="str">
        <x:v>est0149@alumnos.blenkir.edu.pe</x:v>
      </x:c>
      <x:c r="B175" t="str">
        <x:v>estudiante</x:v>
      </x:c>
      <x:c r="C175" t="str">
        <x:v>Pablo</x:v>
      </x:c>
      <x:c r="D175" t="str">
        <x:v>Torres Vega</x:v>
      </x:c>
      <x:c r="E175" t="str">
        <x:v>79467539</x:v>
      </x:c>
      <x:c r="F175" t="str">
        <x:v>958909783</x:v>
      </x:c>
      <x:c r="G175" s="24" t="b">
        <x:v>1</x:v>
      </x:c>
      <x:c r="H175" t="str">
        <x:v>STUDENT_INITIAL_PASSWORD</x:v>
      </x:c>
    </x:row>
    <x:row r="176">
      <x:c r="A176" t="str">
        <x:v>est0150@alumnos.blenkir.edu.pe</x:v>
      </x:c>
      <x:c r="B176" t="str">
        <x:v>estudiante</x:v>
      </x:c>
      <x:c r="C176" t="str">
        <x:v>Víctor</x:v>
      </x:c>
      <x:c r="D176" t="str">
        <x:v>Arias Contreras</x:v>
      </x:c>
      <x:c r="E176" t="str">
        <x:v>74040498</x:v>
      </x:c>
      <x:c r="F176" t="str">
        <x:v>908614928</x:v>
      </x:c>
      <x:c r="G176" s="24" t="b">
        <x:v>1</x:v>
      </x:c>
      <x:c r="H176" t="str">
        <x:v>STUDENT_INITIAL_PASSWORD</x:v>
      </x:c>
    </x:row>
    <x:row r="177">
      <x:c r="A177" t="str">
        <x:v>est0151@alumnos.blenkir.edu.pe</x:v>
      </x:c>
      <x:c r="B177" t="str">
        <x:v>estudiante</x:v>
      </x:c>
      <x:c r="C177" t="str">
        <x:v>Fernanda</x:v>
      </x:c>
      <x:c r="D177" t="str">
        <x:v>Córdova Navarro</x:v>
      </x:c>
      <x:c r="E177" t="str">
        <x:v>84147983</x:v>
      </x:c>
      <x:c r="F177" t="str">
        <x:v>985103465</x:v>
      </x:c>
      <x:c r="G177" s="24" t="b">
        <x:v>1</x:v>
      </x:c>
      <x:c r="H177" t="str">
        <x:v>STUDENT_INITIAL_PASSWORD</x:v>
      </x:c>
    </x:row>
    <x:row r="178">
      <x:c r="A178" t="str">
        <x:v>est0152@alumnos.blenkir.edu.pe</x:v>
      </x:c>
      <x:c r="B178" t="str">
        <x:v>estudiante</x:v>
      </x:c>
      <x:c r="C178" t="str">
        <x:v>Natalia</x:v>
      </x:c>
      <x:c r="D178" t="str">
        <x:v>López Velásquez</x:v>
      </x:c>
      <x:c r="E178" t="str">
        <x:v>85271302</x:v>
      </x:c>
      <x:c r="F178" t="str">
        <x:v>957042838</x:v>
      </x:c>
      <x:c r="G178" s="24" t="b">
        <x:v>1</x:v>
      </x:c>
      <x:c r="H178" t="str">
        <x:v>STUDENT_INITIAL_PASSWORD</x:v>
      </x:c>
    </x:row>
    <x:row r="179">
      <x:c r="A179" t="str">
        <x:v>est0153@alumnos.blenkir.edu.pe</x:v>
      </x:c>
      <x:c r="B179" t="str">
        <x:v>estudiante</x:v>
      </x:c>
      <x:c r="C179" t="str">
        <x:v>Victoria</x:v>
      </x:c>
      <x:c r="D179" t="str">
        <x:v>Rojas Córdova</x:v>
      </x:c>
      <x:c r="E179" t="str">
        <x:v>81448159</x:v>
      </x:c>
      <x:c r="F179" t="str">
        <x:v>940481400</x:v>
      </x:c>
      <x:c r="G179" s="24" t="b">
        <x:v>1</x:v>
      </x:c>
      <x:c r="H179" t="str">
        <x:v>STUDENT_INITIAL_PASSWORD</x:v>
      </x:c>
    </x:row>
    <x:row r="180">
      <x:c r="A180" t="str">
        <x:v>est0154@alumnos.blenkir.edu.pe</x:v>
      </x:c>
      <x:c r="B180" t="str">
        <x:v>estudiante</x:v>
      </x:c>
      <x:c r="C180" t="str">
        <x:v>Bruno</x:v>
      </x:c>
      <x:c r="D180" t="str">
        <x:v>Velásquez Paredes</x:v>
      </x:c>
      <x:c r="E180" t="str">
        <x:v>77560023</x:v>
      </x:c>
      <x:c r="F180" t="str">
        <x:v>934441746</x:v>
      </x:c>
      <x:c r="G180" s="24" t="b">
        <x:v>1</x:v>
      </x:c>
      <x:c r="H180" t="str">
        <x:v>STUDENT_INITIAL_PASSWORD</x:v>
      </x:c>
    </x:row>
    <x:row r="181">
      <x:c r="A181" t="str">
        <x:v>est0155@alumnos.blenkir.edu.pe</x:v>
      </x:c>
      <x:c r="B181" t="str">
        <x:v>estudiante</x:v>
      </x:c>
      <x:c r="C181" t="str">
        <x:v>Emilio</x:v>
      </x:c>
      <x:c r="D181" t="str">
        <x:v>Carrasco Yupanqui</x:v>
      </x:c>
      <x:c r="E181" t="str">
        <x:v>78017422</x:v>
      </x:c>
      <x:c r="F181" t="str">
        <x:v>929615546</x:v>
      </x:c>
      <x:c r="G181" s="24" t="b">
        <x:v>1</x:v>
      </x:c>
      <x:c r="H181" t="str">
        <x:v>STUDENT_INITIAL_PASSWORD</x:v>
      </x:c>
    </x:row>
    <x:row r="182">
      <x:c r="A182" t="str">
        <x:v>est0156@alumnos.blenkir.edu.pe</x:v>
      </x:c>
      <x:c r="B182" t="str">
        <x:v>estudiante</x:v>
      </x:c>
      <x:c r="C182" t="str">
        <x:v>Javier</x:v>
      </x:c>
      <x:c r="D182" t="str">
        <x:v>García Dávila</x:v>
      </x:c>
      <x:c r="E182" t="str">
        <x:v>87741784</x:v>
      </x:c>
      <x:c r="F182" t="str">
        <x:v>959487244</x:v>
      </x:c>
      <x:c r="G182" s="24" t="b">
        <x:v>1</x:v>
      </x:c>
      <x:c r="H182" t="str">
        <x:v>STUDENT_INITIAL_PASSWORD</x:v>
      </x:c>
    </x:row>
    <x:row r="183">
      <x:c r="A183" t="str">
        <x:v>est0157@alumnos.blenkir.edu.pe</x:v>
      </x:c>
      <x:c r="B183" t="str">
        <x:v>estudiante</x:v>
      </x:c>
      <x:c r="C183" t="str">
        <x:v>Mateo</x:v>
      </x:c>
      <x:c r="D183" t="str">
        <x:v>Navarro Pérez</x:v>
      </x:c>
      <x:c r="E183" t="str">
        <x:v>87925658</x:v>
      </x:c>
      <x:c r="F183" t="str">
        <x:v>986381632</x:v>
      </x:c>
      <x:c r="G183" s="24" t="b">
        <x:v>1</x:v>
      </x:c>
      <x:c r="H183" t="str">
        <x:v>STUDENT_INITIAL_PASSWORD</x:v>
      </x:c>
    </x:row>
    <x:row r="184">
      <x:c r="A184" t="str">
        <x:v>est0158@alumnos.blenkir.edu.pe</x:v>
      </x:c>
      <x:c r="B184" t="str">
        <x:v>estudiante</x:v>
      </x:c>
      <x:c r="C184" t="str">
        <x:v>Rodrigo</x:v>
      </x:c>
      <x:c r="D184" t="str">
        <x:v>Soto Zúñiga</x:v>
      </x:c>
      <x:c r="E184" t="str">
        <x:v>87938980</x:v>
      </x:c>
      <x:c r="F184" t="str">
        <x:v>956658308</x:v>
      </x:c>
      <x:c r="G184" s="24" t="b">
        <x:v>1</x:v>
      </x:c>
      <x:c r="H184" t="str">
        <x:v>STUDENT_INITIAL_PASSWORD</x:v>
      </x:c>
    </x:row>
    <x:row r="185">
      <x:c r="A185" t="str">
        <x:v>est0159@alumnos.blenkir.edu.pe</x:v>
      </x:c>
      <x:c r="B185" t="str">
        <x:v>estudiante</x:v>
      </x:c>
      <x:c r="C185" t="str">
        <x:v>Carla</x:v>
      </x:c>
      <x:c r="D185" t="str">
        <x:v>Alvarado De la Cruz</x:v>
      </x:c>
      <x:c r="E185" t="str">
        <x:v>86406666</x:v>
      </x:c>
      <x:c r="F185" t="str">
        <x:v>985284094</x:v>
      </x:c>
      <x:c r="G185" s="24" t="b">
        <x:v>1</x:v>
      </x:c>
      <x:c r="H185" t="str">
        <x:v>STUDENT_INITIAL_PASSWORD</x:v>
      </x:c>
    </x:row>
    <x:row r="186">
      <x:c r="A186" t="str">
        <x:v>est0160@alumnos.blenkir.edu.pe</x:v>
      </x:c>
      <x:c r="B186" t="str">
        <x:v>estudiante</x:v>
      </x:c>
      <x:c r="C186" t="str">
        <x:v>Jimena</x:v>
      </x:c>
      <x:c r="D186" t="str">
        <x:v>Contreras Quispe</x:v>
      </x:c>
      <x:c r="E186" t="str">
        <x:v>87103658</x:v>
      </x:c>
      <x:c r="F186" t="str">
        <x:v>974896504</x:v>
      </x:c>
      <x:c r="G186" s="24" t="b">
        <x:v>1</x:v>
      </x:c>
      <x:c r="H186" t="str">
        <x:v>STUDENT_INITIAL_PASSWORD</x:v>
      </x:c>
    </x:row>
    <x:row r="187">
      <x:c r="A187" t="str">
        <x:v>est0161@alumnos.blenkir.edu.pe</x:v>
      </x:c>
      <x:c r="B187" t="str">
        <x:v>estudiante</x:v>
      </x:c>
      <x:c r="C187" t="str">
        <x:v>Renata</x:v>
      </x:c>
      <x:c r="D187" t="str">
        <x:v>Huamán Aguilar</x:v>
      </x:c>
      <x:c r="E187" t="str">
        <x:v>87815131</x:v>
      </x:c>
      <x:c r="F187" t="str">
        <x:v>915667606</x:v>
      </x:c>
      <x:c r="G187" s="24" t="b">
        <x:v>1</x:v>
      </x:c>
      <x:c r="H187" t="str">
        <x:v>STUDENT_INITIAL_PASSWORD</x:v>
      </x:c>
    </x:row>
    <x:row r="188">
      <x:c r="A188" t="str">
        <x:v>est0162@alumnos.blenkir.edu.pe</x:v>
      </x:c>
      <x:c r="B188" t="str">
        <x:v>estudiante</x:v>
      </x:c>
      <x:c r="C188" t="str">
        <x:v>Alejandra</x:v>
      </x:c>
      <x:c r="D188" t="str">
        <x:v>Ramos Espinoza</x:v>
      </x:c>
      <x:c r="E188" t="str">
        <x:v>73959845</x:v>
      </x:c>
      <x:c r="F188" t="str">
        <x:v>987806861</x:v>
      </x:c>
      <x:c r="G188" s="24" t="b">
        <x:v>1</x:v>
      </x:c>
      <x:c r="H188" t="str">
        <x:v>STUDENT_INITIAL_PASSWORD</x:v>
      </x:c>
    </x:row>
    <x:row r="189">
      <x:c r="A189" t="str">
        <x:v>est0163@alumnos.blenkir.edu.pe</x:v>
      </x:c>
      <x:c r="B189" t="str">
        <x:v>estudiante</x:v>
      </x:c>
      <x:c r="C189" t="str">
        <x:v>Daniel</x:v>
      </x:c>
      <x:c r="D189" t="str">
        <x:v>Vega Ramírez</x:v>
      </x:c>
      <x:c r="E189" t="str">
        <x:v>86842933</x:v>
      </x:c>
      <x:c r="F189" t="str">
        <x:v>900634944</x:v>
      </x:c>
      <x:c r="G189" s="24" t="b">
        <x:v>1</x:v>
      </x:c>
      <x:c r="H189" t="str">
        <x:v>STUDENT_INITIAL_PASSWORD</x:v>
      </x:c>
    </x:row>
    <x:row r="190">
      <x:c r="A190" t="str">
        <x:v>est0164@alumnos.blenkir.edu.pe</x:v>
      </x:c>
      <x:c r="B190" t="str">
        <x:v>estudiante</x:v>
      </x:c>
      <x:c r="C190" t="str">
        <x:v>Gael</x:v>
      </x:c>
      <x:c r="D190" t="str">
        <x:v>Campos Alarcón</x:v>
      </x:c>
      <x:c r="E190" t="str">
        <x:v>71520707</x:v>
      </x:c>
      <x:c r="F190" t="str">
        <x:v>933288914</x:v>
      </x:c>
      <x:c r="G190" s="24" t="b">
        <x:v>1</x:v>
      </x:c>
      <x:c r="H190" t="str">
        <x:v>STUDENT_INITIAL_PASSWORD</x:v>
      </x:c>
    </x:row>
    <x:row r="191">
      <x:c r="A191" t="str">
        <x:v>est0165@alumnos.blenkir.edu.pe</x:v>
      </x:c>
      <x:c r="B191" t="str">
        <x:v>estudiante</x:v>
      </x:c>
      <x:c r="C191" t="str">
        <x:v>José</x:v>
      </x:c>
      <x:c r="D191" t="str">
        <x:v>Flores García</x:v>
      </x:c>
      <x:c r="E191" t="str">
        <x:v>72244913</x:v>
      </x:c>
      <x:c r="F191" t="str">
        <x:v>976773537</x:v>
      </x:c>
      <x:c r="G191" s="24" t="b">
        <x:v>1</x:v>
      </x:c>
      <x:c r="H191" t="str">
        <x:v>STUDENT_INITIAL_PASSWORD</x:v>
      </x:c>
    </x:row>
    <x:row r="192">
      <x:c r="A192" t="str">
        <x:v>est0166@alumnos.blenkir.edu.pe</x:v>
      </x:c>
      <x:c r="B192" t="str">
        <x:v>estudiante</x:v>
      </x:c>
      <x:c r="C192" t="str">
        <x:v>Nicolás</x:v>
      </x:c>
      <x:c r="D192" t="str">
        <x:v>Morales Ramos</x:v>
      </x:c>
      <x:c r="E192" t="str">
        <x:v>70496681</x:v>
      </x:c>
      <x:c r="F192" t="str">
        <x:v>958937473</x:v>
      </x:c>
      <x:c r="G192" s="24" t="b">
        <x:v>1</x:v>
      </x:c>
      <x:c r="H192" t="str">
        <x:v>STUDENT_INITIAL_PASSWORD</x:v>
      </x:c>
    </x:row>
    <x:row r="193">
      <x:c r="A193" t="str">
        <x:v>est0167@alumnos.blenkir.edu.pe</x:v>
      </x:c>
      <x:c r="B193" t="str">
        <x:v>estudiante</x:v>
      </x:c>
      <x:c r="C193" t="str">
        <x:v>Thiago</x:v>
      </x:c>
      <x:c r="D193" t="str">
        <x:v>Silva Alvarado</x:v>
      </x:c>
      <x:c r="E193" t="str">
        <x:v>73549145</x:v>
      </x:c>
      <x:c r="F193" t="str">
        <x:v>910542560</x:v>
      </x:c>
      <x:c r="G193" s="24" t="b">
        <x:v>1</x:v>
      </x:c>
      <x:c r="H193" t="str">
        <x:v>STUDENT_INITIAL_PASSWORD</x:v>
      </x:c>
    </x:row>
    <x:row r="194">
      <x:c r="A194" t="str">
        <x:v>est0168@alumnos.blenkir.edu.pe</x:v>
      </x:c>
      <x:c r="B194" t="str">
        <x:v>estudiante</x:v>
      </x:c>
      <x:c r="C194" t="str">
        <x:v>Fabiana</x:v>
      </x:c>
      <x:c r="D194" t="str">
        <x:v>Alarcón García</x:v>
      </x:c>
      <x:c r="E194" t="str">
        <x:v>70158063</x:v>
      </x:c>
      <x:c r="F194" t="str">
        <x:v>903060228</x:v>
      </x:c>
      <x:c r="G194" s="24" t="b">
        <x:v>1</x:v>
      </x:c>
      <x:c r="H194" t="str">
        <x:v>STUDENT_INITIAL_PASSWORD</x:v>
      </x:c>
    </x:row>
    <x:row r="195">
      <x:c r="A195" t="str">
        <x:v>est0169@alumnos.blenkir.edu.pe</x:v>
      </x:c>
      <x:c r="B195" t="str">
        <x:v>estudiante</x:v>
      </x:c>
      <x:c r="C195" t="str">
        <x:v>Mía</x:v>
      </x:c>
      <x:c r="D195" t="str">
        <x:v>Condori Rojas</x:v>
      </x:c>
      <x:c r="E195" t="str">
        <x:v>80042765</x:v>
      </x:c>
      <x:c r="F195" t="str">
        <x:v>969554081</x:v>
      </x:c>
      <x:c r="G195" s="24" t="b">
        <x:v>1</x:v>
      </x:c>
      <x:c r="H195" t="str">
        <x:v>STUDENT_INITIAL_PASSWORD</x:v>
      </x:c>
    </x:row>
    <x:row r="196">
      <x:c r="A196" t="str">
        <x:v>est0170@alumnos.blenkir.edu.pe</x:v>
      </x:c>
      <x:c r="B196" t="str">
        <x:v>estudiante</x:v>
      </x:c>
      <x:c r="C196" t="str">
        <x:v>Valentina</x:v>
      </x:c>
      <x:c r="D196" t="str">
        <x:v>Gutiérrez Arias</x:v>
      </x:c>
      <x:c r="E196" t="str">
        <x:v>75094789</x:v>
      </x:c>
      <x:c r="F196" t="str">
        <x:v>986525663</x:v>
      </x:c>
      <x:c r="G196" s="24" t="b">
        <x:v>1</x:v>
      </x:c>
      <x:c r="H196" t="str">
        <x:v>STUDENT_INITIAL_PASSWORD</x:v>
      </x:c>
    </x:row>
    <x:row r="197">
      <x:c r="A197" t="str">
        <x:v>est0171@alumnos.blenkir.edu.pe</x:v>
      </x:c>
      <x:c r="B197" t="str">
        <x:v>estudiante</x:v>
      </x:c>
      <x:c r="C197" t="str">
        <x:v>Andrés</x:v>
      </x:c>
      <x:c r="D197" t="str">
        <x:v>Ramírez Gómez</x:v>
      </x:c>
      <x:c r="E197" t="str">
        <x:v>86537718</x:v>
      </x:c>
      <x:c r="F197" t="str">
        <x:v>906116036</x:v>
      </x:c>
      <x:c r="G197" s="24" t="b">
        <x:v>1</x:v>
      </x:c>
      <x:c r="H197" t="str">
        <x:v>STUDENT_INITIAL_PASSWORD</x:v>
      </x:c>
    </x:row>
    <x:row r="198">
      <x:c r="A198" t="str">
        <x:v>est0172@alumnos.blenkir.edu.pe</x:v>
      </x:c>
      <x:c r="B198" t="str">
        <x:v>estudiante</x:v>
      </x:c>
      <x:c r="C198" t="str">
        <x:v>Eduardo</x:v>
      </x:c>
      <x:c r="D198" t="str">
        <x:v>Vásquez Romero</x:v>
      </x:c>
      <x:c r="E198" t="str">
        <x:v>87201620</x:v>
      </x:c>
      <x:c r="F198" t="str">
        <x:v>934380232</x:v>
      </x:c>
      <x:c r="G198" s="24" t="b">
        <x:v>1</x:v>
      </x:c>
      <x:c r="H198" t="str">
        <x:v>STUDENT_INITIAL_PASSWORD</x:v>
      </x:c>
    </x:row>
    <x:row r="199">
      <x:c r="A199" t="str">
        <x:v>est0173@alumnos.blenkir.edu.pe</x:v>
      </x:c>
      <x:c r="B199" t="str">
        <x:v>estudiante</x:v>
      </x:c>
      <x:c r="C199" t="str">
        <x:v>Iván</x:v>
      </x:c>
      <x:c r="D199" t="str">
        <x:v>Cáceres Bendezú</x:v>
      </x:c>
      <x:c r="E199" t="str">
        <x:v>75913270</x:v>
      </x:c>
      <x:c r="F199" t="str">
        <x:v>914062261</x:v>
      </x:c>
      <x:c r="G199" s="24" t="b">
        <x:v>1</x:v>
      </x:c>
      <x:c r="H199" t="str">
        <x:v>STUDENT_INITIAL_PASSWORD</x:v>
      </x:c>
    </x:row>
    <x:row r="200">
      <x:c r="A200" t="str">
        <x:v>est0174@alumnos.blenkir.edu.pe</x:v>
      </x:c>
      <x:c r="B200" t="str">
        <x:v>estudiante</x:v>
      </x:c>
      <x:c r="C200" t="str">
        <x:v>Luis</x:v>
      </x:c>
      <x:c r="D200" t="str">
        <x:v>Espinoza Gonzales</x:v>
      </x:c>
      <x:c r="E200" t="str">
        <x:v>85066159</x:v>
      </x:c>
      <x:c r="F200" t="str">
        <x:v>952409029</x:v>
      </x:c>
      <x:c r="G200" s="24" t="b">
        <x:v>1</x:v>
      </x:c>
      <x:c r="H200" t="str">
        <x:v>STUDENT_INITIAL_PASSWORD</x:v>
      </x:c>
    </x:row>
    <x:row r="201">
      <x:c r="A201" t="str">
        <x:v>est0175@alumnos.blenkir.edu.pe</x:v>
      </x:c>
      <x:c r="B201" t="str">
        <x:v>estudiante</x:v>
      </x:c>
      <x:c r="C201" t="str">
        <x:v>Renato</x:v>
      </x:c>
      <x:c r="D201" t="str">
        <x:v>Mendoza Salazar</x:v>
      </x:c>
      <x:c r="E201" t="str">
        <x:v>75327830</x:v>
      </x:c>
      <x:c r="F201" t="str">
        <x:v>968153659</x:v>
      </x:c>
      <x:c r="G201" s="24" t="b">
        <x:v>1</x:v>
      </x:c>
      <x:c r="H201" t="str">
        <x:v>STUDENT_INITIAL_PASSWORD</x:v>
      </x:c>
    </x:row>
    <x:row r="202">
      <x:c r="A202" t="str">
        <x:v>est0176@alumnos.blenkir.edu.pe</x:v>
      </x:c>
      <x:c r="B202" t="str">
        <x:v>estudiante</x:v>
      </x:c>
      <x:c r="C202" t="str">
        <x:v>Camila</x:v>
      </x:c>
      <x:c r="D202" t="str">
        <x:v>Sánchez Cabrera</x:v>
      </x:c>
      <x:c r="E202" t="str">
        <x:v>79227993</x:v>
      </x:c>
      <x:c r="F202" t="str">
        <x:v>982011817</x:v>
      </x:c>
      <x:c r="G202" s="24" t="b">
        <x:v>1</x:v>
      </x:c>
      <x:c r="H202" t="str">
        <x:v>STUDENT_INITIAL_PASSWORD</x:v>
      </x:c>
    </x:row>
    <x:row r="203">
      <x:c r="A203" t="str">
        <x:v>est0177@alumnos.blenkir.edu.pe</x:v>
      </x:c>
      <x:c r="B203" t="str">
        <x:v>estudiante</x:v>
      </x:c>
      <x:c r="C203" t="str">
        <x:v>Isabella</x:v>
      </x:c>
      <x:c r="D203" t="str">
        <x:v>Aguilar Guerrero</x:v>
      </x:c>
      <x:c r="E203" t="str">
        <x:v>75291559</x:v>
      </x:c>
      <x:c r="F203" t="str">
        <x:v>910374361</x:v>
      </x:c>
      <x:c r="G203" s="24" t="b">
        <x:v>1</x:v>
      </x:c>
      <x:c r="H203" t="str">
        <x:v>STUDENT_INITIAL_PASSWORD</x:v>
      </x:c>
    </x:row>
    <x:row r="204">
      <x:c r="A204" t="str">
        <x:v>est0178@alumnos.blenkir.edu.pe</x:v>
      </x:c>
      <x:c r="B204" t="str">
        <x:v>estudiante</x:v>
      </x:c>
      <x:c r="C204" t="str">
        <x:v>Paula</x:v>
      </x:c>
      <x:c r="D204" t="str">
        <x:v>Chávez Sánchez</x:v>
      </x:c>
      <x:c r="E204" t="str">
        <x:v>81432098</x:v>
      </x:c>
      <x:c r="F204" t="str">
        <x:v>971120475</x:v>
      </x:c>
      <x:c r="G204" s="24" t="b">
        <x:v>1</x:v>
      </x:c>
      <x:c r="H204" t="str">
        <x:v>STUDENT_INITIAL_PASSWORD</x:v>
      </x:c>
    </x:row>
    <x:row r="205">
      <x:c r="A205" t="str">
        <x:v>est0179@alumnos.blenkir.edu.pe</x:v>
      </x:c>
      <x:c r="B205" t="str">
        <x:v>estudiante</x:v>
      </x:c>
      <x:c r="C205" t="str">
        <x:v>Andrea</x:v>
      </x:c>
      <x:c r="D205" t="str">
        <x:v>Guerrero Cáceres</x:v>
      </x:c>
      <x:c r="E205" t="str">
        <x:v>71292863</x:v>
      </x:c>
      <x:c r="F205" t="str">
        <x:v>931982042</x:v>
      </x:c>
      <x:c r="G205" s="24" t="b">
        <x:v>1</x:v>
      </x:c>
      <x:c r="H205" t="str">
        <x:v>STUDENT_INITIAL_PASSWORD</x:v>
      </x:c>
    </x:row>
    <x:row r="206">
      <x:c r="A206" t="str">
        <x:v>est0180@alumnos.blenkir.edu.pe</x:v>
      </x:c>
      <x:c r="B206" t="str">
        <x:v>estudiante</x:v>
      </x:c>
      <x:c r="C206" t="str">
        <x:v>Cristian</x:v>
      </x:c>
      <x:c r="D206" t="str">
        <x:v>Quispe Gutiérrez</x:v>
      </x:c>
      <x:c r="E206" t="str">
        <x:v>75977827</x:v>
      </x:c>
      <x:c r="F206" t="str">
        <x:v>963423159</x:v>
      </x:c>
      <x:c r="G206" s="24" t="b">
        <x:v>1</x:v>
      </x:c>
      <x:c r="H206" t="str">
        <x:v>STUDENT_INITIAL_PASSWORD</x:v>
      </x:c>
    </x:row>
    <x:row r="207">
      <x:c r="A207" t="str">
        <x:v>est0181@alumnos.blenkir.edu.pe</x:v>
      </x:c>
      <x:c r="B207" t="str">
        <x:v>estudiante</x:v>
      </x:c>
      <x:c r="C207" t="str">
        <x:v>Gabriel</x:v>
      </x:c>
      <x:c r="D207" t="str">
        <x:v>Vargas Silva</x:v>
      </x:c>
      <x:c r="E207" t="str">
        <x:v>70323741</x:v>
      </x:c>
      <x:c r="F207" t="str">
        <x:v>965590841</x:v>
      </x:c>
      <x:c r="G207" s="24" t="b">
        <x:v>1</x:v>
      </x:c>
      <x:c r="H207" t="str">
        <x:v>STUDENT_INITIAL_PASSWORD</x:v>
      </x:c>
    </x:row>
    <x:row r="208">
      <x:c r="A208" t="str">
        <x:v>est0182@alumnos.blenkir.edu.pe</x:v>
      </x:c>
      <x:c r="B208" t="str">
        <x:v>estudiante</x:v>
      </x:c>
      <x:c r="C208" t="str">
        <x:v>Jorge</x:v>
      </x:c>
      <x:c r="D208" t="str">
        <x:v>Cabrera Campos</x:v>
      </x:c>
      <x:c r="E208" t="str">
        <x:v>80276948</x:v>
      </x:c>
      <x:c r="F208" t="str">
        <x:v>956121858</x:v>
      </x:c>
      <x:c r="G208" s="24" t="b">
        <x:v>1</x:v>
      </x:c>
      <x:c r="H208" t="str">
        <x:v>STUDENT_INITIAL_PASSWORD</x:v>
      </x:c>
    </x:row>
    <x:row r="209">
      <x:c r="A209" t="str">
        <x:v>est0183@alumnos.blenkir.edu.pe</x:v>
      </x:c>
      <x:c r="B209" t="str">
        <x:v>estudiante</x:v>
      </x:c>
      <x:c r="C209" t="str">
        <x:v>Miguel</x:v>
      </x:c>
      <x:c r="D209" t="str">
        <x:v>De la Cruz Huamán</x:v>
      </x:c>
      <x:c r="E209" t="str">
        <x:v>80542628</x:v>
      </x:c>
      <x:c r="F209" t="str">
        <x:v>914212569</x:v>
      </x:c>
      <x:c r="G209" s="24" t="b">
        <x:v>1</x:v>
      </x:c>
      <x:c r="H209" t="str">
        <x:v>STUDENT_INITIAL_PASSWORD</x:v>
      </x:c>
    </x:row>
    <x:row r="210">
      <x:c r="A210" t="str">
        <x:v>est0184@alumnos.blenkir.edu.pe</x:v>
      </x:c>
      <x:c r="B210" t="str">
        <x:v>estudiante</x:v>
      </x:c>
      <x:c r="C210" t="str">
        <x:v>Sergio</x:v>
      </x:c>
      <x:c r="D210" t="str">
        <x:v>Medina Soto</x:v>
      </x:c>
      <x:c r="E210" t="str">
        <x:v>82886239</x:v>
      </x:c>
      <x:c r="F210" t="str">
        <x:v>973115857</x:v>
      </x:c>
      <x:c r="G210" s="24" t="b">
        <x:v>1</x:v>
      </x:c>
      <x:c r="H210" t="str">
        <x:v>STUDENT_INITIAL_PASSWORD</x:v>
      </x:c>
    </x:row>
    <x:row r="211">
      <x:c r="A211" t="str">
        <x:v>est0185@alumnos.blenkir.edu.pe</x:v>
      </x:c>
      <x:c r="B211" t="str">
        <x:v>estudiante</x:v>
      </x:c>
      <x:c r="C211" t="str">
        <x:v>Elena</x:v>
      </x:c>
      <x:c r="D211" t="str">
        <x:v>Salazar Carrasco</x:v>
      </x:c>
      <x:c r="E211" t="str">
        <x:v>83447111</x:v>
      </x:c>
      <x:c r="F211" t="str">
        <x:v>968567832</x:v>
      </x:c>
      <x:c r="G211" s="24" t="b">
        <x:v>1</x:v>
      </x:c>
      <x:c r="H211" t="str">
        <x:v>STUDENT_INITIAL_PASSWORD</x:v>
      </x:c>
    </x:row>
    <x:row r="212">
      <x:c r="A212" t="str">
        <x:v>est0186@alumnos.blenkir.edu.pe</x:v>
      </x:c>
      <x:c r="B212" t="str">
        <x:v>estudiante</x:v>
      </x:c>
      <x:c r="C212" t="str">
        <x:v>Mariana</x:v>
      </x:c>
      <x:c r="D212" t="str">
        <x:v>Zúñiga López</x:v>
      </x:c>
      <x:c r="E212" t="str">
        <x:v>80536000</x:v>
      </x:c>
      <x:c r="F212" t="str">
        <x:v>922114734</x:v>
      </x:c>
      <x:c r="G212" s="24" t="b">
        <x:v>1</x:v>
      </x:c>
      <x:c r="H212" t="str">
        <x:v>STUDENT_INITIAL_PASSWORD</x:v>
      </x:c>
    </x:row>
    <x:row r="213">
      <x:c r="A213" t="str">
        <x:v>est0187@alumnos.blenkir.edu.pe</x:v>
      </x:c>
      <x:c r="B213" t="str">
        <x:v>estudiante</x:v>
      </x:c>
      <x:c r="C213" t="str">
        <x:v>Sofía</x:v>
      </x:c>
      <x:c r="D213" t="str">
        <x:v>Castro Torres</x:v>
      </x:c>
      <x:c r="E213" t="str">
        <x:v>89599977</x:v>
      </x:c>
      <x:c r="F213" t="str">
        <x:v>979458324</x:v>
      </x:c>
      <x:c r="G213" s="24" t="b">
        <x:v>1</x:v>
      </x:c>
      <x:c r="H213" t="str">
        <x:v>STUDENT_INITIAL_PASSWORD</x:v>
      </x:c>
    </x:row>
    <x:row r="214">
      <x:c r="A214" t="str">
        <x:v>est0188@alumnos.blenkir.edu.pe</x:v>
      </x:c>
      <x:c r="B214" t="str">
        <x:v>estudiante</x:v>
      </x:c>
      <x:c r="C214" t="str">
        <x:v>Alejandro</x:v>
      </x:c>
      <x:c r="D214" t="str">
        <x:v>Gonzales Castillo</x:v>
      </x:c>
      <x:c r="E214" t="str">
        <x:v>85366929</x:v>
      </x:c>
      <x:c r="F214" t="str">
        <x:v>994286349</x:v>
      </x:c>
      <x:c r="G214" s="24" t="b">
        <x:v>1</x:v>
      </x:c>
      <x:c r="H214" t="str">
        <x:v>STUDENT_INITIAL_PASSWORD</x:v>
      </x:c>
    </x:row>
    <x:row r="215">
      <x:c r="A215" t="str">
        <x:v>est0189@alumnos.blenkir.edu.pe</x:v>
      </x:c>
      <x:c r="B215" t="str">
        <x:v>estudiante</x:v>
      </x:c>
      <x:c r="C215" t="str">
        <x:v>Diego</x:v>
      </x:c>
      <x:c r="D215" t="str">
        <x:v>Pérez Mamani</x:v>
      </x:c>
      <x:c r="E215" t="str">
        <x:v>84052094</x:v>
      </x:c>
      <x:c r="F215" t="str">
        <x:v>922654374</x:v>
      </x:c>
      <x:c r="G215" s="24" t="b">
        <x:v>1</x:v>
      </x:c>
      <x:c r="H215" t="str">
        <x:v>STUDENT_INITIAL_PASSWORD</x:v>
      </x:c>
    </x:row>
    <x:row r="216">
      <x:c r="A216" t="str">
        <x:v>est0190@alumnos.blenkir.edu.pe</x:v>
      </x:c>
      <x:c r="B216" t="str">
        <x:v>estudiante</x:v>
      </x:c>
      <x:c r="C216" t="str">
        <x:v>Héctor</x:v>
      </x:c>
      <x:c r="D216" t="str">
        <x:v>Valdivia Vargas</x:v>
      </x:c>
      <x:c r="E216" t="str">
        <x:v>85557467</x:v>
      </x:c>
      <x:c r="F216" t="str">
        <x:v>986947292</x:v>
      </x:c>
      <x:c r="G216" s="24" t="b">
        <x:v>1</x:v>
      </x:c>
      <x:c r="H216" t="str">
        <x:v>STUDENT_INITIAL_PASSWORD</x:v>
      </x:c>
    </x:row>
    <x:row r="217">
      <x:c r="A217" t="str">
        <x:v>est0191@alumnos.blenkir.edu.pe</x:v>
      </x:c>
      <x:c r="B217" t="str">
        <x:v>estudiante</x:v>
      </x:c>
      <x:c r="C217" t="str">
        <x:v>Leonardo</x:v>
      </x:c>
      <x:c r="D217" t="str">
        <x:v>Bendezú Castro</x:v>
      </x:c>
      <x:c r="E217" t="str">
        <x:v>88774055</x:v>
      </x:c>
      <x:c r="F217" t="str">
        <x:v>910872331</x:v>
      </x:c>
      <x:c r="G217" s="24" t="b">
        <x:v>1</x:v>
      </x:c>
      <x:c r="H217" t="str">
        <x:v>STUDENT_INITIAL_PASSWORD</x:v>
      </x:c>
    </x:row>
    <x:row r="218">
      <x:c r="A218" t="str">
        <x:v>est0192@alumnos.blenkir.edu.pe</x:v>
      </x:c>
      <x:c r="B218" t="str">
        <x:v>estudiante</x:v>
      </x:c>
      <x:c r="C218" t="str">
        <x:v>Rafael</x:v>
      </x:c>
      <x:c r="D218" t="str">
        <x:v>Dávila Medina</x:v>
      </x:c>
      <x:c r="E218" t="str">
        <x:v>70698100</x:v>
      </x:c>
      <x:c r="F218" t="str">
        <x:v>989889979</x:v>
      </x:c>
      <x:c r="G218" s="24" t="b">
        <x:v>1</x:v>
      </x:c>
      <x:c r="H218" t="str">
        <x:v>STUDENT_INITIAL_PASSWORD</x:v>
      </x:c>
    </x:row>
    <x:row r="219">
      <x:c r="A219" t="str">
        <x:v>est0193@alumnos.blenkir.edu.pe</x:v>
      </x:c>
      <x:c r="B219" t="str">
        <x:v>estudiante</x:v>
      </x:c>
      <x:c r="C219" t="str">
        <x:v>Ariana</x:v>
      </x:c>
      <x:c r="D219" t="str">
        <x:v>Mamani Vargas</x:v>
      </x:c>
      <x:c r="E219" t="str">
        <x:v>79477097</x:v>
      </x:c>
      <x:c r="F219" t="str">
        <x:v>931880866</x:v>
      </x:c>
      <x:c r="G219" s="24" t="b">
        <x:v>1</x:v>
      </x:c>
      <x:c r="H219" t="str">
        <x:v>STUDENT_INITIAL_PASSWORD</x:v>
      </x:c>
    </x:row>
    <x:row r="220">
      <x:c r="A220" t="str">
        <x:v>est0194@alumnos.blenkir.edu.pe</x:v>
      </x:c>
      <x:c r="B220" t="str">
        <x:v>estudiante</x:v>
      </x:c>
      <x:c r="C220" t="str">
        <x:v>Gabriela</x:v>
      </x:c>
      <x:c r="D220" t="str">
        <x:v>Romero Chávez</x:v>
      </x:c>
      <x:c r="E220" t="str">
        <x:v>76622311</x:v>
      </x:c>
      <x:c r="F220" t="str">
        <x:v>968077488</x:v>
      </x:c>
      <x:c r="G220" s="24" t="b">
        <x:v>1</x:v>
      </x:c>
      <x:c r="H220" t="str">
        <x:v>STUDENT_INITIAL_PASSWORD</x:v>
      </x:c>
    </x:row>
    <x:row r="221">
      <x:c r="A221" t="str">
        <x:v>est0195@alumnos.blenkir.edu.pe</x:v>
      </x:c>
      <x:c r="B221" t="str">
        <x:v>estudiante</x:v>
      </x:c>
      <x:c r="C221" t="str">
        <x:v>Nicole</x:v>
      </x:c>
      <x:c r="D221" t="str">
        <x:v>Yupanqui Mendoza</x:v>
      </x:c>
      <x:c r="E221" t="str">
        <x:v>89927149</x:v>
      </x:c>
      <x:c r="F221" t="str">
        <x:v>945582712</x:v>
      </x:c>
      <x:c r="G221" s="24" t="b">
        <x:v>1</x:v>
      </x:c>
      <x:c r="H221" t="str">
        <x:v>STUDENT_INITIAL_PASSWORD</x:v>
      </x:c>
    </x:row>
    <x:row r="222">
      <x:c r="A222" t="str">
        <x:v>est0196@alumnos.blenkir.edu.pe</x:v>
      </x:c>
      <x:c r="B222" t="str">
        <x:v>estudiante</x:v>
      </x:c>
      <x:c r="C222" t="str">
        <x:v>Ximena</x:v>
      </x:c>
      <x:c r="D222" t="str">
        <x:v>Castillo Vásquez</x:v>
      </x:c>
      <x:c r="E222" t="str">
        <x:v>78947883</x:v>
      </x:c>
      <x:c r="F222" t="str">
        <x:v>990026952</x:v>
      </x:c>
      <x:c r="G222" s="24" t="b">
        <x:v>1</x:v>
      </x:c>
      <x:c r="H222" t="str">
        <x:v>STUDENT_INITIAL_PASSWORD</x:v>
      </x:c>
    </x:row>
    <x:row r="223">
      <x:c r="A223" t="str">
        <x:v>est0197@alumnos.blenkir.edu.pe</x:v>
      </x:c>
      <x:c r="B223" t="str">
        <x:v>estudiante</x:v>
      </x:c>
      <x:c r="C223" t="str">
        <x:v>Carlos</x:v>
      </x:c>
      <x:c r="D223" t="str">
        <x:v>Gómez Condori</x:v>
      </x:c>
      <x:c r="E223" t="str">
        <x:v>83314631</x:v>
      </x:c>
      <x:c r="F223" t="str">
        <x:v>916182635</x:v>
      </x:c>
      <x:c r="G223" s="24" t="b">
        <x:v>1</x:v>
      </x:c>
      <x:c r="H223" t="str">
        <x:v>STUDENT_INITIAL_PASSWORD</x:v>
      </x:c>
    </x:row>
    <x:row r="224">
      <x:c r="A224" t="str">
        <x:v>est0198@alumnos.blenkir.edu.pe</x:v>
      </x:c>
      <x:c r="B224" t="str">
        <x:v>estudiante</x:v>
      </x:c>
      <x:c r="C224" t="str">
        <x:v>Fernando</x:v>
      </x:c>
      <x:c r="D224" t="str">
        <x:v>Paredes Morales</x:v>
      </x:c>
      <x:c r="E224" t="str">
        <x:v>89770035</x:v>
      </x:c>
      <x:c r="F224" t="str">
        <x:v>939864229</x:v>
      </x:c>
      <x:c r="G224" s="24" t="b">
        <x:v>1</x:v>
      </x:c>
      <x:c r="H224" t="str">
        <x:v>STUDENT_INITIAL_PASSWORD</x:v>
      </x:c>
    </x:row>
    <x:row r="225">
      <x:c r="A225" t="str">
        <x:v>est0199@alumnos.blenkir.edu.pe</x:v>
      </x:c>
      <x:c r="B225" t="str">
        <x:v>estudiante</x:v>
      </x:c>
      <x:c r="C225" t="str">
        <x:v>Joaquín</x:v>
      </x:c>
      <x:c r="D225" t="str">
        <x:v>Torres Vega</x:v>
      </x:c>
      <x:c r="E225" t="str">
        <x:v>74002505</x:v>
      </x:c>
      <x:c r="F225" t="str">
        <x:v>969306896</x:v>
      </x:c>
      <x:c r="G225" s="24" t="b">
        <x:v>1</x:v>
      </x:c>
      <x:c r="H225" t="str">
        <x:v>STUDENT_INITIAL_PASSWORD</x:v>
      </x:c>
    </x:row>
    <x:row r="226">
      <x:c r="A226" t="str">
        <x:v>est0200@alumnos.blenkir.edu.pe</x:v>
      </x:c>
      <x:c r="B226" t="str">
        <x:v>estudiante</x:v>
      </x:c>
      <x:c r="C226" t="str">
        <x:v>Matías</x:v>
      </x:c>
      <x:c r="D226" t="str">
        <x:v>Arias Contreras</x:v>
      </x:c>
      <x:c r="E226" t="str">
        <x:v>83791903</x:v>
      </x:c>
      <x:c r="F226" t="str">
        <x:v>977249126</x:v>
      </x:c>
      <x:c r="G226" s="24" t="b">
        <x:v>1</x:v>
      </x:c>
      <x:c r="H226" t="str">
        <x:v>STUDENT_INITIAL_PASSWORD</x:v>
      </x:c>
    </x:row>
    <x:row r="227">
      <x:c r="A227" t="str">
        <x:v>est0201@alumnos.blenkir.edu.pe</x:v>
      </x:c>
      <x:c r="B227" t="str">
        <x:v>estudiante</x:v>
      </x:c>
      <x:c r="C227" t="str">
        <x:v>Sebastián</x:v>
      </x:c>
      <x:c r="D227" t="str">
        <x:v>Córdova Navarro</x:v>
      </x:c>
      <x:c r="E227" t="str">
        <x:v>72272555</x:v>
      </x:c>
      <x:c r="F227" t="str">
        <x:v>955760981</x:v>
      </x:c>
      <x:c r="G227" s="24" t="b">
        <x:v>1</x:v>
      </x:c>
      <x:c r="H227" t="str">
        <x:v>STUDENT_INITIAL_PASSWORD</x:v>
      </x:c>
    </x:row>
    <x:row r="228">
      <x:c r="A228" t="str">
        <x:v>est0202@alumnos.blenkir.edu.pe</x:v>
      </x:c>
      <x:c r="B228" t="str">
        <x:v>estudiante</x:v>
      </x:c>
      <x:c r="C228" t="str">
        <x:v>Daniela</x:v>
      </x:c>
      <x:c r="D228" t="str">
        <x:v>López Velásquez</x:v>
      </x:c>
      <x:c r="E228" t="str">
        <x:v>76707895</x:v>
      </x:c>
      <x:c r="F228" t="str">
        <x:v>985145281</x:v>
      </x:c>
      <x:c r="G228" s="24" t="b">
        <x:v>1</x:v>
      </x:c>
      <x:c r="H228" t="str">
        <x:v>STUDENT_INITIAL_PASSWORD</x:v>
      </x:c>
    </x:row>
    <x:row r="229">
      <x:c r="A229" t="str">
        <x:v>est0203@alumnos.blenkir.edu.pe</x:v>
      </x:c>
      <x:c r="B229" t="str">
        <x:v>estudiante</x:v>
      </x:c>
      <x:c r="C229" t="str">
        <x:v>Luciana</x:v>
      </x:c>
      <x:c r="D229" t="str">
        <x:v>Rojas Córdova</x:v>
      </x:c>
      <x:c r="E229" t="str">
        <x:v>89108283</x:v>
      </x:c>
      <x:c r="F229" t="str">
        <x:v>934765951</x:v>
      </x:c>
      <x:c r="G229" s="24" t="b">
        <x:v>1</x:v>
      </x:c>
      <x:c r="H229" t="str">
        <x:v>STUDENT_INITIAL_PASSWORD</x:v>
      </x:c>
    </x:row>
    <x:row r="230">
      <x:c r="A230" t="str">
        <x:v>est0204@alumnos.blenkir.edu.pe</x:v>
      </x:c>
      <x:c r="B230" t="str">
        <x:v>estudiante</x:v>
      </x:c>
      <x:c r="C230" t="str">
        <x:v>Romina</x:v>
      </x:c>
      <x:c r="D230" t="str">
        <x:v>Velásquez Paredes</x:v>
      </x:c>
      <x:c r="E230" t="str">
        <x:v>70546057</x:v>
      </x:c>
      <x:c r="F230" t="str">
        <x:v>979114201</x:v>
      </x:c>
      <x:c r="G230" s="24" t="b">
        <x:v>1</x:v>
      </x:c>
      <x:c r="H230" t="str">
        <x:v>STUDENT_INITIAL_PASSWORD</x:v>
      </x:c>
    </x:row>
    <x:row r="231">
      <x:c r="A231" t="str">
        <x:v>est0205@alumnos.blenkir.edu.pe</x:v>
      </x:c>
      <x:c r="B231" t="str">
        <x:v>estudiante</x:v>
      </x:c>
      <x:c r="C231" t="str">
        <x:v>Adrián</x:v>
      </x:c>
      <x:c r="D231" t="str">
        <x:v>Carrasco Yupanqui</x:v>
      </x:c>
      <x:c r="E231" t="str">
        <x:v>75941050</x:v>
      </x:c>
      <x:c r="F231" t="str">
        <x:v>971990167</x:v>
      </x:c>
      <x:c r="G231" s="24" t="b">
        <x:v>1</x:v>
      </x:c>
      <x:c r="H231" t="str">
        <x:v>STUDENT_INITIAL_PASSWORD</x:v>
      </x:c>
    </x:row>
    <x:row r="232">
      <x:c r="A232" t="str">
        <x:v>est0206@alumnos.blenkir.edu.pe</x:v>
      </x:c>
      <x:c r="B232" t="str">
        <x:v>estudiante</x:v>
      </x:c>
      <x:c r="C232" t="str">
        <x:v>David</x:v>
      </x:c>
      <x:c r="D232" t="str">
        <x:v>García Dávila</x:v>
      </x:c>
      <x:c r="E232" t="str">
        <x:v>77346327</x:v>
      </x:c>
      <x:c r="F232" t="str">
        <x:v>994124591</x:v>
      </x:c>
      <x:c r="G232" s="24" t="b">
        <x:v>1</x:v>
      </x:c>
      <x:c r="H232" t="str">
        <x:v>STUDENT_INITIAL_PASSWORD</x:v>
      </x:c>
    </x:row>
    <x:row r="233">
      <x:c r="A233" t="str">
        <x:v>est0207@alumnos.blenkir.edu.pe</x:v>
      </x:c>
      <x:c r="B233" t="str">
        <x:v>estudiante</x:v>
      </x:c>
      <x:c r="C233" t="str">
        <x:v>Gonzalo</x:v>
      </x:c>
      <x:c r="D233" t="str">
        <x:v>Navarro Pérez</x:v>
      </x:c>
      <x:c r="E233" t="str">
        <x:v>85850851</x:v>
      </x:c>
      <x:c r="F233" t="str">
        <x:v>966848436</x:v>
      </x:c>
      <x:c r="G233" s="24" t="b">
        <x:v>1</x:v>
      </x:c>
      <x:c r="H233" t="str">
        <x:v>STUDENT_INITIAL_PASSWORD</x:v>
      </x:c>
    </x:row>
    <x:row r="234">
      <x:c r="A234" t="str">
        <x:v>est0208@alumnos.blenkir.edu.pe</x:v>
      </x:c>
      <x:c r="B234" t="str">
        <x:v>estudiante</x:v>
      </x:c>
      <x:c r="C234" t="str">
        <x:v>Juan</x:v>
      </x:c>
      <x:c r="D234" t="str">
        <x:v>Soto Zúñiga</x:v>
      </x:c>
      <x:c r="E234" t="str">
        <x:v>82415940</x:v>
      </x:c>
      <x:c r="F234" t="str">
        <x:v>964727349</x:v>
      </x:c>
      <x:c r="G234" s="24" t="b">
        <x:v>1</x:v>
      </x:c>
      <x:c r="H234" t="str">
        <x:v>STUDENT_INITIAL_PASSWORD</x:v>
      </x:c>
    </x:row>
    <x:row r="235">
      <x:c r="A235" t="str">
        <x:v>est0209@alumnos.blenkir.edu.pe</x:v>
      </x:c>
      <x:c r="B235" t="str">
        <x:v>estudiante</x:v>
      </x:c>
      <x:c r="C235" t="str">
        <x:v>Pablo</x:v>
      </x:c>
      <x:c r="D235" t="str">
        <x:v>Alvarado De la Cruz</x:v>
      </x:c>
      <x:c r="E235" t="str">
        <x:v>72286075</x:v>
      </x:c>
      <x:c r="F235" t="str">
        <x:v>964839635</x:v>
      </x:c>
      <x:c r="G235" s="24" t="b">
        <x:v>1</x:v>
      </x:c>
      <x:c r="H235" t="str">
        <x:v>STUDENT_INITIAL_PASSWORD</x:v>
      </x:c>
    </x:row>
    <x:row r="236">
      <x:c r="A236" t="str">
        <x:v>est0210@alumnos.blenkir.edu.pe</x:v>
      </x:c>
      <x:c r="B236" t="str">
        <x:v>estudiante</x:v>
      </x:c>
      <x:c r="C236" t="str">
        <x:v>Víctor</x:v>
      </x:c>
      <x:c r="D236" t="str">
        <x:v>Contreras Quispe</x:v>
      </x:c>
      <x:c r="E236" t="str">
        <x:v>85534824</x:v>
      </x:c>
      <x:c r="F236" t="str">
        <x:v>906054701</x:v>
      </x:c>
      <x:c r="G236" s="24" t="b">
        <x:v>1</x:v>
      </x:c>
      <x:c r="H236" t="str">
        <x:v>STUDENT_INITIAL_PASSWORD</x:v>
      </x:c>
    </x:row>
    <x:row r="237">
      <x:c r="A237" t="str">
        <x:v>est0211@alumnos.blenkir.edu.pe</x:v>
      </x:c>
      <x:c r="B237" t="str">
        <x:v>estudiante</x:v>
      </x:c>
      <x:c r="C237" t="str">
        <x:v>Fernanda</x:v>
      </x:c>
      <x:c r="D237" t="str">
        <x:v>Huamán Aguilar</x:v>
      </x:c>
      <x:c r="E237" t="str">
        <x:v>89219014</x:v>
      </x:c>
      <x:c r="F237" t="str">
        <x:v>962634870</x:v>
      </x:c>
      <x:c r="G237" s="24" t="b">
        <x:v>1</x:v>
      </x:c>
      <x:c r="H237" t="str">
        <x:v>STUDENT_INITIAL_PASSWORD</x:v>
      </x:c>
    </x:row>
    <x:row r="238">
      <x:c r="A238" t="str">
        <x:v>est0212@alumnos.blenkir.edu.pe</x:v>
      </x:c>
      <x:c r="B238" t="str">
        <x:v>estudiante</x:v>
      </x:c>
      <x:c r="C238" t="str">
        <x:v>Natalia</x:v>
      </x:c>
      <x:c r="D238" t="str">
        <x:v>Ramos Espinoza</x:v>
      </x:c>
      <x:c r="E238" t="str">
        <x:v>89896728</x:v>
      </x:c>
      <x:c r="F238" t="str">
        <x:v>991952785</x:v>
      </x:c>
      <x:c r="G238" s="24" t="b">
        <x:v>1</x:v>
      </x:c>
      <x:c r="H238" t="str">
        <x:v>STUDENT_INITIAL_PASSWORD</x:v>
      </x:c>
    </x:row>
    <x:row r="239">
      <x:c r="A239" t="str">
        <x:v>est0213@alumnos.blenkir.edu.pe</x:v>
      </x:c>
      <x:c r="B239" t="str">
        <x:v>estudiante</x:v>
      </x:c>
      <x:c r="C239" t="str">
        <x:v>Victoria</x:v>
      </x:c>
      <x:c r="D239" t="str">
        <x:v>Vega Ramírez</x:v>
      </x:c>
      <x:c r="E239" t="str">
        <x:v>89076899</x:v>
      </x:c>
      <x:c r="F239" t="str">
        <x:v>955175128</x:v>
      </x:c>
      <x:c r="G239" s="24" t="b">
        <x:v>1</x:v>
      </x:c>
      <x:c r="H239" t="str">
        <x:v>STUDENT_INITIAL_PASSWORD</x:v>
      </x:c>
    </x:row>
    <x:row r="240">
      <x:c r="A240" t="str">
        <x:v>est0214@alumnos.blenkir.edu.pe</x:v>
      </x:c>
      <x:c r="B240" t="str">
        <x:v>estudiante</x:v>
      </x:c>
      <x:c r="C240" t="str">
        <x:v>Bruno</x:v>
      </x:c>
      <x:c r="D240" t="str">
        <x:v>Campos Alarcón</x:v>
      </x:c>
      <x:c r="E240" t="str">
        <x:v>73511098</x:v>
      </x:c>
      <x:c r="F240" t="str">
        <x:v>961541896</x:v>
      </x:c>
      <x:c r="G240" s="24" t="b">
        <x:v>1</x:v>
      </x:c>
      <x:c r="H240" t="str">
        <x:v>STUDENT_INITIAL_PASSWORD</x:v>
      </x:c>
    </x:row>
    <x:row r="241">
      <x:c r="A241" t="str">
        <x:v>est0215@alumnos.blenkir.edu.pe</x:v>
      </x:c>
      <x:c r="B241" t="str">
        <x:v>estudiante</x:v>
      </x:c>
      <x:c r="C241" t="str">
        <x:v>Emilio</x:v>
      </x:c>
      <x:c r="D241" t="str">
        <x:v>Flores García</x:v>
      </x:c>
      <x:c r="E241" t="str">
        <x:v>88047013</x:v>
      </x:c>
      <x:c r="F241" t="str">
        <x:v>908202164</x:v>
      </x:c>
      <x:c r="G241" s="24" t="b">
        <x:v>1</x:v>
      </x:c>
      <x:c r="H241" t="str">
        <x:v>STUDENT_INITIAL_PASSWORD</x:v>
      </x:c>
    </x:row>
    <x:row r="242">
      <x:c r="A242" t="str">
        <x:v>est0216@alumnos.blenkir.edu.pe</x:v>
      </x:c>
      <x:c r="B242" t="str">
        <x:v>estudiante</x:v>
      </x:c>
      <x:c r="C242" t="str">
        <x:v>Javier</x:v>
      </x:c>
      <x:c r="D242" t="str">
        <x:v>Morales Ramos</x:v>
      </x:c>
      <x:c r="E242" t="str">
        <x:v>75893299</x:v>
      </x:c>
      <x:c r="F242" t="str">
        <x:v>941886746</x:v>
      </x:c>
      <x:c r="G242" s="24" t="b">
        <x:v>1</x:v>
      </x:c>
      <x:c r="H242" t="str">
        <x:v>STUDENT_INITIAL_PASSWORD</x:v>
      </x:c>
    </x:row>
    <x:row r="243">
      <x:c r="A243" t="str">
        <x:v>est0217@alumnos.blenkir.edu.pe</x:v>
      </x:c>
      <x:c r="B243" t="str">
        <x:v>estudiante</x:v>
      </x:c>
      <x:c r="C243" t="str">
        <x:v>Mateo</x:v>
      </x:c>
      <x:c r="D243" t="str">
        <x:v>Silva Alvarado</x:v>
      </x:c>
      <x:c r="E243" t="str">
        <x:v>76644669</x:v>
      </x:c>
      <x:c r="F243" t="str">
        <x:v>943232823</x:v>
      </x:c>
      <x:c r="G243" s="24" t="b">
        <x:v>1</x:v>
      </x:c>
      <x:c r="H243" t="str">
        <x:v>STUDENT_INITIAL_PASSWORD</x:v>
      </x:c>
    </x:row>
    <x:row r="244">
      <x:c r="A244" t="str">
        <x:v>est0218@alumnos.blenkir.edu.pe</x:v>
      </x:c>
      <x:c r="B244" t="str">
        <x:v>estudiante</x:v>
      </x:c>
      <x:c r="C244" t="str">
        <x:v>Rodrigo</x:v>
      </x:c>
      <x:c r="D244" t="str">
        <x:v>Alarcón García</x:v>
      </x:c>
      <x:c r="E244" t="str">
        <x:v>77384535</x:v>
      </x:c>
      <x:c r="F244" t="str">
        <x:v>941256196</x:v>
      </x:c>
      <x:c r="G244" s="24" t="b">
        <x:v>1</x:v>
      </x:c>
      <x:c r="H244" t="str">
        <x:v>STUDENT_INITIAL_PASSWORD</x:v>
      </x:c>
    </x:row>
    <x:row r="245">
      <x:c r="A245" t="str">
        <x:v>est0219@alumnos.blenkir.edu.pe</x:v>
      </x:c>
      <x:c r="B245" t="str">
        <x:v>estudiante</x:v>
      </x:c>
      <x:c r="C245" t="str">
        <x:v>Carla</x:v>
      </x:c>
      <x:c r="D245" t="str">
        <x:v>Condori Rojas</x:v>
      </x:c>
      <x:c r="E245" t="str">
        <x:v>83688509</x:v>
      </x:c>
      <x:c r="F245" t="str">
        <x:v>917542816</x:v>
      </x:c>
      <x:c r="G245" s="24" t="b">
        <x:v>1</x:v>
      </x:c>
      <x:c r="H245" t="str">
        <x:v>STUDENT_INITIAL_PASSWORD</x:v>
      </x:c>
    </x:row>
    <x:row r="246">
      <x:c r="A246" t="str">
        <x:v>est0220@alumnos.blenkir.edu.pe</x:v>
      </x:c>
      <x:c r="B246" t="str">
        <x:v>estudiante</x:v>
      </x:c>
      <x:c r="C246" t="str">
        <x:v>Jimena</x:v>
      </x:c>
      <x:c r="D246" t="str">
        <x:v>Gutiérrez Arias</x:v>
      </x:c>
      <x:c r="E246" t="str">
        <x:v>88783307</x:v>
      </x:c>
      <x:c r="F246" t="str">
        <x:v>915350030</x:v>
      </x:c>
      <x:c r="G246" s="24" t="b">
        <x:v>1</x:v>
      </x:c>
      <x:c r="H246" t="str">
        <x:v>STUDENT_INITIAL_PASSWORD</x:v>
      </x:c>
    </x:row>
    <x:row r="247">
      <x:c r="A247" t="str">
        <x:v>est0221@alumnos.blenkir.edu.pe</x:v>
      </x:c>
      <x:c r="B247" t="str">
        <x:v>estudiante</x:v>
      </x:c>
      <x:c r="C247" t="str">
        <x:v>Renata</x:v>
      </x:c>
      <x:c r="D247" t="str">
        <x:v>Ramírez Gómez</x:v>
      </x:c>
      <x:c r="E247" t="str">
        <x:v>73240951</x:v>
      </x:c>
      <x:c r="F247" t="str">
        <x:v>965811626</x:v>
      </x:c>
      <x:c r="G247" s="24" t="b">
        <x:v>1</x:v>
      </x:c>
      <x:c r="H247" t="str">
        <x:v>STUDENT_INITIAL_PASSWORD</x:v>
      </x:c>
    </x:row>
    <x:row r="248">
      <x:c r="A248" t="str">
        <x:v>est0222@alumnos.blenkir.edu.pe</x:v>
      </x:c>
      <x:c r="B248" t="str">
        <x:v>estudiante</x:v>
      </x:c>
      <x:c r="C248" t="str">
        <x:v>Alejandra</x:v>
      </x:c>
      <x:c r="D248" t="str">
        <x:v>Vásquez Romero</x:v>
      </x:c>
      <x:c r="E248" t="str">
        <x:v>74352293</x:v>
      </x:c>
      <x:c r="F248" t="str">
        <x:v>909195026</x:v>
      </x:c>
      <x:c r="G248" s="24" t="b">
        <x:v>1</x:v>
      </x:c>
      <x:c r="H248" t="str">
        <x:v>STUDENT_INITIAL_PASSWORD</x:v>
      </x:c>
    </x:row>
    <x:row r="249">
      <x:c r="A249" t="str">
        <x:v>est0223@alumnos.blenkir.edu.pe</x:v>
      </x:c>
      <x:c r="B249" t="str">
        <x:v>estudiante</x:v>
      </x:c>
      <x:c r="C249" t="str">
        <x:v>Daniel</x:v>
      </x:c>
      <x:c r="D249" t="str">
        <x:v>Cáceres Bendezú</x:v>
      </x:c>
      <x:c r="E249" t="str">
        <x:v>83877262</x:v>
      </x:c>
      <x:c r="F249" t="str">
        <x:v>999340241</x:v>
      </x:c>
      <x:c r="G249" s="24" t="b">
        <x:v>1</x:v>
      </x:c>
      <x:c r="H249" t="str">
        <x:v>STUDENT_INITIAL_PASSWORD</x:v>
      </x:c>
    </x:row>
    <x:row r="250">
      <x:c r="A250" t="str">
        <x:v>est0224@alumnos.blenkir.edu.pe</x:v>
      </x:c>
      <x:c r="B250" t="str">
        <x:v>estudiante</x:v>
      </x:c>
      <x:c r="C250" t="str">
        <x:v>Gael</x:v>
      </x:c>
      <x:c r="D250" t="str">
        <x:v>Espinoza Gonzales</x:v>
      </x:c>
      <x:c r="E250" t="str">
        <x:v>77062416</x:v>
      </x:c>
      <x:c r="F250" t="str">
        <x:v>988082660</x:v>
      </x:c>
      <x:c r="G250" s="24" t="b">
        <x:v>1</x:v>
      </x:c>
      <x:c r="H250" t="str">
        <x:v>STUDENT_INITIAL_PASSWORD</x:v>
      </x:c>
    </x:row>
    <x:row r="251">
      <x:c r="A251" t="str">
        <x:v>est0225@alumnos.blenkir.edu.pe</x:v>
      </x:c>
      <x:c r="B251" t="str">
        <x:v>estudiante</x:v>
      </x:c>
      <x:c r="C251" t="str">
        <x:v>José</x:v>
      </x:c>
      <x:c r="D251" t="str">
        <x:v>Mendoza Salazar</x:v>
      </x:c>
      <x:c r="E251" t="str">
        <x:v>82272050</x:v>
      </x:c>
      <x:c r="F251" t="str">
        <x:v>987586595</x:v>
      </x:c>
      <x:c r="G251" s="24" t="b">
        <x:v>1</x:v>
      </x:c>
      <x:c r="H251" t="str">
        <x:v>STUDENT_INITIAL_PASSWORD</x:v>
      </x:c>
    </x:row>
    <x:row r="252">
      <x:c r="A252" t="str">
        <x:v>est0226@alumnos.blenkir.edu.pe</x:v>
      </x:c>
      <x:c r="B252" t="str">
        <x:v>estudiante</x:v>
      </x:c>
      <x:c r="C252" t="str">
        <x:v>Nicolás</x:v>
      </x:c>
      <x:c r="D252" t="str">
        <x:v>Sánchez Cabrera</x:v>
      </x:c>
      <x:c r="E252" t="str">
        <x:v>74939369</x:v>
      </x:c>
      <x:c r="F252" t="str">
        <x:v>954523739</x:v>
      </x:c>
      <x:c r="G252" s="24" t="b">
        <x:v>1</x:v>
      </x:c>
      <x:c r="H252" t="str">
        <x:v>STUDENT_INITIAL_PASSWORD</x:v>
      </x:c>
    </x:row>
    <x:row r="253">
      <x:c r="A253" t="str">
        <x:v>est0227@alumnos.blenkir.edu.pe</x:v>
      </x:c>
      <x:c r="B253" t="str">
        <x:v>estudiante</x:v>
      </x:c>
      <x:c r="C253" t="str">
        <x:v>Thiago</x:v>
      </x:c>
      <x:c r="D253" t="str">
        <x:v>Aguilar Guerrero</x:v>
      </x:c>
      <x:c r="E253" t="str">
        <x:v>72375576</x:v>
      </x:c>
      <x:c r="F253" t="str">
        <x:v>954634249</x:v>
      </x:c>
      <x:c r="G253" s="24" t="b">
        <x:v>1</x:v>
      </x:c>
      <x:c r="H253" t="str">
        <x:v>STUDENT_INITIAL_PASSWORD</x:v>
      </x:c>
    </x:row>
    <x:row r="254">
      <x:c r="A254" t="str">
        <x:v>est0228@alumnos.blenkir.edu.pe</x:v>
      </x:c>
      <x:c r="B254" t="str">
        <x:v>estudiante</x:v>
      </x:c>
      <x:c r="C254" t="str">
        <x:v>Fabiana</x:v>
      </x:c>
      <x:c r="D254" t="str">
        <x:v>Chávez Sánchez</x:v>
      </x:c>
      <x:c r="E254" t="str">
        <x:v>89342627</x:v>
      </x:c>
      <x:c r="F254" t="str">
        <x:v>939940185</x:v>
      </x:c>
      <x:c r="G254" s="24" t="b">
        <x:v>1</x:v>
      </x:c>
      <x:c r="H254" t="str">
        <x:v>STUDENT_INITIAL_PASSWORD</x:v>
      </x:c>
    </x:row>
    <x:row r="255">
      <x:c r="A255" t="str">
        <x:v>est0229@alumnos.blenkir.edu.pe</x:v>
      </x:c>
      <x:c r="B255" t="str">
        <x:v>estudiante</x:v>
      </x:c>
      <x:c r="C255" t="str">
        <x:v>Mía</x:v>
      </x:c>
      <x:c r="D255" t="str">
        <x:v>Guerrero Cáceres</x:v>
      </x:c>
      <x:c r="E255" t="str">
        <x:v>74350457</x:v>
      </x:c>
      <x:c r="F255" t="str">
        <x:v>951877599</x:v>
      </x:c>
      <x:c r="G255" s="24" t="b">
        <x:v>1</x:v>
      </x:c>
      <x:c r="H255" t="str">
        <x:v>STUDENT_INITIAL_PASSWORD</x:v>
      </x:c>
    </x:row>
    <x:row r="256">
      <x:c r="A256" t="str">
        <x:v>est0230@alumnos.blenkir.edu.pe</x:v>
      </x:c>
      <x:c r="B256" t="str">
        <x:v>estudiante</x:v>
      </x:c>
      <x:c r="C256" t="str">
        <x:v>Valentina</x:v>
      </x:c>
      <x:c r="D256" t="str">
        <x:v>Quispe Gutiérrez</x:v>
      </x:c>
      <x:c r="E256" t="str">
        <x:v>78190777</x:v>
      </x:c>
      <x:c r="F256" t="str">
        <x:v>939436004</x:v>
      </x:c>
      <x:c r="G256" s="24" t="b">
        <x:v>1</x:v>
      </x:c>
      <x:c r="H256" t="str">
        <x:v>STUDENT_INITIAL_PASSWORD</x:v>
      </x:c>
    </x:row>
    <x:row r="257">
      <x:c r="A257" t="str">
        <x:v>est0231@alumnos.blenkir.edu.pe</x:v>
      </x:c>
      <x:c r="B257" t="str">
        <x:v>estudiante</x:v>
      </x:c>
      <x:c r="C257" t="str">
        <x:v>Andrés</x:v>
      </x:c>
      <x:c r="D257" t="str">
        <x:v>Vargas Silva</x:v>
      </x:c>
      <x:c r="E257" t="str">
        <x:v>74873785</x:v>
      </x:c>
      <x:c r="F257" t="str">
        <x:v>931803609</x:v>
      </x:c>
      <x:c r="G257" s="24" t="b">
        <x:v>1</x:v>
      </x:c>
      <x:c r="H257" t="str">
        <x:v>STUDENT_INITIAL_PASSWORD</x:v>
      </x:c>
    </x:row>
    <x:row r="258">
      <x:c r="A258" t="str">
        <x:v>est0232@alumnos.blenkir.edu.pe</x:v>
      </x:c>
      <x:c r="B258" t="str">
        <x:v>estudiante</x:v>
      </x:c>
      <x:c r="C258" t="str">
        <x:v>Eduardo</x:v>
      </x:c>
      <x:c r="D258" t="str">
        <x:v>Cabrera Campos</x:v>
      </x:c>
      <x:c r="E258" t="str">
        <x:v>71130043</x:v>
      </x:c>
      <x:c r="F258" t="str">
        <x:v>905466103</x:v>
      </x:c>
      <x:c r="G258" s="24" t="b">
        <x:v>1</x:v>
      </x:c>
      <x:c r="H258" t="str">
        <x:v>STUDENT_INITIAL_PASSWORD</x:v>
      </x:c>
    </x:row>
    <x:row r="259">
      <x:c r="A259" t="str">
        <x:v>est0233@alumnos.blenkir.edu.pe</x:v>
      </x:c>
      <x:c r="B259" t="str">
        <x:v>estudiante</x:v>
      </x:c>
      <x:c r="C259" t="str">
        <x:v>Iván</x:v>
      </x:c>
      <x:c r="D259" t="str">
        <x:v>De la Cruz Huamán</x:v>
      </x:c>
      <x:c r="E259" t="str">
        <x:v>70875427</x:v>
      </x:c>
      <x:c r="F259" t="str">
        <x:v>912377717</x:v>
      </x:c>
      <x:c r="G259" s="24" t="b">
        <x:v>1</x:v>
      </x:c>
      <x:c r="H259" t="str">
        <x:v>STUDENT_INITIAL_PASSWORD</x:v>
      </x:c>
    </x:row>
    <x:row r="260">
      <x:c r="A260" t="str">
        <x:v>est0234@alumnos.blenkir.edu.pe</x:v>
      </x:c>
      <x:c r="B260" t="str">
        <x:v>estudiante</x:v>
      </x:c>
      <x:c r="C260" t="str">
        <x:v>Luis</x:v>
      </x:c>
      <x:c r="D260" t="str">
        <x:v>Medina Soto</x:v>
      </x:c>
      <x:c r="E260" t="str">
        <x:v>72994614</x:v>
      </x:c>
      <x:c r="F260" t="str">
        <x:v>918968131</x:v>
      </x:c>
      <x:c r="G260" s="24" t="b">
        <x:v>1</x:v>
      </x:c>
      <x:c r="H260" t="str">
        <x:v>STUDENT_INITIAL_PASSWORD</x:v>
      </x:c>
    </x:row>
    <x:row r="261">
      <x:c r="A261" t="str">
        <x:v>est0235@alumnos.blenkir.edu.pe</x:v>
      </x:c>
      <x:c r="B261" t="str">
        <x:v>estudiante</x:v>
      </x:c>
      <x:c r="C261" t="str">
        <x:v>Renato</x:v>
      </x:c>
      <x:c r="D261" t="str">
        <x:v>Salazar Carrasco</x:v>
      </x:c>
      <x:c r="E261" t="str">
        <x:v>71808697</x:v>
      </x:c>
      <x:c r="F261" t="str">
        <x:v>966066038</x:v>
      </x:c>
      <x:c r="G261" s="24" t="b">
        <x:v>1</x:v>
      </x:c>
      <x:c r="H261" t="str">
        <x:v>STUDENT_INITIAL_PASSWORD</x:v>
      </x:c>
    </x:row>
    <x:row r="262">
      <x:c r="A262" t="str">
        <x:v>est0236@alumnos.blenkir.edu.pe</x:v>
      </x:c>
      <x:c r="B262" t="str">
        <x:v>estudiante</x:v>
      </x:c>
      <x:c r="C262" t="str">
        <x:v>Camila</x:v>
      </x:c>
      <x:c r="D262" t="str">
        <x:v>Zúñiga López</x:v>
      </x:c>
      <x:c r="E262" t="str">
        <x:v>75362878</x:v>
      </x:c>
      <x:c r="F262" t="str">
        <x:v>931229566</x:v>
      </x:c>
      <x:c r="G262" s="24" t="b">
        <x:v>1</x:v>
      </x:c>
      <x:c r="H262" t="str">
        <x:v>STUDENT_INITIAL_PASSWORD</x:v>
      </x:c>
    </x:row>
    <x:row r="263">
      <x:c r="A263" t="str">
        <x:v>est0237@alumnos.blenkir.edu.pe</x:v>
      </x:c>
      <x:c r="B263" t="str">
        <x:v>estudiante</x:v>
      </x:c>
      <x:c r="C263" t="str">
        <x:v>Isabella</x:v>
      </x:c>
      <x:c r="D263" t="str">
        <x:v>Castro Torres</x:v>
      </x:c>
      <x:c r="E263" t="str">
        <x:v>83885456</x:v>
      </x:c>
      <x:c r="F263" t="str">
        <x:v>927604350</x:v>
      </x:c>
      <x:c r="G263" s="24" t="b">
        <x:v>1</x:v>
      </x:c>
      <x:c r="H263" t="str">
        <x:v>STUDENT_INITIAL_PASSWORD</x:v>
      </x:c>
    </x:row>
    <x:row r="264">
      <x:c r="A264" t="str">
        <x:v>est0238@alumnos.blenkir.edu.pe</x:v>
      </x:c>
      <x:c r="B264" t="str">
        <x:v>estudiante</x:v>
      </x:c>
      <x:c r="C264" t="str">
        <x:v>Paula</x:v>
      </x:c>
      <x:c r="D264" t="str">
        <x:v>Gonzales Castillo</x:v>
      </x:c>
      <x:c r="E264" t="str">
        <x:v>71902549</x:v>
      </x:c>
      <x:c r="F264" t="str">
        <x:v>902496341</x:v>
      </x:c>
      <x:c r="G264" s="24" t="b">
        <x:v>1</x:v>
      </x:c>
      <x:c r="H264" t="str">
        <x:v>STUDENT_INITIAL_PASSWORD</x:v>
      </x:c>
    </x:row>
    <x:row r="265">
      <x:c r="A265" t="str">
        <x:v>est0239@alumnos.blenkir.edu.pe</x:v>
      </x:c>
      <x:c r="B265" t="str">
        <x:v>estudiante</x:v>
      </x:c>
      <x:c r="C265" t="str">
        <x:v>Andrea</x:v>
      </x:c>
      <x:c r="D265" t="str">
        <x:v>Pérez Mamani</x:v>
      </x:c>
      <x:c r="E265" t="str">
        <x:v>78833941</x:v>
      </x:c>
      <x:c r="F265" t="str">
        <x:v>942050700</x:v>
      </x:c>
      <x:c r="G265" s="24" t="b">
        <x:v>1</x:v>
      </x:c>
      <x:c r="H265" t="str">
        <x:v>STUDENT_INITIAL_PASSWORD</x:v>
      </x:c>
    </x:row>
    <x:row r="266">
      <x:c r="A266" t="str">
        <x:v>est0240@alumnos.blenkir.edu.pe</x:v>
      </x:c>
      <x:c r="B266" t="str">
        <x:v>estudiante</x:v>
      </x:c>
      <x:c r="C266" t="str">
        <x:v>Cristian</x:v>
      </x:c>
      <x:c r="D266" t="str">
        <x:v>Valdivia Vargas</x:v>
      </x:c>
      <x:c r="E266" t="str">
        <x:v>78432430</x:v>
      </x:c>
      <x:c r="F266" t="str">
        <x:v>964898180</x:v>
      </x:c>
      <x:c r="G266" s="24" t="b">
        <x:v>1</x:v>
      </x:c>
      <x:c r="H266" t="str">
        <x:v>STUDENT_INITIAL_PASSWORD</x:v>
      </x:c>
    </x:row>
    <x:row r="267">
      <x:c r="A267" t="str">
        <x:v>est0241@alumnos.blenkir.edu.pe</x:v>
      </x:c>
      <x:c r="B267" t="str">
        <x:v>estudiante</x:v>
      </x:c>
      <x:c r="C267" t="str">
        <x:v>Gabriel</x:v>
      </x:c>
      <x:c r="D267" t="str">
        <x:v>Bendezú Castro</x:v>
      </x:c>
      <x:c r="E267" t="str">
        <x:v>73413113</x:v>
      </x:c>
      <x:c r="F267" t="str">
        <x:v>916687364</x:v>
      </x:c>
      <x:c r="G267" s="24" t="b">
        <x:v>1</x:v>
      </x:c>
      <x:c r="H267" t="str">
        <x:v>STUDENT_INITIAL_PASSWORD</x:v>
      </x:c>
    </x:row>
    <x:row r="268">
      <x:c r="A268" t="str">
        <x:v>est0242@alumnos.blenkir.edu.pe</x:v>
      </x:c>
      <x:c r="B268" t="str">
        <x:v>estudiante</x:v>
      </x:c>
      <x:c r="C268" t="str">
        <x:v>Jorge</x:v>
      </x:c>
      <x:c r="D268" t="str">
        <x:v>Dávila Medina</x:v>
      </x:c>
      <x:c r="E268" t="str">
        <x:v>88472705</x:v>
      </x:c>
      <x:c r="F268" t="str">
        <x:v>929863739</x:v>
      </x:c>
      <x:c r="G268" s="24" t="b">
        <x:v>1</x:v>
      </x:c>
      <x:c r="H268" t="str">
        <x:v>STUDENT_INITIAL_PASSWORD</x:v>
      </x:c>
    </x:row>
    <x:row r="269">
      <x:c r="A269" t="str">
        <x:v>est0243@alumnos.blenkir.edu.pe</x:v>
      </x:c>
      <x:c r="B269" t="str">
        <x:v>estudiante</x:v>
      </x:c>
      <x:c r="C269" t="str">
        <x:v>Miguel</x:v>
      </x:c>
      <x:c r="D269" t="str">
        <x:v>Mamani Vargas</x:v>
      </x:c>
      <x:c r="E269" t="str">
        <x:v>85889775</x:v>
      </x:c>
      <x:c r="F269" t="str">
        <x:v>910585703</x:v>
      </x:c>
      <x:c r="G269" s="24" t="b">
        <x:v>1</x:v>
      </x:c>
      <x:c r="H269" t="str">
        <x:v>STUDENT_INITIAL_PASSWORD</x:v>
      </x:c>
    </x:row>
    <x:row r="270">
      <x:c r="A270" t="str">
        <x:v>est0244@alumnos.blenkir.edu.pe</x:v>
      </x:c>
      <x:c r="B270" t="str">
        <x:v>estudiante</x:v>
      </x:c>
      <x:c r="C270" t="str">
        <x:v>Sergio</x:v>
      </x:c>
      <x:c r="D270" t="str">
        <x:v>Romero Chávez</x:v>
      </x:c>
      <x:c r="E270" t="str">
        <x:v>84093221</x:v>
      </x:c>
      <x:c r="F270" t="str">
        <x:v>996837186</x:v>
      </x:c>
      <x:c r="G270" s="24" t="b">
        <x:v>1</x:v>
      </x:c>
      <x:c r="H270" t="str">
        <x:v>STUDENT_INITIAL_PASSWORD</x:v>
      </x:c>
    </x:row>
    <x:row r="271">
      <x:c r="A271" t="str">
        <x:v>est0245@alumnos.blenkir.edu.pe</x:v>
      </x:c>
      <x:c r="B271" t="str">
        <x:v>estudiante</x:v>
      </x:c>
      <x:c r="C271" t="str">
        <x:v>Elena</x:v>
      </x:c>
      <x:c r="D271" t="str">
        <x:v>Yupanqui Mendoza</x:v>
      </x:c>
      <x:c r="E271" t="str">
        <x:v>87109456</x:v>
      </x:c>
      <x:c r="F271" t="str">
        <x:v>904673421</x:v>
      </x:c>
      <x:c r="G271" s="24" t="b">
        <x:v>1</x:v>
      </x:c>
      <x:c r="H271" t="str">
        <x:v>STUDENT_INITIAL_PASSWORD</x:v>
      </x:c>
    </x:row>
    <x:row r="272">
      <x:c r="A272" t="str">
        <x:v>est0246@alumnos.blenkir.edu.pe</x:v>
      </x:c>
      <x:c r="B272" t="str">
        <x:v>estudiante</x:v>
      </x:c>
      <x:c r="C272" t="str">
        <x:v>Mariana</x:v>
      </x:c>
      <x:c r="D272" t="str">
        <x:v>Castillo Vásquez</x:v>
      </x:c>
      <x:c r="E272" t="str">
        <x:v>83706917</x:v>
      </x:c>
      <x:c r="F272" t="str">
        <x:v>974421036</x:v>
      </x:c>
      <x:c r="G272" s="24" t="b">
        <x:v>1</x:v>
      </x:c>
      <x:c r="H272" t="str">
        <x:v>STUDENT_INITIAL_PASSWORD</x:v>
      </x:c>
    </x:row>
    <x:row r="273">
      <x:c r="A273" t="str">
        <x:v>est0247@alumnos.blenkir.edu.pe</x:v>
      </x:c>
      <x:c r="B273" t="str">
        <x:v>estudiante</x:v>
      </x:c>
      <x:c r="C273" t="str">
        <x:v>Sofía</x:v>
      </x:c>
      <x:c r="D273" t="str">
        <x:v>Gómez Condori</x:v>
      </x:c>
      <x:c r="E273" t="str">
        <x:v>77037750</x:v>
      </x:c>
      <x:c r="F273" t="str">
        <x:v>901285308</x:v>
      </x:c>
      <x:c r="G273" s="24" t="b">
        <x:v>1</x:v>
      </x:c>
      <x:c r="H273" t="str">
        <x:v>STUDENT_INITIAL_PASSWORD</x:v>
      </x:c>
    </x:row>
    <x:row r="274">
      <x:c r="A274" t="str">
        <x:v>est0248@alumnos.blenkir.edu.pe</x:v>
      </x:c>
      <x:c r="B274" t="str">
        <x:v>estudiante</x:v>
      </x:c>
      <x:c r="C274" t="str">
        <x:v>Alejandro</x:v>
      </x:c>
      <x:c r="D274" t="str">
        <x:v>Paredes Morales</x:v>
      </x:c>
      <x:c r="E274" t="str">
        <x:v>75234186</x:v>
      </x:c>
      <x:c r="F274" t="str">
        <x:v>934705964</x:v>
      </x:c>
      <x:c r="G274" s="24" t="b">
        <x:v>1</x:v>
      </x:c>
      <x:c r="H274" t="str">
        <x:v>STUDENT_INITIAL_PASSWORD</x:v>
      </x:c>
    </x:row>
    <x:row r="275">
      <x:c r="A275" t="str">
        <x:v>est0249@alumnos.blenkir.edu.pe</x:v>
      </x:c>
      <x:c r="B275" t="str">
        <x:v>estudiante</x:v>
      </x:c>
      <x:c r="C275" t="str">
        <x:v>Diego</x:v>
      </x:c>
      <x:c r="D275" t="str">
        <x:v>Torres Vega</x:v>
      </x:c>
      <x:c r="E275" t="str">
        <x:v>73293878</x:v>
      </x:c>
      <x:c r="F275" t="str">
        <x:v>984938506</x:v>
      </x:c>
      <x:c r="G275" s="24" t="b">
        <x:v>1</x:v>
      </x:c>
      <x:c r="H275" t="str">
        <x:v>STUDENT_INITIAL_PASSWORD</x:v>
      </x:c>
    </x:row>
    <x:row r="276">
      <x:c r="A276" t="str">
        <x:v>est0250@alumnos.blenkir.edu.pe</x:v>
      </x:c>
      <x:c r="B276" t="str">
        <x:v>estudiante</x:v>
      </x:c>
      <x:c r="C276" t="str">
        <x:v>Héctor</x:v>
      </x:c>
      <x:c r="D276" t="str">
        <x:v>Arias Contreras</x:v>
      </x:c>
      <x:c r="E276" t="str">
        <x:v>81786348</x:v>
      </x:c>
      <x:c r="F276" t="str">
        <x:v>944610799</x:v>
      </x:c>
      <x:c r="G276" s="24" t="b">
        <x:v>1</x:v>
      </x:c>
      <x:c r="H276" t="str">
        <x:v>STUDENT_INITIAL_PASSWORD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52" hidden="0" customWidth="1"/>
  </x:cols>
  <x:sheetData>
    <x:row r="1" ht="28" customHeight="1">
      <x:c r="A1" s="49" t="str">
        <x:v>entidad</x:v>
      </x:c>
      <x:c r="B1" s="49" t="str">
        <x:v>prefijo</x:v>
      </x:c>
      <x:c r="C1" s="49" t="str">
        <x:v>ultimo_numero</x:v>
      </x:c>
      <x:c r="D1" s="49" t="str">
        <x:v>validacion</x:v>
      </x:c>
    </x:row>
    <x:row r="2">
      <x:c r="A2" t="str">
        <x:v>estudiante</x:v>
      </x:c>
      <x:c r="B2" t="str">
        <x:v>EST-</x:v>
      </x:c>
      <x:c r="C2" t="n">
        <x:v>250</x:v>
      </x:c>
      <x:c r="D2" t="str">
        <x:v>Siguiente alta: EST-251</x:v>
      </x:c>
    </x:row>
    <x:row r="3">
      <x:c r="A3" t="str">
        <x:v>profesor</x:v>
      </x:c>
      <x:c r="B3" t="str">
        <x:v>PROF-</x:v>
      </x:c>
      <x:c r="C3" t="n">
        <x:v>24</x:v>
      </x:c>
      <x:c r="D3" t="str">
        <x:v>Siguiente alta: PROF-025</x:v>
      </x:c>
    </x:row>
    <x:row r="4">
      <x:c r="A4" t="str">
        <x:v>matricula</x:v>
      </x:c>
      <x:c r="B4" t="str">
        <x:v>MAT-2026-</x:v>
      </x:c>
      <x:c r="C4" t="n">
        <x:v>250</x:v>
      </x:c>
      <x:c r="D4" t="str">
        <x:v>Siguiente matrícula: MAT-2026-251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96" hidden="0" customWidth="1"/>
  </x:cols>
  <x:sheetData>
    <x:row r="1" ht="28" customHeight="1">
      <x:c r="A1" s="55" t="str">
        <x:v>id</x:v>
      </x:c>
      <x:c r="B1" s="55" t="str">
        <x:v>severidad</x:v>
      </x:c>
      <x:c r="C1" s="55" t="str">
        <x:v>hallazgo</x:v>
      </x:c>
      <x:c r="D1" s="55" t="str">
        <x:v>correccion</x:v>
      </x:c>
    </x:row>
    <x:row r="2">
      <x:c r="A2" t="str">
        <x:v>C-01</x:v>
      </x:c>
      <x:c r="B2" t="str">
        <x:v>CRÍTICO</x:v>
      </x:c>
      <x:c r="C2" t="str">
        <x:v>Retirados/trasladados tenían activo=false</x:v>
      </x:c>
      <x:c r="D2" t="str">
        <x:v>Corregido: User.activo y Student.activo permanecen true; solo matrícula/inscripciones/estado académico cambian.</x:v>
      </x:c>
    </x:row>
    <x:row r="3">
      <x:c r="A3" t="str">
        <x:v>C-02</x:v>
      </x:c>
      <x:c r="B3" t="str">
        <x:v>CRÍTICO</x:v>
      </x:c>
      <x:c r="C3" t="str">
        <x:v>Polidocencia 3°–6° violaba el máximo de 2 cursos</x:v>
      </x:c>
      <x:c r="D3" t="str">
        <x:v>Corregido: 16 especialistas; cada uno exactamente 2 cursos y 7 secciones.</x:v>
      </x:c>
    </x:row>
    <x:row r="4">
      <x:c r="A4" t="str">
        <x:v>C-03</x:v>
      </x:c>
      <x:c r="B4" t="str">
        <x:v>ALTO</x:v>
      </x:c>
      <x:c r="C4" t="str">
        <x:v>188 asignaciones no coincidían con la especialidad declarada</x:v>
      </x:c>
      <x:c r="D4" t="str">
        <x:v>Corregido: especialidad refleja el par real de polidocencia.</x:v>
      </x:c>
    </x:row>
    <x:row r="5">
      <x:c r="A5" t="str">
        <x:v>C-04</x:v>
      </x:c>
      <x:c r="B5" t="str">
        <x:v>ALTO</x:v>
      </x:c>
      <x:c r="C5" t="str">
        <x:v>El Excel V2 asumía una sola asignación esTutor=true por cada una de las 22 secciones, incompatible con el servicio vigente.</x:v>
      </x:c>
      <x:c r="D5" t="str">
        <x:v>Corregido V3: 8 TutorSeccion solo en 1°–2°; las 104 asignaciones de 1°–2° tienen esTutor=true; las 224 asignaciones de 3°–6° tienen esTutor=false.</x:v>
      </x:c>
    </x:row>
    <x:row r="6">
      <x:c r="A6" t="str">
        <x:v>C-05</x:v>
      </x:c>
      <x:c r="B6" t="str">
        <x:v>SEGURIDAD</x:v>
      </x:c>
      <x:c r="C6" t="str">
        <x:v>DNIs/teléfonos requeridos para la demostración y formularios</x:v>
      </x:c>
      <x:c r="D6" t="str">
        <x:v>Corregido V2: 275 DNI sintéticos únicos de 8 dígitos y 275 teléfonos sintéticos únicos de 9 dígitos iniciados en 9. No representan personas reales ni se verifican externamente.</x:v>
      </x:c>
    </x:row>
    <x:row r="7">
      <x:c r="A7" t="str">
        <x:v>C-06</x:v>
      </x:c>
      <x:c r="B7" t="str">
        <x:v>CRÍTICO</x:v>
      </x:c>
      <x:c r="C7" t="str">
        <x:v>Correlativos quedarían en 0 tras carga masiva</x:v>
      </x:c>
      <x:c r="D7" t="str">
        <x:v>Corregido: 250 / 24 / 250 para estudiante / profesor / matrícula.</x:v>
      </x:c>
    </x:row>
    <x:row r="8">
      <x:c r="A8" t="str">
        <x:v>C-07</x:v>
      </x:c>
      <x:c r="B8" t="str">
        <x:v>ALTO</x:v>
      </x:c>
      <x:c r="C8" t="str">
        <x:v>Indicadores podían importarse como si fueran verdad final</x:v>
      </x:c>
      <x:c r="D8" t="str">
        <x:v>Corregido: renombrados objetivo_*; datos finales deben recalcularse desde tablas operativas.</x:v>
      </x:c>
    </x:row>
    <x:row r="9">
      <x:c r="A9" t="str">
        <x:v>C-08</x:v>
      </x:c>
      <x:c r="B9" t="str">
        <x:v>SEGURIDAD</x:v>
      </x:c>
      <x:c r="C9" t="str">
        <x:v>Contraseñas no deben estar en Excel/Git</x:v>
      </x:c>
      <x:c r="D9" t="str">
        <x:v>Confirmado: solo se incluyen nombres de variables de entorno.</x:v>
      </x:c>
    </x:row>
    <x:row r="10">
      <x:c r="A10" s="13" t="str">
        <x:v>C-09</x:v>
      </x:c>
      <x:c r="B10" s="13" t="str">
        <x:v>CRÍTICO</x:v>
      </x:c>
      <x:c r="C10" s="13" t="str">
        <x:v>Contrato de tutorías verificado contra teacher-assignment.service.ts</x:v>
      </x:c>
      <x:c r="D10" s="13" t="str">
        <x:v>Se conserva la regla actual del backend; no se modifica lógica de negocio para adaptar el dataset.</x:v>
      </x:c>
    </x:row>
    <x:row r="11">
      <x:c r="A11" s="13" t="str">
        <x:v>C-10</x:v>
      </x:c>
      <x:c r="B11" s="13" t="str">
        <x:v>MEDIO</x:v>
      </x:c>
      <x:c r="C11" s="13" t="str">
        <x:v>V3 mostraba padding de cuatro dígitos para los siguientes códigos de estudiante y matrícula.</x:v>
      </x:c>
      <x:c r="D11" s="13" t="str">
        <x:v>Corregido V4: nextCode() usa padStart(3); con contador 250 genera EST-251 y MAT-2026-251. PROF-025 ya era correcto. Los contadores permanecen 250/24/250.</x:v>
      </x:c>
    </x:row>
    <x:row r="12">
      <x:c r="A12" s="13" t="str">
        <x:v>C-11</x:v>
      </x:c>
      <x:c r="B12" s="13" t="str">
        <x:v>CRÍTICO</x:v>
      </x:c>
      <x:c r="C12" s="13" t="str">
        <x:v>El contrato anterior exigía 750 AcademicHistory, pero 25 estudiantes no tienen notas en III Bimestre y AcademicHistory.promedio es obligatorio.</x:v>
      </x:c>
      <x:c r="D12" s="13" t="str">
        <x:v>Corregido V5: AcademicHistory=725. I=250, II=250, III=225. No se crea promedio 0 ni se copia un promedio anterior para representar ausencia de evaluación.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15" hidden="0" customWidth="1"/>
    <x:col min="5" max="5" width="9" hidden="0" customWidth="1"/>
    <x:col min="6" max="6" width="15" hidden="0" customWidth="1"/>
    <x:col min="7" max="7" width="18" hidden="0" customWidth="1"/>
    <x:col min="8" max="8" width="19" hidden="0" customWidth="1"/>
    <x:col min="9" max="9" width="18" hidden="0" customWidth="1"/>
    <x:col min="10" max="10" width="21" hidden="0" customWidth="1"/>
    <x:col min="11" max="11" width="22" hidden="0" customWidth="1"/>
    <x:col min="12" max="12" width="20" hidden="0" customWidth="1"/>
    <x:col min="13" max="13" width="20" hidden="0" customWidth="1"/>
    <x:col min="14" max="14" width="18" hidden="0" customWidth="1"/>
    <x:col min="15" max="15" width="16" hidden="0" customWidth="1"/>
    <x:col min="16" max="16" width="14" hidden="0" customWidth="1"/>
    <x:col min="17" max="17" width="22" hidden="0" customWidth="1"/>
    <x:col min="18" max="18" width="28" hidden="0" customWidth="1"/>
  </x:cols>
  <x:sheetData>
    <x:row r="1" ht="34" customHeight="1">
      <x:c r="A1" s="101" t="str">
        <x:v>ML V6 — Dataset científico-sintético contractual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</x:row>
    <x:row r="2" ht="45" customHeight="1">
      <x:c r="A2" s="105" t="str">
        <x:v>450 snapshots sintéticos para validar el pipeline. Solo las 7 features canónicas son predictores. student_code/snapshot/fechas/grado/sección/split son metadatos; target_desercion es la etiqueta. No usar este dataset como evidencia científica definitiva.</x:v>
      </x:c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</x:row>
    <x:row r="4" ht="48" customHeight="1">
      <x:c r="A4" s="110" t="str">
        <x:v>student_code</x:v>
      </x:c>
      <x:c r="B4" s="110" t="str">
        <x:v>snapshot_id</x:v>
      </x:c>
      <x:c r="C4" s="110" t="str">
        <x:v>cutoff_date</x:v>
      </x:c>
      <x:c r="D4" s="110" t="str">
        <x:v>outcome_date</x:v>
      </x:c>
      <x:c r="E4" s="110" t="str">
        <x:v>grado</x:v>
      </x:c>
      <x:c r="F4" s="110" t="str">
        <x:v>seccion_codigo</x:v>
      </x:c>
      <x:c r="G4" s="110" t="str">
        <x:v>promedio_general</x:v>
      </x:c>
      <x:c r="H4" s="110" t="str">
        <x:v>cursos_desaprobados</x:v>
      </x:c>
      <x:c r="I4" s="110" t="str">
        <x:v>asistencia_general</x:v>
      </x:c>
      <x:c r="J4" s="110" t="str">
        <x:v>frecuencia_acceso_lms</x:v>
      </x:c>
      <x:c r="K4" s="110" t="str">
        <x:v>tiempo_interaccion_lms</x:v>
      </x:c>
      <x:c r="L4" s="110" t="str">
        <x:v>actividades_realizadas</x:v>
      </x:c>
      <x:c r="M4" s="110" t="str">
        <x:v>recursos_consultados</x:v>
      </x:c>
      <x:c r="N4" s="110" t="str">
        <x:v>target_desercion</x:v>
      </x:c>
      <x:c r="O4" s="110" t="str">
        <x:v>target_label</x:v>
      </x:c>
      <x:c r="P4" s="110" t="str">
        <x:v>split</x:v>
      </x:c>
      <x:c r="Q4" s="110" t="str">
        <x:v>data_mode</x:v>
      </x:c>
      <x:c r="R4" s="110" t="str">
        <x:v>dataset_version</x:v>
      </x:c>
    </x:row>
    <x:row r="5" ht="32" customHeight="1">
      <x:c r="A5" s="130" t="str">
        <x:v>EST-0002</x:v>
      </x:c>
      <x:c r="B5" s="131" t="str">
        <x:v>EST-0002-T1</x:v>
      </x:c>
      <x:c r="C5" s="131" t="str">
        <x:v>2026-07-31</x:v>
      </x:c>
      <x:c r="D5" s="131" t="str">
        <x:v>2026-12-15</x:v>
      </x:c>
      <x:c r="E5" s="131" t="n">
        <x:v>1</x:v>
      </x:c>
      <x:c r="F5" s="131" t="str">
        <x:v>1A</x:v>
      </x:c>
      <x:c r="G5" s="139" t="n">
        <x:v>16.69</x:v>
      </x:c>
      <x:c r="H5" s="139" t="n">
        <x:v>0</x:v>
      </x:c>
      <x:c r="I5" s="139" t="n">
        <x:v>95.8</x:v>
      </x:c>
      <x:c r="J5" s="139" t="n">
        <x:v>5.74</x:v>
      </x:c>
      <x:c r="K5" s="139" t="n">
        <x:v>11.08</x:v>
      </x:c>
      <x:c r="L5" s="139" t="n">
        <x:v>14</x:v>
      </x:c>
      <x:c r="M5" s="139" t="n">
        <x:v>9</x:v>
      </x:c>
      <x:c r="N5" s="131" t="n">
        <x:v>1</x:v>
      </x:c>
      <x:c r="O5" s="131" t="str">
        <x:v>deserta</x:v>
      </x:c>
      <x:c r="P5" s="131" t="str">
        <x:v>holdout</x:v>
      </x:c>
      <x:c r="Q5" s="131" t="str">
        <x:v>synthetic_scientific</x:v>
      </x:c>
      <x:c r="R5" s="132" t="str">
        <x:v>BLENKIR_V6_SYNTH_20260924</x:v>
      </x:c>
    </x:row>
    <x:row r="6" ht="32" customHeight="1">
      <x:c r="A6" s="133" t="str">
        <x:v>EST-0002</x:v>
      </x:c>
      <x:c r="B6" s="134" t="str">
        <x:v>EST-0002-T2</x:v>
      </x:c>
      <x:c r="C6" s="134" t="str">
        <x:v>2026-09-21</x:v>
      </x:c>
      <x:c r="D6" s="134" t="str">
        <x:v>2026-12-15</x:v>
      </x:c>
      <x:c r="E6" s="134" t="n">
        <x:v>1</x:v>
      </x:c>
      <x:c r="F6" s="134" t="str">
        <x:v>1A</x:v>
      </x:c>
      <x:c r="G6" s="140" t="n">
        <x:v>15.62</x:v>
      </x:c>
      <x:c r="H6" s="140" t="n">
        <x:v>0</x:v>
      </x:c>
      <x:c r="I6" s="140" t="n">
        <x:v>92.13</x:v>
      </x:c>
      <x:c r="J6" s="140" t="n">
        <x:v>5.62</x:v>
      </x:c>
      <x:c r="K6" s="140" t="n">
        <x:v>11.54</x:v>
      </x:c>
      <x:c r="L6" s="140" t="n">
        <x:v>13</x:v>
      </x:c>
      <x:c r="M6" s="140" t="n">
        <x:v>9</x:v>
      </x:c>
      <x:c r="N6" s="134" t="n">
        <x:v>1</x:v>
      </x:c>
      <x:c r="O6" s="134" t="str">
        <x:v>deserta</x:v>
      </x:c>
      <x:c r="P6" s="134" t="str">
        <x:v>holdout</x:v>
      </x:c>
      <x:c r="Q6" s="134" t="str">
        <x:v>synthetic_scientific</x:v>
      </x:c>
      <x:c r="R6" s="135" t="str">
        <x:v>BLENKIR_V6_SYNTH_20260924</x:v>
      </x:c>
    </x:row>
    <x:row r="7" ht="32" customHeight="1">
      <x:c r="A7" s="133" t="str">
        <x:v>EST-0003</x:v>
      </x:c>
      <x:c r="B7" s="134" t="str">
        <x:v>EST-0003-T1</x:v>
      </x:c>
      <x:c r="C7" s="134" t="str">
        <x:v>2026-07-31</x:v>
      </x:c>
      <x:c r="D7" s="134" t="str">
        <x:v>2026-12-15</x:v>
      </x:c>
      <x:c r="E7" s="134" t="n">
        <x:v>1</x:v>
      </x:c>
      <x:c r="F7" s="134" t="str">
        <x:v>1A</x:v>
      </x:c>
      <x:c r="G7" s="140" t="n">
        <x:v>16.09</x:v>
      </x:c>
      <x:c r="H7" s="140" t="n">
        <x:v>0</x:v>
      </x:c>
      <x:c r="I7" s="140" t="n">
        <x:v>97.02</x:v>
      </x:c>
      <x:c r="J7" s="140" t="n">
        <x:v>8.46</x:v>
      </x:c>
      <x:c r="K7" s="140" t="n">
        <x:v>20.25</x:v>
      </x:c>
      <x:c r="L7" s="140" t="n">
        <x:v>16</x:v>
      </x:c>
      <x:c r="M7" s="140" t="n">
        <x:v>12</x:v>
      </x:c>
      <x:c r="N7" s="134" t="n">
        <x:v>0</x:v>
      </x:c>
      <x:c r="O7" s="134" t="str">
        <x:v>permanece</x:v>
      </x:c>
      <x:c r="P7" s="134" t="str">
        <x:v>train</x:v>
      </x:c>
      <x:c r="Q7" s="134" t="str">
        <x:v>synthetic_scientific</x:v>
      </x:c>
      <x:c r="R7" s="135" t="str">
        <x:v>BLENKIR_V6_SYNTH_20260924</x:v>
      </x:c>
    </x:row>
    <x:row r="8" ht="32" customHeight="1">
      <x:c r="A8" s="133" t="str">
        <x:v>EST-0003</x:v>
      </x:c>
      <x:c r="B8" s="134" t="str">
        <x:v>EST-0003-T2</x:v>
      </x:c>
      <x:c r="C8" s="134" t="str">
        <x:v>2026-09-21</x:v>
      </x:c>
      <x:c r="D8" s="134" t="str">
        <x:v>2026-12-15</x:v>
      </x:c>
      <x:c r="E8" s="134" t="n">
        <x:v>1</x:v>
      </x:c>
      <x:c r="F8" s="134" t="str">
        <x:v>1A</x:v>
      </x:c>
      <x:c r="G8" s="140" t="n">
        <x:v>16.18</x:v>
      </x:c>
      <x:c r="H8" s="140" t="n">
        <x:v>0</x:v>
      </x:c>
      <x:c r="I8" s="140" t="n">
        <x:v>96.65</x:v>
      </x:c>
      <x:c r="J8" s="140" t="n">
        <x:v>9.14</x:v>
      </x:c>
      <x:c r="K8" s="140" t="n">
        <x:v>20.23</x:v>
      </x:c>
      <x:c r="L8" s="140" t="n">
        <x:v>18</x:v>
      </x:c>
      <x:c r="M8" s="140" t="n">
        <x:v>13</x:v>
      </x:c>
      <x:c r="N8" s="134" t="n">
        <x:v>0</x:v>
      </x:c>
      <x:c r="O8" s="134" t="str">
        <x:v>permanece</x:v>
      </x:c>
      <x:c r="P8" s="134" t="str">
        <x:v>train</x:v>
      </x:c>
      <x:c r="Q8" s="134" t="str">
        <x:v>synthetic_scientific</x:v>
      </x:c>
      <x:c r="R8" s="135" t="str">
        <x:v>BLENKIR_V6_SYNTH_20260924</x:v>
      </x:c>
    </x:row>
    <x:row r="9" ht="32" customHeight="1">
      <x:c r="A9" s="133" t="str">
        <x:v>EST-0004</x:v>
      </x:c>
      <x:c r="B9" s="134" t="str">
        <x:v>EST-0004-T1</x:v>
      </x:c>
      <x:c r="C9" s="134" t="str">
        <x:v>2026-07-31</x:v>
      </x:c>
      <x:c r="D9" s="134" t="str">
        <x:v>2026-12-15</x:v>
      </x:c>
      <x:c r="E9" s="134" t="n">
        <x:v>1</x:v>
      </x:c>
      <x:c r="F9" s="134" t="str">
        <x:v>1A</x:v>
      </x:c>
      <x:c r="G9" s="140" t="n">
        <x:v>15.72</x:v>
      </x:c>
      <x:c r="H9" s="140" t="n">
        <x:v>0</x:v>
      </x:c>
      <x:c r="I9" s="140" t="n">
        <x:v>91.91</x:v>
      </x:c>
      <x:c r="J9" s="140" t="n">
        <x:v>5.33</x:v>
      </x:c>
      <x:c r="K9" s="140" t="n">
        <x:v>13.31</x:v>
      </x:c>
      <x:c r="L9" s="140" t="n">
        <x:v>15</x:v>
      </x:c>
      <x:c r="M9" s="140" t="n">
        <x:v>8</x:v>
      </x:c>
      <x:c r="N9" s="134" t="n">
        <x:v>0</x:v>
      </x:c>
      <x:c r="O9" s="134" t="str">
        <x:v>permanece</x:v>
      </x:c>
      <x:c r="P9" s="134" t="str">
        <x:v>validation</x:v>
      </x:c>
      <x:c r="Q9" s="134" t="str">
        <x:v>synthetic_scientific</x:v>
      </x:c>
      <x:c r="R9" s="135" t="str">
        <x:v>BLENKIR_V6_SYNTH_20260924</x:v>
      </x:c>
    </x:row>
    <x:row r="10" ht="32" customHeight="1">
      <x:c r="A10" s="133" t="str">
        <x:v>EST-0004</x:v>
      </x:c>
      <x:c r="B10" s="134" t="str">
        <x:v>EST-0004-T2</x:v>
      </x:c>
      <x:c r="C10" s="134" t="str">
        <x:v>2026-09-21</x:v>
      </x:c>
      <x:c r="D10" s="134" t="str">
        <x:v>2026-12-15</x:v>
      </x:c>
      <x:c r="E10" s="134" t="n">
        <x:v>1</x:v>
      </x:c>
      <x:c r="F10" s="134" t="str">
        <x:v>1A</x:v>
      </x:c>
      <x:c r="G10" s="140" t="n">
        <x:v>16.29</x:v>
      </x:c>
      <x:c r="H10" s="140" t="n">
        <x:v>0</x:v>
      </x:c>
      <x:c r="I10" s="140" t="n">
        <x:v>91.66</x:v>
      </x:c>
      <x:c r="J10" s="140" t="n">
        <x:v>6.04</x:v>
      </x:c>
      <x:c r="K10" s="140" t="n">
        <x:v>10.21</x:v>
      </x:c>
      <x:c r="L10" s="140" t="n">
        <x:v>13</x:v>
      </x:c>
      <x:c r="M10" s="140" t="n">
        <x:v>9</x:v>
      </x:c>
      <x:c r="N10" s="134" t="n">
        <x:v>0</x:v>
      </x:c>
      <x:c r="O10" s="134" t="str">
        <x:v>permanece</x:v>
      </x:c>
      <x:c r="P10" s="134" t="str">
        <x:v>validation</x:v>
      </x:c>
      <x:c r="Q10" s="134" t="str">
        <x:v>synthetic_scientific</x:v>
      </x:c>
      <x:c r="R10" s="135" t="str">
        <x:v>BLENKIR_V6_SYNTH_20260924</x:v>
      </x:c>
    </x:row>
    <x:row r="11" ht="32" customHeight="1">
      <x:c r="A11" s="133" t="str">
        <x:v>EST-0005</x:v>
      </x:c>
      <x:c r="B11" s="134" t="str">
        <x:v>EST-0005-T1</x:v>
      </x:c>
      <x:c r="C11" s="134" t="str">
        <x:v>2026-07-31</x:v>
      </x:c>
      <x:c r="D11" s="134" t="str">
        <x:v>2026-12-15</x:v>
      </x:c>
      <x:c r="E11" s="134" t="n">
        <x:v>1</x:v>
      </x:c>
      <x:c r="F11" s="134" t="str">
        <x:v>1A</x:v>
      </x:c>
      <x:c r="G11" s="140" t="n">
        <x:v>12.75</x:v>
      </x:c>
      <x:c r="H11" s="140" t="n">
        <x:v>0</x:v>
      </x:c>
      <x:c r="I11" s="140" t="n">
        <x:v>92.19</x:v>
      </x:c>
      <x:c r="J11" s="140" t="n">
        <x:v>9.87</x:v>
      </x:c>
      <x:c r="K11" s="140" t="n">
        <x:v>18.26</x:v>
      </x:c>
      <x:c r="L11" s="140" t="n">
        <x:v>21</x:v>
      </x:c>
      <x:c r="M11" s="140" t="n">
        <x:v>15</x:v>
      </x:c>
      <x:c r="N11" s="134" t="n">
        <x:v>0</x:v>
      </x:c>
      <x:c r="O11" s="134" t="str">
        <x:v>permanece</x:v>
      </x:c>
      <x:c r="P11" s="134" t="str">
        <x:v>train</x:v>
      </x:c>
      <x:c r="Q11" s="134" t="str">
        <x:v>synthetic_scientific</x:v>
      </x:c>
      <x:c r="R11" s="135" t="str">
        <x:v>BLENKIR_V6_SYNTH_20260924</x:v>
      </x:c>
    </x:row>
    <x:row r="12" ht="32" customHeight="1">
      <x:c r="A12" s="133" t="str">
        <x:v>EST-0005</x:v>
      </x:c>
      <x:c r="B12" s="134" t="str">
        <x:v>EST-0005-T2</x:v>
      </x:c>
      <x:c r="C12" s="134" t="str">
        <x:v>2026-09-21</x:v>
      </x:c>
      <x:c r="D12" s="134" t="str">
        <x:v>2026-12-15</x:v>
      </x:c>
      <x:c r="E12" s="134" t="n">
        <x:v>1</x:v>
      </x:c>
      <x:c r="F12" s="134" t="str">
        <x:v>1A</x:v>
      </x:c>
      <x:c r="G12" s="140" t="n">
        <x:v>12.55</x:v>
      </x:c>
      <x:c r="H12" s="140" t="n">
        <x:v>0</x:v>
      </x:c>
      <x:c r="I12" s="140" t="n">
        <x:v>89.47</x:v>
      </x:c>
      <x:c r="J12" s="140" t="n">
        <x:v>10.08</x:v>
      </x:c>
      <x:c r="K12" s="140" t="n">
        <x:v>18.94</x:v>
      </x:c>
      <x:c r="L12" s="140" t="n">
        <x:v>20</x:v>
      </x:c>
      <x:c r="M12" s="140" t="n">
        <x:v>15</x:v>
      </x:c>
      <x:c r="N12" s="134" t="n">
        <x:v>0</x:v>
      </x:c>
      <x:c r="O12" s="134" t="str">
        <x:v>permanece</x:v>
      </x:c>
      <x:c r="P12" s="134" t="str">
        <x:v>train</x:v>
      </x:c>
      <x:c r="Q12" s="134" t="str">
        <x:v>synthetic_scientific</x:v>
      </x:c>
      <x:c r="R12" s="135" t="str">
        <x:v>BLENKIR_V6_SYNTH_20260924</x:v>
      </x:c>
    </x:row>
    <x:row r="13" ht="32" customHeight="1">
      <x:c r="A13" s="133" t="str">
        <x:v>EST-0006</x:v>
      </x:c>
      <x:c r="B13" s="134" t="str">
        <x:v>EST-0006-T1</x:v>
      </x:c>
      <x:c r="C13" s="134" t="str">
        <x:v>2026-07-31</x:v>
      </x:c>
      <x:c r="D13" s="134" t="str">
        <x:v>2026-12-15</x:v>
      </x:c>
      <x:c r="E13" s="134" t="n">
        <x:v>1</x:v>
      </x:c>
      <x:c r="F13" s="134" t="str">
        <x:v>1A</x:v>
      </x:c>
      <x:c r="G13" s="140" t="n">
        <x:v>17.04</x:v>
      </x:c>
      <x:c r="H13" s="140" t="n">
        <x:v>0</x:v>
      </x:c>
      <x:c r="I13" s="140" t="n">
        <x:v>89.01</x:v>
      </x:c>
      <x:c r="J13" s="140" t="n">
        <x:v>8.28</x:v>
      </x:c>
      <x:c r="K13" s="140" t="n">
        <x:v>12.53</x:v>
      </x:c>
      <x:c r="L13" s="140" t="n">
        <x:v>17</x:v>
      </x:c>
      <x:c r="M13" s="140" t="n">
        <x:v>11</x:v>
      </x:c>
      <x:c r="N13" s="134" t="n">
        <x:v>0</x:v>
      </x:c>
      <x:c r="O13" s="134" t="str">
        <x:v>permanece</x:v>
      </x:c>
      <x:c r="P13" s="134" t="str">
        <x:v>train</x:v>
      </x:c>
      <x:c r="Q13" s="134" t="str">
        <x:v>synthetic_scientific</x:v>
      </x:c>
      <x:c r="R13" s="135" t="str">
        <x:v>BLENKIR_V6_SYNTH_20260924</x:v>
      </x:c>
    </x:row>
    <x:row r="14" ht="32" customHeight="1">
      <x:c r="A14" s="133" t="str">
        <x:v>EST-0006</x:v>
      </x:c>
      <x:c r="B14" s="134" t="str">
        <x:v>EST-0006-T2</x:v>
      </x:c>
      <x:c r="C14" s="134" t="str">
        <x:v>2026-09-21</x:v>
      </x:c>
      <x:c r="D14" s="134" t="str">
        <x:v>2026-12-15</x:v>
      </x:c>
      <x:c r="E14" s="134" t="n">
        <x:v>1</x:v>
      </x:c>
      <x:c r="F14" s="134" t="str">
        <x:v>1A</x:v>
      </x:c>
      <x:c r="G14" s="140" t="n">
        <x:v>16.59</x:v>
      </x:c>
      <x:c r="H14" s="140" t="n">
        <x:v>0</x:v>
      </x:c>
      <x:c r="I14" s="140" t="n">
        <x:v>86.7</x:v>
      </x:c>
      <x:c r="J14" s="140" t="n">
        <x:v>8</x:v>
      </x:c>
      <x:c r="K14" s="140" t="n">
        <x:v>14.45</x:v>
      </x:c>
      <x:c r="L14" s="140" t="n">
        <x:v>16</x:v>
      </x:c>
      <x:c r="M14" s="140" t="n">
        <x:v>12</x:v>
      </x:c>
      <x:c r="N14" s="134" t="n">
        <x:v>0</x:v>
      </x:c>
      <x:c r="O14" s="134" t="str">
        <x:v>permanece</x:v>
      </x:c>
      <x:c r="P14" s="134" t="str">
        <x:v>train</x:v>
      </x:c>
      <x:c r="Q14" s="134" t="str">
        <x:v>synthetic_scientific</x:v>
      </x:c>
      <x:c r="R14" s="135" t="str">
        <x:v>BLENKIR_V6_SYNTH_20260924</x:v>
      </x:c>
    </x:row>
    <x:row r="15" ht="32" customHeight="1">
      <x:c r="A15" s="133" t="str">
        <x:v>EST-0007</x:v>
      </x:c>
      <x:c r="B15" s="134" t="str">
        <x:v>EST-0007-T1</x:v>
      </x:c>
      <x:c r="C15" s="134" t="str">
        <x:v>2026-07-31</x:v>
      </x:c>
      <x:c r="D15" s="134" t="str">
        <x:v>2026-12-15</x:v>
      </x:c>
      <x:c r="E15" s="134" t="n">
        <x:v>1</x:v>
      </x:c>
      <x:c r="F15" s="134" t="str">
        <x:v>1A</x:v>
      </x:c>
      <x:c r="G15" s="140" t="n">
        <x:v>15.6</x:v>
      </x:c>
      <x:c r="H15" s="140" t="n">
        <x:v>0</x:v>
      </x:c>
      <x:c r="I15" s="140" t="n">
        <x:v>98.36</x:v>
      </x:c>
      <x:c r="J15" s="140" t="n">
        <x:v>9.02</x:v>
      </x:c>
      <x:c r="K15" s="140" t="n">
        <x:v>15.63</x:v>
      </x:c>
      <x:c r="L15" s="140" t="n">
        <x:v>14</x:v>
      </x:c>
      <x:c r="M15" s="140" t="n">
        <x:v>16</x:v>
      </x:c>
      <x:c r="N15" s="134" t="n">
        <x:v>0</x:v>
      </x:c>
      <x:c r="O15" s="134" t="str">
        <x:v>permanece</x:v>
      </x:c>
      <x:c r="P15" s="134" t="str">
        <x:v>train</x:v>
      </x:c>
      <x:c r="Q15" s="134" t="str">
        <x:v>synthetic_scientific</x:v>
      </x:c>
      <x:c r="R15" s="135" t="str">
        <x:v>BLENKIR_V6_SYNTH_20260924</x:v>
      </x:c>
    </x:row>
    <x:row r="16" ht="32" customHeight="1">
      <x:c r="A16" s="133" t="str">
        <x:v>EST-0007</x:v>
      </x:c>
      <x:c r="B16" s="134" t="str">
        <x:v>EST-0007-T2</x:v>
      </x:c>
      <x:c r="C16" s="134" t="str">
        <x:v>2026-09-21</x:v>
      </x:c>
      <x:c r="D16" s="134" t="str">
        <x:v>2026-12-15</x:v>
      </x:c>
      <x:c r="E16" s="134" t="n">
        <x:v>1</x:v>
      </x:c>
      <x:c r="F16" s="134" t="str">
        <x:v>1A</x:v>
      </x:c>
      <x:c r="G16" s="140" t="n">
        <x:v>15.69</x:v>
      </x:c>
      <x:c r="H16" s="140" t="n">
        <x:v>0</x:v>
      </x:c>
      <x:c r="I16" s="140" t="n">
        <x:v>94.65</x:v>
      </x:c>
      <x:c r="J16" s="140" t="n">
        <x:v>9.64</x:v>
      </x:c>
      <x:c r="K16" s="140" t="n">
        <x:v>17.77</x:v>
      </x:c>
      <x:c r="L16" s="140" t="n">
        <x:v>18</x:v>
      </x:c>
      <x:c r="M16" s="140" t="n">
        <x:v>15</x:v>
      </x:c>
      <x:c r="N16" s="134" t="n">
        <x:v>0</x:v>
      </x:c>
      <x:c r="O16" s="134" t="str">
        <x:v>permanece</x:v>
      </x:c>
      <x:c r="P16" s="134" t="str">
        <x:v>train</x:v>
      </x:c>
      <x:c r="Q16" s="134" t="str">
        <x:v>synthetic_scientific</x:v>
      </x:c>
      <x:c r="R16" s="135" t="str">
        <x:v>BLENKIR_V6_SYNTH_20260924</x:v>
      </x:c>
    </x:row>
    <x:row r="17" ht="32" customHeight="1">
      <x:c r="A17" s="133" t="str">
        <x:v>EST-0008</x:v>
      </x:c>
      <x:c r="B17" s="134" t="str">
        <x:v>EST-0008-T1</x:v>
      </x:c>
      <x:c r="C17" s="134" t="str">
        <x:v>2026-07-31</x:v>
      </x:c>
      <x:c r="D17" s="134" t="str">
        <x:v>2026-12-15</x:v>
      </x:c>
      <x:c r="E17" s="134" t="n">
        <x:v>1</x:v>
      </x:c>
      <x:c r="F17" s="134" t="str">
        <x:v>1A</x:v>
      </x:c>
      <x:c r="G17" s="140" t="n">
        <x:v>16.58</x:v>
      </x:c>
      <x:c r="H17" s="140" t="n">
        <x:v>0</x:v>
      </x:c>
      <x:c r="I17" s="140" t="n">
        <x:v>90.38</x:v>
      </x:c>
      <x:c r="J17" s="140" t="n">
        <x:v>6.87</x:v>
      </x:c>
      <x:c r="K17" s="140" t="n">
        <x:v>12.16</x:v>
      </x:c>
      <x:c r="L17" s="140" t="n">
        <x:v>12</x:v>
      </x:c>
      <x:c r="M17" s="140" t="n">
        <x:v>8</x:v>
      </x:c>
      <x:c r="N17" s="134" t="n">
        <x:v>1</x:v>
      </x:c>
      <x:c r="O17" s="134" t="str">
        <x:v>deserta</x:v>
      </x:c>
      <x:c r="P17" s="134" t="str">
        <x:v>train</x:v>
      </x:c>
      <x:c r="Q17" s="134" t="str">
        <x:v>synthetic_scientific</x:v>
      </x:c>
      <x:c r="R17" s="135" t="str">
        <x:v>BLENKIR_V6_SYNTH_20260924</x:v>
      </x:c>
    </x:row>
    <x:row r="18" ht="32" customHeight="1">
      <x:c r="A18" s="133" t="str">
        <x:v>EST-0008</x:v>
      </x:c>
      <x:c r="B18" s="134" t="str">
        <x:v>EST-0008-T2</x:v>
      </x:c>
      <x:c r="C18" s="134" t="str">
        <x:v>2026-09-21</x:v>
      </x:c>
      <x:c r="D18" s="134" t="str">
        <x:v>2026-12-15</x:v>
      </x:c>
      <x:c r="E18" s="134" t="n">
        <x:v>1</x:v>
      </x:c>
      <x:c r="F18" s="134" t="str">
        <x:v>1A</x:v>
      </x:c>
      <x:c r="G18" s="140" t="n">
        <x:v>15.05</x:v>
      </x:c>
      <x:c r="H18" s="140" t="n">
        <x:v>0</x:v>
      </x:c>
      <x:c r="I18" s="140" t="n">
        <x:v>88.37</x:v>
      </x:c>
      <x:c r="J18" s="140" t="n">
        <x:v>6.46</x:v>
      </x:c>
      <x:c r="K18" s="140" t="n">
        <x:v>11.69</x:v>
      </x:c>
      <x:c r="L18" s="140" t="n">
        <x:v>11</x:v>
      </x:c>
      <x:c r="M18" s="140" t="n">
        <x:v>9</x:v>
      </x:c>
      <x:c r="N18" s="134" t="n">
        <x:v>1</x:v>
      </x:c>
      <x:c r="O18" s="134" t="str">
        <x:v>deserta</x:v>
      </x:c>
      <x:c r="P18" s="134" t="str">
        <x:v>train</x:v>
      </x:c>
      <x:c r="Q18" s="134" t="str">
        <x:v>synthetic_scientific</x:v>
      </x:c>
      <x:c r="R18" s="135" t="str">
        <x:v>BLENKIR_V6_SYNTH_20260924</x:v>
      </x:c>
    </x:row>
    <x:row r="19" ht="32" customHeight="1">
      <x:c r="A19" s="133" t="str">
        <x:v>EST-0009</x:v>
      </x:c>
      <x:c r="B19" s="134" t="str">
        <x:v>EST-0009-T1</x:v>
      </x:c>
      <x:c r="C19" s="134" t="str">
        <x:v>2026-07-31</x:v>
      </x:c>
      <x:c r="D19" s="134" t="str">
        <x:v>2026-12-15</x:v>
      </x:c>
      <x:c r="E19" s="134" t="n">
        <x:v>1</x:v>
      </x:c>
      <x:c r="F19" s="134" t="str">
        <x:v>1A</x:v>
      </x:c>
      <x:c r="G19" s="140" t="n">
        <x:v>16.94</x:v>
      </x:c>
      <x:c r="H19" s="140" t="n">
        <x:v>0</x:v>
      </x:c>
      <x:c r="I19" s="140" t="n">
        <x:v>97.75</x:v>
      </x:c>
      <x:c r="J19" s="140" t="n">
        <x:v>7.03</x:v>
      </x:c>
      <x:c r="K19" s="140" t="n">
        <x:v>13.63</x:v>
      </x:c>
      <x:c r="L19" s="140" t="n">
        <x:v>13</x:v>
      </x:c>
      <x:c r="M19" s="140" t="n">
        <x:v>10</x:v>
      </x:c>
      <x:c r="N19" s="134" t="n">
        <x:v>0</x:v>
      </x:c>
      <x:c r="O19" s="134" t="str">
        <x:v>permanece</x:v>
      </x:c>
      <x:c r="P19" s="134" t="str">
        <x:v>train</x:v>
      </x:c>
      <x:c r="Q19" s="134" t="str">
        <x:v>synthetic_scientific</x:v>
      </x:c>
      <x:c r="R19" s="135" t="str">
        <x:v>BLENKIR_V6_SYNTH_20260924</x:v>
      </x:c>
    </x:row>
    <x:row r="20" ht="32" customHeight="1">
      <x:c r="A20" s="133" t="str">
        <x:v>EST-0009</x:v>
      </x:c>
      <x:c r="B20" s="134" t="str">
        <x:v>EST-0009-T2</x:v>
      </x:c>
      <x:c r="C20" s="134" t="str">
        <x:v>2026-09-21</x:v>
      </x:c>
      <x:c r="D20" s="134" t="str">
        <x:v>2026-12-15</x:v>
      </x:c>
      <x:c r="E20" s="134" t="n">
        <x:v>1</x:v>
      </x:c>
      <x:c r="F20" s="134" t="str">
        <x:v>1A</x:v>
      </x:c>
      <x:c r="G20" s="140" t="n">
        <x:v>16.52</x:v>
      </x:c>
      <x:c r="H20" s="140" t="n">
        <x:v>0</x:v>
      </x:c>
      <x:c r="I20" s="140" t="n">
        <x:v>99.2</x:v>
      </x:c>
      <x:c r="J20" s="140" t="n">
        <x:v>7.27</x:v>
      </x:c>
      <x:c r="K20" s="140" t="n">
        <x:v>12.83</x:v>
      </x:c>
      <x:c r="L20" s="140" t="n">
        <x:v>16</x:v>
      </x:c>
      <x:c r="M20" s="140" t="n">
        <x:v>9</x:v>
      </x:c>
      <x:c r="N20" s="134" t="n">
        <x:v>0</x:v>
      </x:c>
      <x:c r="O20" s="134" t="str">
        <x:v>permanece</x:v>
      </x:c>
      <x:c r="P20" s="134" t="str">
        <x:v>train</x:v>
      </x:c>
      <x:c r="Q20" s="134" t="str">
        <x:v>synthetic_scientific</x:v>
      </x:c>
      <x:c r="R20" s="135" t="str">
        <x:v>BLENKIR_V6_SYNTH_20260924</x:v>
      </x:c>
    </x:row>
    <x:row r="21" ht="32" customHeight="1">
      <x:c r="A21" s="133" t="str">
        <x:v>EST-0011</x:v>
      </x:c>
      <x:c r="B21" s="134" t="str">
        <x:v>EST-0011-T1</x:v>
      </x:c>
      <x:c r="C21" s="134" t="str">
        <x:v>2026-07-31</x:v>
      </x:c>
      <x:c r="D21" s="134" t="str">
        <x:v>2026-12-15</x:v>
      </x:c>
      <x:c r="E21" s="134" t="n">
        <x:v>1</x:v>
      </x:c>
      <x:c r="F21" s="134" t="str">
        <x:v>1A</x:v>
      </x:c>
      <x:c r="G21" s="140" t="n">
        <x:v>15.65</x:v>
      </x:c>
      <x:c r="H21" s="140" t="n">
        <x:v>0</x:v>
      </x:c>
      <x:c r="I21" s="140" t="n">
        <x:v>90.21</x:v>
      </x:c>
      <x:c r="J21" s="140" t="n">
        <x:v>8.84</x:v>
      </x:c>
      <x:c r="K21" s="140" t="n">
        <x:v>13.28</x:v>
      </x:c>
      <x:c r="L21" s="140" t="n">
        <x:v>13</x:v>
      </x:c>
      <x:c r="M21" s="140" t="n">
        <x:v>10</x:v>
      </x:c>
      <x:c r="N21" s="134" t="n">
        <x:v>0</x:v>
      </x:c>
      <x:c r="O21" s="134" t="str">
        <x:v>permanece</x:v>
      </x:c>
      <x:c r="P21" s="134" t="str">
        <x:v>train</x:v>
      </x:c>
      <x:c r="Q21" s="134" t="str">
        <x:v>synthetic_scientific</x:v>
      </x:c>
      <x:c r="R21" s="135" t="str">
        <x:v>BLENKIR_V6_SYNTH_20260924</x:v>
      </x:c>
    </x:row>
    <x:row r="22" ht="32" customHeight="1">
      <x:c r="A22" s="133" t="str">
        <x:v>EST-0011</x:v>
      </x:c>
      <x:c r="B22" s="134" t="str">
        <x:v>EST-0011-T2</x:v>
      </x:c>
      <x:c r="C22" s="134" t="str">
        <x:v>2026-09-21</x:v>
      </x:c>
      <x:c r="D22" s="134" t="str">
        <x:v>2026-12-15</x:v>
      </x:c>
      <x:c r="E22" s="134" t="n">
        <x:v>1</x:v>
      </x:c>
      <x:c r="F22" s="134" t="str">
        <x:v>1A</x:v>
      </x:c>
      <x:c r="G22" s="140" t="n">
        <x:v>14.83</x:v>
      </x:c>
      <x:c r="H22" s="140" t="n">
        <x:v>0</x:v>
      </x:c>
      <x:c r="I22" s="140" t="n">
        <x:v>87.29</x:v>
      </x:c>
      <x:c r="J22" s="140" t="n">
        <x:v>6.68</x:v>
      </x:c>
      <x:c r="K22" s="140" t="n">
        <x:v>12.16</x:v>
      </x:c>
      <x:c r="L22" s="140" t="n">
        <x:v>13</x:v>
      </x:c>
      <x:c r="M22" s="140" t="n">
        <x:v>11</x:v>
      </x:c>
      <x:c r="N22" s="134" t="n">
        <x:v>0</x:v>
      </x:c>
      <x:c r="O22" s="134" t="str">
        <x:v>permanece</x:v>
      </x:c>
      <x:c r="P22" s="134" t="str">
        <x:v>train</x:v>
      </x:c>
      <x:c r="Q22" s="134" t="str">
        <x:v>synthetic_scientific</x:v>
      </x:c>
      <x:c r="R22" s="135" t="str">
        <x:v>BLENKIR_V6_SYNTH_20260924</x:v>
      </x:c>
    </x:row>
    <x:row r="23" ht="32" customHeight="1">
      <x:c r="A23" s="133" t="str">
        <x:v>EST-0012</x:v>
      </x:c>
      <x:c r="B23" s="134" t="str">
        <x:v>EST-0012-T1</x:v>
      </x:c>
      <x:c r="C23" s="134" t="str">
        <x:v>2026-07-31</x:v>
      </x:c>
      <x:c r="D23" s="134" t="str">
        <x:v>2026-12-15</x:v>
      </x:c>
      <x:c r="E23" s="134" t="n">
        <x:v>1</x:v>
      </x:c>
      <x:c r="F23" s="134" t="str">
        <x:v>1A</x:v>
      </x:c>
      <x:c r="G23" s="140" t="n">
        <x:v>14.59</x:v>
      </x:c>
      <x:c r="H23" s="140" t="n">
        <x:v>0</x:v>
      </x:c>
      <x:c r="I23" s="140" t="n">
        <x:v>94.91</x:v>
      </x:c>
      <x:c r="J23" s="140" t="n">
        <x:v>4.15</x:v>
      </x:c>
      <x:c r="K23" s="140" t="n">
        <x:v>12.92</x:v>
      </x:c>
      <x:c r="L23" s="140" t="n">
        <x:v>15</x:v>
      </x:c>
      <x:c r="M23" s="140" t="n">
        <x:v>9</x:v>
      </x:c>
      <x:c r="N23" s="134" t="n">
        <x:v>1</x:v>
      </x:c>
      <x:c r="O23" s="134" t="str">
        <x:v>deserta</x:v>
      </x:c>
      <x:c r="P23" s="134" t="str">
        <x:v>train</x:v>
      </x:c>
      <x:c r="Q23" s="134" t="str">
        <x:v>synthetic_scientific</x:v>
      </x:c>
      <x:c r="R23" s="135" t="str">
        <x:v>BLENKIR_V6_SYNTH_20260924</x:v>
      </x:c>
    </x:row>
    <x:row r="24" ht="32" customHeight="1">
      <x:c r="A24" s="133" t="str">
        <x:v>EST-0012</x:v>
      </x:c>
      <x:c r="B24" s="134" t="str">
        <x:v>EST-0012-T2</x:v>
      </x:c>
      <x:c r="C24" s="134" t="str">
        <x:v>2026-09-21</x:v>
      </x:c>
      <x:c r="D24" s="134" t="str">
        <x:v>2026-12-15</x:v>
      </x:c>
      <x:c r="E24" s="134" t="n">
        <x:v>1</x:v>
      </x:c>
      <x:c r="F24" s="134" t="str">
        <x:v>1A</x:v>
      </x:c>
      <x:c r="G24" s="140" t="n">
        <x:v>14.09</x:v>
      </x:c>
      <x:c r="H24" s="140" t="n">
        <x:v>0</x:v>
      </x:c>
      <x:c r="I24" s="140" t="n">
        <x:v>92.39</x:v>
      </x:c>
      <x:c r="J24" s="140" t="n">
        <x:v>5.75</x:v>
      </x:c>
      <x:c r="K24" s="140" t="n">
        <x:v>8.98</x:v>
      </x:c>
      <x:c r="L24" s="140" t="n">
        <x:v>12</x:v>
      </x:c>
      <x:c r="M24" s="140" t="n">
        <x:v>10</x:v>
      </x:c>
      <x:c r="N24" s="134" t="n">
        <x:v>1</x:v>
      </x:c>
      <x:c r="O24" s="134" t="str">
        <x:v>deserta</x:v>
      </x:c>
      <x:c r="P24" s="134" t="str">
        <x:v>train</x:v>
      </x:c>
      <x:c r="Q24" s="134" t="str">
        <x:v>synthetic_scientific</x:v>
      </x:c>
      <x:c r="R24" s="135" t="str">
        <x:v>BLENKIR_V6_SYNTH_20260924</x:v>
      </x:c>
    </x:row>
    <x:row r="25" ht="32" customHeight="1">
      <x:c r="A25" s="133" t="str">
        <x:v>EST-0013</x:v>
      </x:c>
      <x:c r="B25" s="134" t="str">
        <x:v>EST-0013-T1</x:v>
      </x:c>
      <x:c r="C25" s="134" t="str">
        <x:v>2026-07-31</x:v>
      </x:c>
      <x:c r="D25" s="134" t="str">
        <x:v>2026-12-15</x:v>
      </x:c>
      <x:c r="E25" s="134" t="n">
        <x:v>1</x:v>
      </x:c>
      <x:c r="F25" s="134" t="str">
        <x:v>1B</x:v>
      </x:c>
      <x:c r="G25" s="140" t="n">
        <x:v>13.72</x:v>
      </x:c>
      <x:c r="H25" s="140" t="n">
        <x:v>0</x:v>
      </x:c>
      <x:c r="I25" s="140" t="n">
        <x:v>87.73</x:v>
      </x:c>
      <x:c r="J25" s="140" t="n">
        <x:v>5.48</x:v>
      </x:c>
      <x:c r="K25" s="140" t="n">
        <x:v>12.32</x:v>
      </x:c>
      <x:c r="L25" s="140" t="n">
        <x:v>14</x:v>
      </x:c>
      <x:c r="M25" s="140" t="n">
        <x:v>10</x:v>
      </x:c>
      <x:c r="N25" s="134" t="n">
        <x:v>0</x:v>
      </x:c>
      <x:c r="O25" s="134" t="str">
        <x:v>permanece</x:v>
      </x:c>
      <x:c r="P25" s="134" t="str">
        <x:v>train</x:v>
      </x:c>
      <x:c r="Q25" s="134" t="str">
        <x:v>synthetic_scientific</x:v>
      </x:c>
      <x:c r="R25" s="135" t="str">
        <x:v>BLENKIR_V6_SYNTH_20260924</x:v>
      </x:c>
    </x:row>
    <x:row r="26" ht="32" customHeight="1">
      <x:c r="A26" s="133" t="str">
        <x:v>EST-0013</x:v>
      </x:c>
      <x:c r="B26" s="134" t="str">
        <x:v>EST-0013-T2</x:v>
      </x:c>
      <x:c r="C26" s="134" t="str">
        <x:v>2026-09-21</x:v>
      </x:c>
      <x:c r="D26" s="134" t="str">
        <x:v>2026-12-15</x:v>
      </x:c>
      <x:c r="E26" s="134" t="n">
        <x:v>1</x:v>
      </x:c>
      <x:c r="F26" s="134" t="str">
        <x:v>1B</x:v>
      </x:c>
      <x:c r="G26" s="140" t="n">
        <x:v>12.42</x:v>
      </x:c>
      <x:c r="H26" s="140" t="n">
        <x:v>0</x:v>
      </x:c>
      <x:c r="I26" s="140" t="n">
        <x:v>88.22</x:v>
      </x:c>
      <x:c r="J26" s="140" t="n">
        <x:v>5.87</x:v>
      </x:c>
      <x:c r="K26" s="140" t="n">
        <x:v>11.28</x:v>
      </x:c>
      <x:c r="L26" s="140" t="n">
        <x:v>13</x:v>
      </x:c>
      <x:c r="M26" s="140" t="n">
        <x:v>9</x:v>
      </x:c>
      <x:c r="N26" s="134" t="n">
        <x:v>0</x:v>
      </x:c>
      <x:c r="O26" s="134" t="str">
        <x:v>permanece</x:v>
      </x:c>
      <x:c r="P26" s="134" t="str">
        <x:v>train</x:v>
      </x:c>
      <x:c r="Q26" s="134" t="str">
        <x:v>synthetic_scientific</x:v>
      </x:c>
      <x:c r="R26" s="135" t="str">
        <x:v>BLENKIR_V6_SYNTH_20260924</x:v>
      </x:c>
    </x:row>
    <x:row r="27" ht="32" customHeight="1">
      <x:c r="A27" s="133" t="str">
        <x:v>EST-0014</x:v>
      </x:c>
      <x:c r="B27" s="134" t="str">
        <x:v>EST-0014-T1</x:v>
      </x:c>
      <x:c r="C27" s="134" t="str">
        <x:v>2026-07-31</x:v>
      </x:c>
      <x:c r="D27" s="134" t="str">
        <x:v>2026-12-15</x:v>
      </x:c>
      <x:c r="E27" s="134" t="n">
        <x:v>1</x:v>
      </x:c>
      <x:c r="F27" s="134" t="str">
        <x:v>1B</x:v>
      </x:c>
      <x:c r="G27" s="140" t="n">
        <x:v>16.11</x:v>
      </x:c>
      <x:c r="H27" s="140" t="n">
        <x:v>0</x:v>
      </x:c>
      <x:c r="I27" s="140" t="n">
        <x:v>94.26</x:v>
      </x:c>
      <x:c r="J27" s="140" t="n">
        <x:v>11.54</x:v>
      </x:c>
      <x:c r="K27" s="140" t="n">
        <x:v>19.28</x:v>
      </x:c>
      <x:c r="L27" s="140" t="n">
        <x:v>16</x:v>
      </x:c>
      <x:c r="M27" s="140" t="n">
        <x:v>13</x:v>
      </x:c>
      <x:c r="N27" s="134" t="n">
        <x:v>0</x:v>
      </x:c>
      <x:c r="O27" s="134" t="str">
        <x:v>permanece</x:v>
      </x:c>
      <x:c r="P27" s="134" t="str">
        <x:v>train</x:v>
      </x:c>
      <x:c r="Q27" s="134" t="str">
        <x:v>synthetic_scientific</x:v>
      </x:c>
      <x:c r="R27" s="135" t="str">
        <x:v>BLENKIR_V6_SYNTH_20260924</x:v>
      </x:c>
    </x:row>
    <x:row r="28" ht="32" customHeight="1">
      <x:c r="A28" s="133" t="str">
        <x:v>EST-0014</x:v>
      </x:c>
      <x:c r="B28" s="134" t="str">
        <x:v>EST-0014-T2</x:v>
      </x:c>
      <x:c r="C28" s="134" t="str">
        <x:v>2026-09-21</x:v>
      </x:c>
      <x:c r="D28" s="134" t="str">
        <x:v>2026-12-15</x:v>
      </x:c>
      <x:c r="E28" s="134" t="n">
        <x:v>1</x:v>
      </x:c>
      <x:c r="F28" s="134" t="str">
        <x:v>1B</x:v>
      </x:c>
      <x:c r="G28" s="140" t="n">
        <x:v>16.31</x:v>
      </x:c>
      <x:c r="H28" s="140" t="n">
        <x:v>0</x:v>
      </x:c>
      <x:c r="I28" s="140" t="n">
        <x:v>96.12</x:v>
      </x:c>
      <x:c r="J28" s="140" t="n">
        <x:v>10.77</x:v>
      </x:c>
      <x:c r="K28" s="140" t="n">
        <x:v>19.32</x:v>
      </x:c>
      <x:c r="L28" s="140" t="n">
        <x:v>17</x:v>
      </x:c>
      <x:c r="M28" s="140" t="n">
        <x:v>12</x:v>
      </x:c>
      <x:c r="N28" s="134" t="n">
        <x:v>0</x:v>
      </x:c>
      <x:c r="O28" s="134" t="str">
        <x:v>permanece</x:v>
      </x:c>
      <x:c r="P28" s="134" t="str">
        <x:v>train</x:v>
      </x:c>
      <x:c r="Q28" s="134" t="str">
        <x:v>synthetic_scientific</x:v>
      </x:c>
      <x:c r="R28" s="135" t="str">
        <x:v>BLENKIR_V6_SYNTH_20260924</x:v>
      </x:c>
    </x:row>
    <x:row r="29" ht="32" customHeight="1">
      <x:c r="A29" s="133" t="str">
        <x:v>EST-0015</x:v>
      </x:c>
      <x:c r="B29" s="134" t="str">
        <x:v>EST-0015-T1</x:v>
      </x:c>
      <x:c r="C29" s="134" t="str">
        <x:v>2026-07-31</x:v>
      </x:c>
      <x:c r="D29" s="134" t="str">
        <x:v>2026-12-15</x:v>
      </x:c>
      <x:c r="E29" s="134" t="n">
        <x:v>1</x:v>
      </x:c>
      <x:c r="F29" s="134" t="str">
        <x:v>1B</x:v>
      </x:c>
      <x:c r="G29" s="140" t="n">
        <x:v>16.13</x:v>
      </x:c>
      <x:c r="H29" s="140" t="n">
        <x:v>0</x:v>
      </x:c>
      <x:c r="I29" s="140" t="n">
        <x:v>91.27</x:v>
      </x:c>
      <x:c r="J29" s="140" t="n">
        <x:v>6.83</x:v>
      </x:c>
      <x:c r="K29" s="140" t="n">
        <x:v>10.99</x:v>
      </x:c>
      <x:c r="L29" s="140" t="n">
        <x:v>13</x:v>
      </x:c>
      <x:c r="M29" s="140" t="n">
        <x:v>9</x:v>
      </x:c>
      <x:c r="N29" s="134" t="n">
        <x:v>0</x:v>
      </x:c>
      <x:c r="O29" s="134" t="str">
        <x:v>permanece</x:v>
      </x:c>
      <x:c r="P29" s="134" t="str">
        <x:v>train</x:v>
      </x:c>
      <x:c r="Q29" s="134" t="str">
        <x:v>synthetic_scientific</x:v>
      </x:c>
      <x:c r="R29" s="135" t="str">
        <x:v>BLENKIR_V6_SYNTH_20260924</x:v>
      </x:c>
    </x:row>
    <x:row r="30" ht="32" customHeight="1">
      <x:c r="A30" s="133" t="str">
        <x:v>EST-0015</x:v>
      </x:c>
      <x:c r="B30" s="134" t="str">
        <x:v>EST-0015-T2</x:v>
      </x:c>
      <x:c r="C30" s="134" t="str">
        <x:v>2026-09-21</x:v>
      </x:c>
      <x:c r="D30" s="134" t="str">
        <x:v>2026-12-15</x:v>
      </x:c>
      <x:c r="E30" s="134" t="n">
        <x:v>1</x:v>
      </x:c>
      <x:c r="F30" s="134" t="str">
        <x:v>1B</x:v>
      </x:c>
      <x:c r="G30" s="140" t="n">
        <x:v>16.35</x:v>
      </x:c>
      <x:c r="H30" s="140" t="n">
        <x:v>0</x:v>
      </x:c>
      <x:c r="I30" s="140" t="n">
        <x:v>88.35</x:v>
      </x:c>
      <x:c r="J30" s="140" t="n">
        <x:v>6.93</x:v>
      </x:c>
      <x:c r="K30" s="140" t="n">
        <x:v>13.07</x:v>
      </x:c>
      <x:c r="L30" s="140" t="n">
        <x:v>14</x:v>
      </x:c>
      <x:c r="M30" s="140" t="n">
        <x:v>9</x:v>
      </x:c>
      <x:c r="N30" s="134" t="n">
        <x:v>0</x:v>
      </x:c>
      <x:c r="O30" s="134" t="str">
        <x:v>permanece</x:v>
      </x:c>
      <x:c r="P30" s="134" t="str">
        <x:v>train</x:v>
      </x:c>
      <x:c r="Q30" s="134" t="str">
        <x:v>synthetic_scientific</x:v>
      </x:c>
      <x:c r="R30" s="135" t="str">
        <x:v>BLENKIR_V6_SYNTH_20260924</x:v>
      </x:c>
    </x:row>
    <x:row r="31" ht="32" customHeight="1">
      <x:c r="A31" s="133" t="str">
        <x:v>EST-0016</x:v>
      </x:c>
      <x:c r="B31" s="134" t="str">
        <x:v>EST-0016-T1</x:v>
      </x:c>
      <x:c r="C31" s="134" t="str">
        <x:v>2026-07-31</x:v>
      </x:c>
      <x:c r="D31" s="134" t="str">
        <x:v>2026-12-15</x:v>
      </x:c>
      <x:c r="E31" s="134" t="n">
        <x:v>1</x:v>
      </x:c>
      <x:c r="F31" s="134" t="str">
        <x:v>1B</x:v>
      </x:c>
      <x:c r="G31" s="140" t="n">
        <x:v>12.69</x:v>
      </x:c>
      <x:c r="H31" s="140" t="n">
        <x:v>0</x:v>
      </x:c>
      <x:c r="I31" s="140" t="n">
        <x:v>89.78</x:v>
      </x:c>
      <x:c r="J31" s="140" t="n">
        <x:v>7.94</x:v>
      </x:c>
      <x:c r="K31" s="140" t="n">
        <x:v>9.59</x:v>
      </x:c>
      <x:c r="L31" s="140" t="n">
        <x:v>14</x:v>
      </x:c>
      <x:c r="M31" s="140" t="n">
        <x:v>9</x:v>
      </x:c>
      <x:c r="N31" s="134" t="n">
        <x:v>1</x:v>
      </x:c>
      <x:c r="O31" s="134" t="str">
        <x:v>deserta</x:v>
      </x:c>
      <x:c r="P31" s="134" t="str">
        <x:v>holdout</x:v>
      </x:c>
      <x:c r="Q31" s="134" t="str">
        <x:v>synthetic_scientific</x:v>
      </x:c>
      <x:c r="R31" s="135" t="str">
        <x:v>BLENKIR_V6_SYNTH_20260924</x:v>
      </x:c>
    </x:row>
    <x:row r="32" ht="32" customHeight="1">
      <x:c r="A32" s="133" t="str">
        <x:v>EST-0016</x:v>
      </x:c>
      <x:c r="B32" s="134" t="str">
        <x:v>EST-0016-T2</x:v>
      </x:c>
      <x:c r="C32" s="134" t="str">
        <x:v>2026-09-21</x:v>
      </x:c>
      <x:c r="D32" s="134" t="str">
        <x:v>2026-12-15</x:v>
      </x:c>
      <x:c r="E32" s="134" t="n">
        <x:v>1</x:v>
      </x:c>
      <x:c r="F32" s="134" t="str">
        <x:v>1B</x:v>
      </x:c>
      <x:c r="G32" s="140" t="n">
        <x:v>11.13</x:v>
      </x:c>
      <x:c r="H32" s="140" t="n">
        <x:v>1</x:v>
      </x:c>
      <x:c r="I32" s="140" t="n">
        <x:v>88.88</x:v>
      </x:c>
      <x:c r="J32" s="140" t="n">
        <x:v>6.85</x:v>
      </x:c>
      <x:c r="K32" s="140" t="n">
        <x:v>11.75</x:v>
      </x:c>
      <x:c r="L32" s="140" t="n">
        <x:v>11</x:v>
      </x:c>
      <x:c r="M32" s="140" t="n">
        <x:v>7</x:v>
      </x:c>
      <x:c r="N32" s="134" t="n">
        <x:v>1</x:v>
      </x:c>
      <x:c r="O32" s="134" t="str">
        <x:v>deserta</x:v>
      </x:c>
      <x:c r="P32" s="134" t="str">
        <x:v>holdout</x:v>
      </x:c>
      <x:c r="Q32" s="134" t="str">
        <x:v>synthetic_scientific</x:v>
      </x:c>
      <x:c r="R32" s="135" t="str">
        <x:v>BLENKIR_V6_SYNTH_20260924</x:v>
      </x:c>
    </x:row>
    <x:row r="33" ht="32" customHeight="1">
      <x:c r="A33" s="133" t="str">
        <x:v>EST-0017</x:v>
      </x:c>
      <x:c r="B33" s="134" t="str">
        <x:v>EST-0017-T1</x:v>
      </x:c>
      <x:c r="C33" s="134" t="str">
        <x:v>2026-07-31</x:v>
      </x:c>
      <x:c r="D33" s="134" t="str">
        <x:v>2026-12-15</x:v>
      </x:c>
      <x:c r="E33" s="134" t="n">
        <x:v>1</x:v>
      </x:c>
      <x:c r="F33" s="134" t="str">
        <x:v>1B</x:v>
      </x:c>
      <x:c r="G33" s="140" t="n">
        <x:v>14.58</x:v>
      </x:c>
      <x:c r="H33" s="140" t="n">
        <x:v>0</x:v>
      </x:c>
      <x:c r="I33" s="140" t="n">
        <x:v>94.65</x:v>
      </x:c>
      <x:c r="J33" s="140" t="n">
        <x:v>9.76</x:v>
      </x:c>
      <x:c r="K33" s="140" t="n">
        <x:v>16.18</x:v>
      </x:c>
      <x:c r="L33" s="140" t="n">
        <x:v>12</x:v>
      </x:c>
      <x:c r="M33" s="140" t="n">
        <x:v>11</x:v>
      </x:c>
      <x:c r="N33" s="134" t="n">
        <x:v>0</x:v>
      </x:c>
      <x:c r="O33" s="134" t="str">
        <x:v>permanece</x:v>
      </x:c>
      <x:c r="P33" s="134" t="str">
        <x:v>train</x:v>
      </x:c>
      <x:c r="Q33" s="134" t="str">
        <x:v>synthetic_scientific</x:v>
      </x:c>
      <x:c r="R33" s="135" t="str">
        <x:v>BLENKIR_V6_SYNTH_20260924</x:v>
      </x:c>
    </x:row>
    <x:row r="34" ht="32" customHeight="1">
      <x:c r="A34" s="133" t="str">
        <x:v>EST-0017</x:v>
      </x:c>
      <x:c r="B34" s="134" t="str">
        <x:v>EST-0017-T2</x:v>
      </x:c>
      <x:c r="C34" s="134" t="str">
        <x:v>2026-09-21</x:v>
      </x:c>
      <x:c r="D34" s="134" t="str">
        <x:v>2026-12-15</x:v>
      </x:c>
      <x:c r="E34" s="134" t="n">
        <x:v>1</x:v>
      </x:c>
      <x:c r="F34" s="134" t="str">
        <x:v>1B</x:v>
      </x:c>
      <x:c r="G34" s="140" t="n">
        <x:v>14.96</x:v>
      </x:c>
      <x:c r="H34" s="140" t="n">
        <x:v>0</x:v>
      </x:c>
      <x:c r="I34" s="140" t="n">
        <x:v>95.77</x:v>
      </x:c>
      <x:c r="J34" s="140" t="n">
        <x:v>9.08</x:v>
      </x:c>
      <x:c r="K34" s="140" t="n">
        <x:v>14.92</x:v>
      </x:c>
      <x:c r="L34" s="140" t="n">
        <x:v>14</x:v>
      </x:c>
      <x:c r="M34" s="140" t="n">
        <x:v>12</x:v>
      </x:c>
      <x:c r="N34" s="134" t="n">
        <x:v>0</x:v>
      </x:c>
      <x:c r="O34" s="134" t="str">
        <x:v>permanece</x:v>
      </x:c>
      <x:c r="P34" s="134" t="str">
        <x:v>train</x:v>
      </x:c>
      <x:c r="Q34" s="134" t="str">
        <x:v>synthetic_scientific</x:v>
      </x:c>
      <x:c r="R34" s="135" t="str">
        <x:v>BLENKIR_V6_SYNTH_20260924</x:v>
      </x:c>
    </x:row>
    <x:row r="35" ht="32" customHeight="1">
      <x:c r="A35" s="133" t="str">
        <x:v>EST-0018</x:v>
      </x:c>
      <x:c r="B35" s="134" t="str">
        <x:v>EST-0018-T1</x:v>
      </x:c>
      <x:c r="C35" s="134" t="str">
        <x:v>2026-07-31</x:v>
      </x:c>
      <x:c r="D35" s="134" t="str">
        <x:v>2026-12-15</x:v>
      </x:c>
      <x:c r="E35" s="134" t="n">
        <x:v>1</x:v>
      </x:c>
      <x:c r="F35" s="134" t="str">
        <x:v>1B</x:v>
      </x:c>
      <x:c r="G35" s="140" t="n">
        <x:v>16.63</x:v>
      </x:c>
      <x:c r="H35" s="140" t="n">
        <x:v>0</x:v>
      </x:c>
      <x:c r="I35" s="140" t="n">
        <x:v>96.99</x:v>
      </x:c>
      <x:c r="J35" s="140" t="n">
        <x:v>7.54</x:v>
      </x:c>
      <x:c r="K35" s="140" t="n">
        <x:v>20.37</x:v>
      </x:c>
      <x:c r="L35" s="140" t="n">
        <x:v>14</x:v>
      </x:c>
      <x:c r="M35" s="140" t="n">
        <x:v>14</x:v>
      </x:c>
      <x:c r="N35" s="134" t="n">
        <x:v>1</x:v>
      </x:c>
      <x:c r="O35" s="134" t="str">
        <x:v>deserta</x:v>
      </x:c>
      <x:c r="P35" s="134" t="str">
        <x:v>train</x:v>
      </x:c>
      <x:c r="Q35" s="134" t="str">
        <x:v>synthetic_scientific</x:v>
      </x:c>
      <x:c r="R35" s="135" t="str">
        <x:v>BLENKIR_V6_SYNTH_20260924</x:v>
      </x:c>
    </x:row>
    <x:row r="36" ht="32" customHeight="1">
      <x:c r="A36" s="133" t="str">
        <x:v>EST-0018</x:v>
      </x:c>
      <x:c r="B36" s="134" t="str">
        <x:v>EST-0018-T2</x:v>
      </x:c>
      <x:c r="C36" s="134" t="str">
        <x:v>2026-09-21</x:v>
      </x:c>
      <x:c r="D36" s="134" t="str">
        <x:v>2026-12-15</x:v>
      </x:c>
      <x:c r="E36" s="134" t="n">
        <x:v>1</x:v>
      </x:c>
      <x:c r="F36" s="134" t="str">
        <x:v>1B</x:v>
      </x:c>
      <x:c r="G36" s="140" t="n">
        <x:v>14.86</x:v>
      </x:c>
      <x:c r="H36" s="140" t="n">
        <x:v>0</x:v>
      </x:c>
      <x:c r="I36" s="140" t="n">
        <x:v>92.75</x:v>
      </x:c>
      <x:c r="J36" s="140" t="n">
        <x:v>6.92</x:v>
      </x:c>
      <x:c r="K36" s="140" t="n">
        <x:v>16.71</x:v>
      </x:c>
      <x:c r="L36" s="140" t="n">
        <x:v>14</x:v>
      </x:c>
      <x:c r="M36" s="140" t="n">
        <x:v>13</x:v>
      </x:c>
      <x:c r="N36" s="134" t="n">
        <x:v>1</x:v>
      </x:c>
      <x:c r="O36" s="134" t="str">
        <x:v>deserta</x:v>
      </x:c>
      <x:c r="P36" s="134" t="str">
        <x:v>train</x:v>
      </x:c>
      <x:c r="Q36" s="134" t="str">
        <x:v>synthetic_scientific</x:v>
      </x:c>
      <x:c r="R36" s="135" t="str">
        <x:v>BLENKIR_V6_SYNTH_20260924</x:v>
      </x:c>
    </x:row>
    <x:row r="37" ht="32" customHeight="1">
      <x:c r="A37" s="133" t="str">
        <x:v>EST-0020</x:v>
      </x:c>
      <x:c r="B37" s="134" t="str">
        <x:v>EST-0020-T1</x:v>
      </x:c>
      <x:c r="C37" s="134" t="str">
        <x:v>2026-07-31</x:v>
      </x:c>
      <x:c r="D37" s="134" t="str">
        <x:v>2026-12-15</x:v>
      </x:c>
      <x:c r="E37" s="134" t="n">
        <x:v>1</x:v>
      </x:c>
      <x:c r="F37" s="134" t="str">
        <x:v>1B</x:v>
      </x:c>
      <x:c r="G37" s="140" t="n">
        <x:v>18.99</x:v>
      </x:c>
      <x:c r="H37" s="140" t="n">
        <x:v>0</x:v>
      </x:c>
      <x:c r="I37" s="140" t="n">
        <x:v>99.5</x:v>
      </x:c>
      <x:c r="J37" s="140" t="n">
        <x:v>8.44</x:v>
      </x:c>
      <x:c r="K37" s="140" t="n">
        <x:v>19.12</x:v>
      </x:c>
      <x:c r="L37" s="140" t="n">
        <x:v>18</x:v>
      </x:c>
      <x:c r="M37" s="140" t="n">
        <x:v>15</x:v>
      </x:c>
      <x:c r="N37" s="134" t="n">
        <x:v>0</x:v>
      </x:c>
      <x:c r="O37" s="134" t="str">
        <x:v>permanece</x:v>
      </x:c>
      <x:c r="P37" s="134" t="str">
        <x:v>train</x:v>
      </x:c>
      <x:c r="Q37" s="134" t="str">
        <x:v>synthetic_scientific</x:v>
      </x:c>
      <x:c r="R37" s="135" t="str">
        <x:v>BLENKIR_V6_SYNTH_20260924</x:v>
      </x:c>
    </x:row>
    <x:row r="38" ht="32" customHeight="1">
      <x:c r="A38" s="133" t="str">
        <x:v>EST-0020</x:v>
      </x:c>
      <x:c r="B38" s="134" t="str">
        <x:v>EST-0020-T2</x:v>
      </x:c>
      <x:c r="C38" s="134" t="str">
        <x:v>2026-09-21</x:v>
      </x:c>
      <x:c r="D38" s="134" t="str">
        <x:v>2026-12-15</x:v>
      </x:c>
      <x:c r="E38" s="134" t="n">
        <x:v>1</x:v>
      </x:c>
      <x:c r="F38" s="134" t="str">
        <x:v>1B</x:v>
      </x:c>
      <x:c r="G38" s="140" t="n">
        <x:v>19.47</x:v>
      </x:c>
      <x:c r="H38" s="140" t="n">
        <x:v>0</x:v>
      </x:c>
      <x:c r="I38" s="140" t="n">
        <x:v>99.5</x:v>
      </x:c>
      <x:c r="J38" s="140" t="n">
        <x:v>9.5</x:v>
      </x:c>
      <x:c r="K38" s="140" t="n">
        <x:v>17.99</x:v>
      </x:c>
      <x:c r="L38" s="140" t="n">
        <x:v>19</x:v>
      </x:c>
      <x:c r="M38" s="140" t="n">
        <x:v>13</x:v>
      </x:c>
      <x:c r="N38" s="134" t="n">
        <x:v>0</x:v>
      </x:c>
      <x:c r="O38" s="134" t="str">
        <x:v>permanece</x:v>
      </x:c>
      <x:c r="P38" s="134" t="str">
        <x:v>train</x:v>
      </x:c>
      <x:c r="Q38" s="134" t="str">
        <x:v>synthetic_scientific</x:v>
      </x:c>
      <x:c r="R38" s="135" t="str">
        <x:v>BLENKIR_V6_SYNTH_20260924</x:v>
      </x:c>
    </x:row>
    <x:row r="39" ht="32" customHeight="1">
      <x:c r="A39" s="133" t="str">
        <x:v>EST-0021</x:v>
      </x:c>
      <x:c r="B39" s="134" t="str">
        <x:v>EST-0021-T1</x:v>
      </x:c>
      <x:c r="C39" s="134" t="str">
        <x:v>2026-07-31</x:v>
      </x:c>
      <x:c r="D39" s="134" t="str">
        <x:v>2026-12-15</x:v>
      </x:c>
      <x:c r="E39" s="134" t="n">
        <x:v>1</x:v>
      </x:c>
      <x:c r="F39" s="134" t="str">
        <x:v>1B</x:v>
      </x:c>
      <x:c r="G39" s="140" t="n">
        <x:v>14.39</x:v>
      </x:c>
      <x:c r="H39" s="140" t="n">
        <x:v>0</x:v>
      </x:c>
      <x:c r="I39" s="140" t="n">
        <x:v>95.7</x:v>
      </x:c>
      <x:c r="J39" s="140" t="n">
        <x:v>8.52</x:v>
      </x:c>
      <x:c r="K39" s="140" t="n">
        <x:v>13.43</x:v>
      </x:c>
      <x:c r="L39" s="140" t="n">
        <x:v>13</x:v>
      </x:c>
      <x:c r="M39" s="140" t="n">
        <x:v>9</x:v>
      </x:c>
      <x:c r="N39" s="134" t="n">
        <x:v>0</x:v>
      </x:c>
      <x:c r="O39" s="134" t="str">
        <x:v>permanece</x:v>
      </x:c>
      <x:c r="P39" s="134" t="str">
        <x:v>validation</x:v>
      </x:c>
      <x:c r="Q39" s="134" t="str">
        <x:v>synthetic_scientific</x:v>
      </x:c>
      <x:c r="R39" s="135" t="str">
        <x:v>BLENKIR_V6_SYNTH_20260924</x:v>
      </x:c>
    </x:row>
    <x:row r="40" ht="32" customHeight="1">
      <x:c r="A40" s="133" t="str">
        <x:v>EST-0021</x:v>
      </x:c>
      <x:c r="B40" s="134" t="str">
        <x:v>EST-0021-T2</x:v>
      </x:c>
      <x:c r="C40" s="134" t="str">
        <x:v>2026-09-21</x:v>
      </x:c>
      <x:c r="D40" s="134" t="str">
        <x:v>2026-12-15</x:v>
      </x:c>
      <x:c r="E40" s="134" t="n">
        <x:v>1</x:v>
      </x:c>
      <x:c r="F40" s="134" t="str">
        <x:v>1B</x:v>
      </x:c>
      <x:c r="G40" s="140" t="n">
        <x:v>13.77</x:v>
      </x:c>
      <x:c r="H40" s="140" t="n">
        <x:v>0</x:v>
      </x:c>
      <x:c r="I40" s="140" t="n">
        <x:v>95.13</x:v>
      </x:c>
      <x:c r="J40" s="140" t="n">
        <x:v>7.5</x:v>
      </x:c>
      <x:c r="K40" s="140" t="n">
        <x:v>13.22</x:v>
      </x:c>
      <x:c r="L40" s="140" t="n">
        <x:v>13</x:v>
      </x:c>
      <x:c r="M40" s="140" t="n">
        <x:v>9</x:v>
      </x:c>
      <x:c r="N40" s="134" t="n">
        <x:v>0</x:v>
      </x:c>
      <x:c r="O40" s="134" t="str">
        <x:v>permanece</x:v>
      </x:c>
      <x:c r="P40" s="134" t="str">
        <x:v>validation</x:v>
      </x:c>
      <x:c r="Q40" s="134" t="str">
        <x:v>synthetic_scientific</x:v>
      </x:c>
      <x:c r="R40" s="135" t="str">
        <x:v>BLENKIR_V6_SYNTH_20260924</x:v>
      </x:c>
    </x:row>
    <x:row r="41" ht="32" customHeight="1">
      <x:c r="A41" s="133" t="str">
        <x:v>EST-0022</x:v>
      </x:c>
      <x:c r="B41" s="134" t="str">
        <x:v>EST-0022-T1</x:v>
      </x:c>
      <x:c r="C41" s="134" t="str">
        <x:v>2026-07-31</x:v>
      </x:c>
      <x:c r="D41" s="134" t="str">
        <x:v>2026-12-15</x:v>
      </x:c>
      <x:c r="E41" s="134" t="n">
        <x:v>1</x:v>
      </x:c>
      <x:c r="F41" s="134" t="str">
        <x:v>1B</x:v>
      </x:c>
      <x:c r="G41" s="140" t="n">
        <x:v>17.56</x:v>
      </x:c>
      <x:c r="H41" s="140" t="n">
        <x:v>0</x:v>
      </x:c>
      <x:c r="I41" s="140" t="n">
        <x:v>91.06</x:v>
      </x:c>
      <x:c r="J41" s="140" t="n">
        <x:v>8.59</x:v>
      </x:c>
      <x:c r="K41" s="140" t="n">
        <x:v>18.31</x:v>
      </x:c>
      <x:c r="L41" s="140" t="n">
        <x:v>14</x:v>
      </x:c>
      <x:c r="M41" s="140" t="n">
        <x:v>13</x:v>
      </x:c>
      <x:c r="N41" s="134" t="n">
        <x:v>1</x:v>
      </x:c>
      <x:c r="O41" s="134" t="str">
        <x:v>deserta</x:v>
      </x:c>
      <x:c r="P41" s="134" t="str">
        <x:v>train</x:v>
      </x:c>
      <x:c r="Q41" s="134" t="str">
        <x:v>synthetic_scientific</x:v>
      </x:c>
      <x:c r="R41" s="135" t="str">
        <x:v>BLENKIR_V6_SYNTH_20260924</x:v>
      </x:c>
    </x:row>
    <x:row r="42" ht="32" customHeight="1">
      <x:c r="A42" s="133" t="str">
        <x:v>EST-0022</x:v>
      </x:c>
      <x:c r="B42" s="134" t="str">
        <x:v>EST-0022-T2</x:v>
      </x:c>
      <x:c r="C42" s="134" t="str">
        <x:v>2026-09-21</x:v>
      </x:c>
      <x:c r="D42" s="134" t="str">
        <x:v>2026-12-15</x:v>
      </x:c>
      <x:c r="E42" s="134" t="n">
        <x:v>1</x:v>
      </x:c>
      <x:c r="F42" s="134" t="str">
        <x:v>1B</x:v>
      </x:c>
      <x:c r="G42" s="140" t="n">
        <x:v>16.53</x:v>
      </x:c>
      <x:c r="H42" s="140" t="n">
        <x:v>0</x:v>
      </x:c>
      <x:c r="I42" s="140" t="n">
        <x:v>92.74</x:v>
      </x:c>
      <x:c r="J42" s="140" t="n">
        <x:v>8.49</x:v>
      </x:c>
      <x:c r="K42" s="140" t="n">
        <x:v>16.95</x:v>
      </x:c>
      <x:c r="L42" s="140" t="n">
        <x:v>17</x:v>
      </x:c>
      <x:c r="M42" s="140" t="n">
        <x:v>12</x:v>
      </x:c>
      <x:c r="N42" s="134" t="n">
        <x:v>1</x:v>
      </x:c>
      <x:c r="O42" s="134" t="str">
        <x:v>deserta</x:v>
      </x:c>
      <x:c r="P42" s="134" t="str">
        <x:v>train</x:v>
      </x:c>
      <x:c r="Q42" s="134" t="str">
        <x:v>synthetic_scientific</x:v>
      </x:c>
      <x:c r="R42" s="135" t="str">
        <x:v>BLENKIR_V6_SYNTH_20260924</x:v>
      </x:c>
    </x:row>
    <x:row r="43" ht="32" customHeight="1">
      <x:c r="A43" s="133" t="str">
        <x:v>EST-0023</x:v>
      </x:c>
      <x:c r="B43" s="134" t="str">
        <x:v>EST-0023-T1</x:v>
      </x:c>
      <x:c r="C43" s="134" t="str">
        <x:v>2026-07-31</x:v>
      </x:c>
      <x:c r="D43" s="134" t="str">
        <x:v>2026-12-15</x:v>
      </x:c>
      <x:c r="E43" s="134" t="n">
        <x:v>1</x:v>
      </x:c>
      <x:c r="F43" s="134" t="str">
        <x:v>1B</x:v>
      </x:c>
      <x:c r="G43" s="140" t="n">
        <x:v>18</x:v>
      </x:c>
      <x:c r="H43" s="140" t="n">
        <x:v>0</x:v>
      </x:c>
      <x:c r="I43" s="140" t="n">
        <x:v>97.59</x:v>
      </x:c>
      <x:c r="J43" s="140" t="n">
        <x:v>9.47</x:v>
      </x:c>
      <x:c r="K43" s="140" t="n">
        <x:v>11.39</x:v>
      </x:c>
      <x:c r="L43" s="140" t="n">
        <x:v>15</x:v>
      </x:c>
      <x:c r="M43" s="140" t="n">
        <x:v>13</x:v>
      </x:c>
      <x:c r="N43" s="134" t="n">
        <x:v>0</x:v>
      </x:c>
      <x:c r="O43" s="134" t="str">
        <x:v>permanece</x:v>
      </x:c>
      <x:c r="P43" s="134" t="str">
        <x:v>train</x:v>
      </x:c>
      <x:c r="Q43" s="134" t="str">
        <x:v>synthetic_scientific</x:v>
      </x:c>
      <x:c r="R43" s="135" t="str">
        <x:v>BLENKIR_V6_SYNTH_20260924</x:v>
      </x:c>
    </x:row>
    <x:row r="44" ht="32" customHeight="1">
      <x:c r="A44" s="133" t="str">
        <x:v>EST-0023</x:v>
      </x:c>
      <x:c r="B44" s="134" t="str">
        <x:v>EST-0023-T2</x:v>
      </x:c>
      <x:c r="C44" s="134" t="str">
        <x:v>2026-09-21</x:v>
      </x:c>
      <x:c r="D44" s="134" t="str">
        <x:v>2026-12-15</x:v>
      </x:c>
      <x:c r="E44" s="134" t="n">
        <x:v>1</x:v>
      </x:c>
      <x:c r="F44" s="134" t="str">
        <x:v>1B</x:v>
      </x:c>
      <x:c r="G44" s="140" t="n">
        <x:v>17.37</x:v>
      </x:c>
      <x:c r="H44" s="140" t="n">
        <x:v>0</x:v>
      </x:c>
      <x:c r="I44" s="140" t="n">
        <x:v>93.36</x:v>
      </x:c>
      <x:c r="J44" s="140" t="n">
        <x:v>7.59</x:v>
      </x:c>
      <x:c r="K44" s="140" t="n">
        <x:v>13.03</x:v>
      </x:c>
      <x:c r="L44" s="140" t="n">
        <x:v>14</x:v>
      </x:c>
      <x:c r="M44" s="140" t="n">
        <x:v>12</x:v>
      </x:c>
      <x:c r="N44" s="134" t="n">
        <x:v>0</x:v>
      </x:c>
      <x:c r="O44" s="134" t="str">
        <x:v>permanece</x:v>
      </x:c>
      <x:c r="P44" s="134" t="str">
        <x:v>train</x:v>
      </x:c>
      <x:c r="Q44" s="134" t="str">
        <x:v>synthetic_scientific</x:v>
      </x:c>
      <x:c r="R44" s="135" t="str">
        <x:v>BLENKIR_V6_SYNTH_20260924</x:v>
      </x:c>
    </x:row>
    <x:row r="45" ht="32" customHeight="1">
      <x:c r="A45" s="133" t="str">
        <x:v>EST-0024</x:v>
      </x:c>
      <x:c r="B45" s="134" t="str">
        <x:v>EST-0024-T1</x:v>
      </x:c>
      <x:c r="C45" s="134" t="str">
        <x:v>2026-07-31</x:v>
      </x:c>
      <x:c r="D45" s="134" t="str">
        <x:v>2026-12-15</x:v>
      </x:c>
      <x:c r="E45" s="134" t="n">
        <x:v>1</x:v>
      </x:c>
      <x:c r="F45" s="134" t="str">
        <x:v>1B</x:v>
      </x:c>
      <x:c r="G45" s="140" t="n">
        <x:v>16.05</x:v>
      </x:c>
      <x:c r="H45" s="140" t="n">
        <x:v>0</x:v>
      </x:c>
      <x:c r="I45" s="140" t="n">
        <x:v>92.24</x:v>
      </x:c>
      <x:c r="J45" s="140" t="n">
        <x:v>6.78</x:v>
      </x:c>
      <x:c r="K45" s="140" t="n">
        <x:v>10.41</x:v>
      </x:c>
      <x:c r="L45" s="140" t="n">
        <x:v>10</x:v>
      </x:c>
      <x:c r="M45" s="140" t="n">
        <x:v>7</x:v>
      </x:c>
      <x:c r="N45" s="134" t="n">
        <x:v>0</x:v>
      </x:c>
      <x:c r="O45" s="134" t="str">
        <x:v>permanece</x:v>
      </x:c>
      <x:c r="P45" s="134" t="str">
        <x:v>validation</x:v>
      </x:c>
      <x:c r="Q45" s="134" t="str">
        <x:v>synthetic_scientific</x:v>
      </x:c>
      <x:c r="R45" s="135" t="str">
        <x:v>BLENKIR_V6_SYNTH_20260924</x:v>
      </x:c>
    </x:row>
    <x:row r="46" ht="32" customHeight="1">
      <x:c r="A46" s="133" t="str">
        <x:v>EST-0024</x:v>
      </x:c>
      <x:c r="B46" s="134" t="str">
        <x:v>EST-0024-T2</x:v>
      </x:c>
      <x:c r="C46" s="134" t="str">
        <x:v>2026-09-21</x:v>
      </x:c>
      <x:c r="D46" s="134" t="str">
        <x:v>2026-12-15</x:v>
      </x:c>
      <x:c r="E46" s="134" t="n">
        <x:v>1</x:v>
      </x:c>
      <x:c r="F46" s="134" t="str">
        <x:v>1B</x:v>
      </x:c>
      <x:c r="G46" s="140" t="n">
        <x:v>15.34</x:v>
      </x:c>
      <x:c r="H46" s="140" t="n">
        <x:v>0</x:v>
      </x:c>
      <x:c r="I46" s="140" t="n">
        <x:v>92.45</x:v>
      </x:c>
      <x:c r="J46" s="140" t="n">
        <x:v>6.09</x:v>
      </x:c>
      <x:c r="K46" s="140" t="n">
        <x:v>10.35</x:v>
      </x:c>
      <x:c r="L46" s="140" t="n">
        <x:v>9</x:v>
      </x:c>
      <x:c r="M46" s="140" t="n">
        <x:v>7</x:v>
      </x:c>
      <x:c r="N46" s="134" t="n">
        <x:v>0</x:v>
      </x:c>
      <x:c r="O46" s="134" t="str">
        <x:v>permanece</x:v>
      </x:c>
      <x:c r="P46" s="134" t="str">
        <x:v>validation</x:v>
      </x:c>
      <x:c r="Q46" s="134" t="str">
        <x:v>synthetic_scientific</x:v>
      </x:c>
      <x:c r="R46" s="135" t="str">
        <x:v>BLENKIR_V6_SYNTH_20260924</x:v>
      </x:c>
    </x:row>
    <x:row r="47" ht="32" customHeight="1">
      <x:c r="A47" s="133" t="str">
        <x:v>EST-0025</x:v>
      </x:c>
      <x:c r="B47" s="134" t="str">
        <x:v>EST-0025-T1</x:v>
      </x:c>
      <x:c r="C47" s="134" t="str">
        <x:v>2026-07-31</x:v>
      </x:c>
      <x:c r="D47" s="134" t="str">
        <x:v>2026-12-15</x:v>
      </x:c>
      <x:c r="E47" s="134" t="n">
        <x:v>1</x:v>
      </x:c>
      <x:c r="F47" s="134" t="str">
        <x:v>1C</x:v>
      </x:c>
      <x:c r="G47" s="140" t="n">
        <x:v>13.71</x:v>
      </x:c>
      <x:c r="H47" s="140" t="n">
        <x:v>0</x:v>
      </x:c>
      <x:c r="I47" s="140" t="n">
        <x:v>90.21</x:v>
      </x:c>
      <x:c r="J47" s="140" t="n">
        <x:v>5.64</x:v>
      </x:c>
      <x:c r="K47" s="140" t="n">
        <x:v>16.24</x:v>
      </x:c>
      <x:c r="L47" s="140" t="n">
        <x:v>14</x:v>
      </x:c>
      <x:c r="M47" s="140" t="n">
        <x:v>12</x:v>
      </x:c>
      <x:c r="N47" s="134" t="n">
        <x:v>0</x:v>
      </x:c>
      <x:c r="O47" s="134" t="str">
        <x:v>permanece</x:v>
      </x:c>
      <x:c r="P47" s="134" t="str">
        <x:v>holdout</x:v>
      </x:c>
      <x:c r="Q47" s="134" t="str">
        <x:v>synthetic_scientific</x:v>
      </x:c>
      <x:c r="R47" s="135" t="str">
        <x:v>BLENKIR_V6_SYNTH_20260924</x:v>
      </x:c>
    </x:row>
    <x:row r="48" ht="32" customHeight="1">
      <x:c r="A48" s="133" t="str">
        <x:v>EST-0025</x:v>
      </x:c>
      <x:c r="B48" s="134" t="str">
        <x:v>EST-0025-T2</x:v>
      </x:c>
      <x:c r="C48" s="134" t="str">
        <x:v>2026-09-21</x:v>
      </x:c>
      <x:c r="D48" s="134" t="str">
        <x:v>2026-12-15</x:v>
      </x:c>
      <x:c r="E48" s="134" t="n">
        <x:v>1</x:v>
      </x:c>
      <x:c r="F48" s="134" t="str">
        <x:v>1C</x:v>
      </x:c>
      <x:c r="G48" s="140" t="n">
        <x:v>12.86</x:v>
      </x:c>
      <x:c r="H48" s="140" t="n">
        <x:v>0</x:v>
      </x:c>
      <x:c r="I48" s="140" t="n">
        <x:v>89.93</x:v>
      </x:c>
      <x:c r="J48" s="140" t="n">
        <x:v>5.91</x:v>
      </x:c>
      <x:c r="K48" s="140" t="n">
        <x:v>13.67</x:v>
      </x:c>
      <x:c r="L48" s="140" t="n">
        <x:v>13</x:v>
      </x:c>
      <x:c r="M48" s="140" t="n">
        <x:v>10</x:v>
      </x:c>
      <x:c r="N48" s="134" t="n">
        <x:v>0</x:v>
      </x:c>
      <x:c r="O48" s="134" t="str">
        <x:v>permanece</x:v>
      </x:c>
      <x:c r="P48" s="134" t="str">
        <x:v>holdout</x:v>
      </x:c>
      <x:c r="Q48" s="134" t="str">
        <x:v>synthetic_scientific</x:v>
      </x:c>
      <x:c r="R48" s="135" t="str">
        <x:v>BLENKIR_V6_SYNTH_20260924</x:v>
      </x:c>
    </x:row>
    <x:row r="49" ht="32" customHeight="1">
      <x:c r="A49" s="133" t="str">
        <x:v>EST-0026</x:v>
      </x:c>
      <x:c r="B49" s="134" t="str">
        <x:v>EST-0026-T1</x:v>
      </x:c>
      <x:c r="C49" s="134" t="str">
        <x:v>2026-07-31</x:v>
      </x:c>
      <x:c r="D49" s="134" t="str">
        <x:v>2026-12-15</x:v>
      </x:c>
      <x:c r="E49" s="134" t="n">
        <x:v>1</x:v>
      </x:c>
      <x:c r="F49" s="134" t="str">
        <x:v>1C</x:v>
      </x:c>
      <x:c r="G49" s="140" t="n">
        <x:v>17.91</x:v>
      </x:c>
      <x:c r="H49" s="140" t="n">
        <x:v>0</x:v>
      </x:c>
      <x:c r="I49" s="140" t="n">
        <x:v>90.2</x:v>
      </x:c>
      <x:c r="J49" s="140" t="n">
        <x:v>8.89</x:v>
      </x:c>
      <x:c r="K49" s="140" t="n">
        <x:v>22.53</x:v>
      </x:c>
      <x:c r="L49" s="140" t="n">
        <x:v>14</x:v>
      </x:c>
      <x:c r="M49" s="140" t="n">
        <x:v>13</x:v>
      </x:c>
      <x:c r="N49" s="134" t="n">
        <x:v>0</x:v>
      </x:c>
      <x:c r="O49" s="134" t="str">
        <x:v>permanece</x:v>
      </x:c>
      <x:c r="P49" s="134" t="str">
        <x:v>holdout</x:v>
      </x:c>
      <x:c r="Q49" s="134" t="str">
        <x:v>synthetic_scientific</x:v>
      </x:c>
      <x:c r="R49" s="135" t="str">
        <x:v>BLENKIR_V6_SYNTH_20260924</x:v>
      </x:c>
    </x:row>
    <x:row r="50" ht="32" customHeight="1">
      <x:c r="A50" s="133" t="str">
        <x:v>EST-0026</x:v>
      </x:c>
      <x:c r="B50" s="134" t="str">
        <x:v>EST-0026-T2</x:v>
      </x:c>
      <x:c r="C50" s="134" t="str">
        <x:v>2026-09-21</x:v>
      </x:c>
      <x:c r="D50" s="134" t="str">
        <x:v>2026-12-15</x:v>
      </x:c>
      <x:c r="E50" s="134" t="n">
        <x:v>1</x:v>
      </x:c>
      <x:c r="F50" s="134" t="str">
        <x:v>1C</x:v>
      </x:c>
      <x:c r="G50" s="140" t="n">
        <x:v>17.2</x:v>
      </x:c>
      <x:c r="H50" s="140" t="n">
        <x:v>0</x:v>
      </x:c>
      <x:c r="I50" s="140" t="n">
        <x:v>90.89</x:v>
      </x:c>
      <x:c r="J50" s="140" t="n">
        <x:v>8.65</x:v>
      </x:c>
      <x:c r="K50" s="140" t="n">
        <x:v>19.41</x:v>
      </x:c>
      <x:c r="L50" s="140" t="n">
        <x:v>15</x:v>
      </x:c>
      <x:c r="M50" s="140" t="n">
        <x:v>14</x:v>
      </x:c>
      <x:c r="N50" s="134" t="n">
        <x:v>0</x:v>
      </x:c>
      <x:c r="O50" s="134" t="str">
        <x:v>permanece</x:v>
      </x:c>
      <x:c r="P50" s="134" t="str">
        <x:v>holdout</x:v>
      </x:c>
      <x:c r="Q50" s="134" t="str">
        <x:v>synthetic_scientific</x:v>
      </x:c>
      <x:c r="R50" s="135" t="str">
        <x:v>BLENKIR_V6_SYNTH_20260924</x:v>
      </x:c>
    </x:row>
    <x:row r="51" ht="32" customHeight="1">
      <x:c r="A51" s="133" t="str">
        <x:v>EST-0027</x:v>
      </x:c>
      <x:c r="B51" s="134" t="str">
        <x:v>EST-0027-T1</x:v>
      </x:c>
      <x:c r="C51" s="134" t="str">
        <x:v>2026-07-31</x:v>
      </x:c>
      <x:c r="D51" s="134" t="str">
        <x:v>2026-12-15</x:v>
      </x:c>
      <x:c r="E51" s="134" t="n">
        <x:v>1</x:v>
      </x:c>
      <x:c r="F51" s="134" t="str">
        <x:v>1C</x:v>
      </x:c>
      <x:c r="G51" s="140" t="n">
        <x:v>15.02</x:v>
      </x:c>
      <x:c r="H51" s="140" t="n">
        <x:v>0</x:v>
      </x:c>
      <x:c r="I51" s="140" t="n">
        <x:v>90.99</x:v>
      </x:c>
      <x:c r="J51" s="140" t="n">
        <x:v>4.05</x:v>
      </x:c>
      <x:c r="K51" s="140" t="n">
        <x:v>11.18</x:v>
      </x:c>
      <x:c r="L51" s="140" t="n">
        <x:v>16</x:v>
      </x:c>
      <x:c r="M51" s="140" t="n">
        <x:v>10</x:v>
      </x:c>
      <x:c r="N51" s="134" t="n">
        <x:v>0</x:v>
      </x:c>
      <x:c r="O51" s="134" t="str">
        <x:v>permanece</x:v>
      </x:c>
      <x:c r="P51" s="134" t="str">
        <x:v>holdout</x:v>
      </x:c>
      <x:c r="Q51" s="134" t="str">
        <x:v>synthetic_scientific</x:v>
      </x:c>
      <x:c r="R51" s="135" t="str">
        <x:v>BLENKIR_V6_SYNTH_20260924</x:v>
      </x:c>
    </x:row>
    <x:row r="52" ht="32" customHeight="1">
      <x:c r="A52" s="133" t="str">
        <x:v>EST-0027</x:v>
      </x:c>
      <x:c r="B52" s="134" t="str">
        <x:v>EST-0027-T2</x:v>
      </x:c>
      <x:c r="C52" s="134" t="str">
        <x:v>2026-09-21</x:v>
      </x:c>
      <x:c r="D52" s="134" t="str">
        <x:v>2026-12-15</x:v>
      </x:c>
      <x:c r="E52" s="134" t="n">
        <x:v>1</x:v>
      </x:c>
      <x:c r="F52" s="134" t="str">
        <x:v>1C</x:v>
      </x:c>
      <x:c r="G52" s="140" t="n">
        <x:v>16.25</x:v>
      </x:c>
      <x:c r="H52" s="140" t="n">
        <x:v>0</x:v>
      </x:c>
      <x:c r="I52" s="140" t="n">
        <x:v>88.11</x:v>
      </x:c>
      <x:c r="J52" s="140" t="n">
        <x:v>5.02</x:v>
      </x:c>
      <x:c r="K52" s="140" t="n">
        <x:v>10.02</x:v>
      </x:c>
      <x:c r="L52" s="140" t="n">
        <x:v>14</x:v>
      </x:c>
      <x:c r="M52" s="140" t="n">
        <x:v>9</x:v>
      </x:c>
      <x:c r="N52" s="134" t="n">
        <x:v>0</x:v>
      </x:c>
      <x:c r="O52" s="134" t="str">
        <x:v>permanece</x:v>
      </x:c>
      <x:c r="P52" s="134" t="str">
        <x:v>holdout</x:v>
      </x:c>
      <x:c r="Q52" s="134" t="str">
        <x:v>synthetic_scientific</x:v>
      </x:c>
      <x:c r="R52" s="135" t="str">
        <x:v>BLENKIR_V6_SYNTH_20260924</x:v>
      </x:c>
    </x:row>
    <x:row r="53" ht="32" customHeight="1">
      <x:c r="A53" s="133" t="str">
        <x:v>EST-0029</x:v>
      </x:c>
      <x:c r="B53" s="134" t="str">
        <x:v>EST-0029-T1</x:v>
      </x:c>
      <x:c r="C53" s="134" t="str">
        <x:v>2026-07-31</x:v>
      </x:c>
      <x:c r="D53" s="134" t="str">
        <x:v>2026-12-15</x:v>
      </x:c>
      <x:c r="E53" s="134" t="n">
        <x:v>1</x:v>
      </x:c>
      <x:c r="F53" s="134" t="str">
        <x:v>1C</x:v>
      </x:c>
      <x:c r="G53" s="140" t="n">
        <x:v>12.11</x:v>
      </x:c>
      <x:c r="H53" s="140" t="n">
        <x:v>0</x:v>
      </x:c>
      <x:c r="I53" s="140" t="n">
        <x:v>93.85</x:v>
      </x:c>
      <x:c r="J53" s="140" t="n">
        <x:v>8.04</x:v>
      </x:c>
      <x:c r="K53" s="140" t="n">
        <x:v>11.17</x:v>
      </x:c>
      <x:c r="L53" s="140" t="n">
        <x:v>10</x:v>
      </x:c>
      <x:c r="M53" s="140" t="n">
        <x:v>8</x:v>
      </x:c>
      <x:c r="N53" s="134" t="n">
        <x:v>0</x:v>
      </x:c>
      <x:c r="O53" s="134" t="str">
        <x:v>permanece</x:v>
      </x:c>
      <x:c r="P53" s="134" t="str">
        <x:v>holdout</x:v>
      </x:c>
      <x:c r="Q53" s="134" t="str">
        <x:v>synthetic_scientific</x:v>
      </x:c>
      <x:c r="R53" s="135" t="str">
        <x:v>BLENKIR_V6_SYNTH_20260924</x:v>
      </x:c>
    </x:row>
    <x:row r="54" ht="32" customHeight="1">
      <x:c r="A54" s="133" t="str">
        <x:v>EST-0029</x:v>
      </x:c>
      <x:c r="B54" s="134" t="str">
        <x:v>EST-0029-T2</x:v>
      </x:c>
      <x:c r="C54" s="134" t="str">
        <x:v>2026-09-21</x:v>
      </x:c>
      <x:c r="D54" s="134" t="str">
        <x:v>2026-12-15</x:v>
      </x:c>
      <x:c r="E54" s="134" t="n">
        <x:v>1</x:v>
      </x:c>
      <x:c r="F54" s="134" t="str">
        <x:v>1C</x:v>
      </x:c>
      <x:c r="G54" s="140" t="n">
        <x:v>12.1</x:v>
      </x:c>
      <x:c r="H54" s="140" t="n">
        <x:v>0</x:v>
      </x:c>
      <x:c r="I54" s="140" t="n">
        <x:v>94.9</x:v>
      </x:c>
      <x:c r="J54" s="140" t="n">
        <x:v>6.48</x:v>
      </x:c>
      <x:c r="K54" s="140" t="n">
        <x:v>12.27</x:v>
      </x:c>
      <x:c r="L54" s="140" t="n">
        <x:v>10</x:v>
      </x:c>
      <x:c r="M54" s="140" t="n">
        <x:v>7</x:v>
      </x:c>
      <x:c r="N54" s="134" t="n">
        <x:v>0</x:v>
      </x:c>
      <x:c r="O54" s="134" t="str">
        <x:v>permanece</x:v>
      </x:c>
      <x:c r="P54" s="134" t="str">
        <x:v>holdout</x:v>
      </x:c>
      <x:c r="Q54" s="134" t="str">
        <x:v>synthetic_scientific</x:v>
      </x:c>
      <x:c r="R54" s="135" t="str">
        <x:v>BLENKIR_V6_SYNTH_20260924</x:v>
      </x:c>
    </x:row>
    <x:row r="55" ht="32" customHeight="1">
      <x:c r="A55" s="133" t="str">
        <x:v>EST-0030</x:v>
      </x:c>
      <x:c r="B55" s="134" t="str">
        <x:v>EST-0030-T1</x:v>
      </x:c>
      <x:c r="C55" s="134" t="str">
        <x:v>2026-07-31</x:v>
      </x:c>
      <x:c r="D55" s="134" t="str">
        <x:v>2026-12-15</x:v>
      </x:c>
      <x:c r="E55" s="134" t="n">
        <x:v>1</x:v>
      </x:c>
      <x:c r="F55" s="134" t="str">
        <x:v>1C</x:v>
      </x:c>
      <x:c r="G55" s="140" t="n">
        <x:v>15.32</x:v>
      </x:c>
      <x:c r="H55" s="140" t="n">
        <x:v>0</x:v>
      </x:c>
      <x:c r="I55" s="140" t="n">
        <x:v>92.62</x:v>
      </x:c>
      <x:c r="J55" s="140" t="n">
        <x:v>2.74</x:v>
      </x:c>
      <x:c r="K55" s="140" t="n">
        <x:v>9.35</x:v>
      </x:c>
      <x:c r="L55" s="140" t="n">
        <x:v>9</x:v>
      </x:c>
      <x:c r="M55" s="140" t="n">
        <x:v>7</x:v>
      </x:c>
      <x:c r="N55" s="134" t="n">
        <x:v>0</x:v>
      </x:c>
      <x:c r="O55" s="134" t="str">
        <x:v>permanece</x:v>
      </x:c>
      <x:c r="P55" s="134" t="str">
        <x:v>validation</x:v>
      </x:c>
      <x:c r="Q55" s="134" t="str">
        <x:v>synthetic_scientific</x:v>
      </x:c>
      <x:c r="R55" s="135" t="str">
        <x:v>BLENKIR_V6_SYNTH_20260924</x:v>
      </x:c>
    </x:row>
    <x:row r="56" ht="32" customHeight="1">
      <x:c r="A56" s="133" t="str">
        <x:v>EST-0030</x:v>
      </x:c>
      <x:c r="B56" s="134" t="str">
        <x:v>EST-0030-T2</x:v>
      </x:c>
      <x:c r="C56" s="134" t="str">
        <x:v>2026-09-21</x:v>
      </x:c>
      <x:c r="D56" s="134" t="str">
        <x:v>2026-12-15</x:v>
      </x:c>
      <x:c r="E56" s="134" t="n">
        <x:v>1</x:v>
      </x:c>
      <x:c r="F56" s="134" t="str">
        <x:v>1C</x:v>
      </x:c>
      <x:c r="G56" s="140" t="n">
        <x:v>15.27</x:v>
      </x:c>
      <x:c r="H56" s="140" t="n">
        <x:v>0</x:v>
      </x:c>
      <x:c r="I56" s="140" t="n">
        <x:v>93.04</x:v>
      </x:c>
      <x:c r="J56" s="140" t="n">
        <x:v>5.11</x:v>
      </x:c>
      <x:c r="K56" s="140" t="n">
        <x:v>8.46</x:v>
      </x:c>
      <x:c r="L56" s="140" t="n">
        <x:v>9</x:v>
      </x:c>
      <x:c r="M56" s="140" t="n">
        <x:v>8</x:v>
      </x:c>
      <x:c r="N56" s="134" t="n">
        <x:v>0</x:v>
      </x:c>
      <x:c r="O56" s="134" t="str">
        <x:v>permanece</x:v>
      </x:c>
      <x:c r="P56" s="134" t="str">
        <x:v>validation</x:v>
      </x:c>
      <x:c r="Q56" s="134" t="str">
        <x:v>synthetic_scientific</x:v>
      </x:c>
      <x:c r="R56" s="135" t="str">
        <x:v>BLENKIR_V6_SYNTH_20260924</x:v>
      </x:c>
    </x:row>
    <x:row r="57" ht="32" customHeight="1">
      <x:c r="A57" s="133" t="str">
        <x:v>EST-0031</x:v>
      </x:c>
      <x:c r="B57" s="134" t="str">
        <x:v>EST-0031-T1</x:v>
      </x:c>
      <x:c r="C57" s="134" t="str">
        <x:v>2026-07-31</x:v>
      </x:c>
      <x:c r="D57" s="134" t="str">
        <x:v>2026-12-15</x:v>
      </x:c>
      <x:c r="E57" s="134" t="n">
        <x:v>1</x:v>
      </x:c>
      <x:c r="F57" s="134" t="str">
        <x:v>1C</x:v>
      </x:c>
      <x:c r="G57" s="140" t="n">
        <x:v>15.88</x:v>
      </x:c>
      <x:c r="H57" s="140" t="n">
        <x:v>0</x:v>
      </x:c>
      <x:c r="I57" s="140" t="n">
        <x:v>96.48</x:v>
      </x:c>
      <x:c r="J57" s="140" t="n">
        <x:v>11.21</x:v>
      </x:c>
      <x:c r="K57" s="140" t="n">
        <x:v>22.85</x:v>
      </x:c>
      <x:c r="L57" s="140" t="n">
        <x:v>18</x:v>
      </x:c>
      <x:c r="M57" s="140" t="n">
        <x:v>12</x:v>
      </x:c>
      <x:c r="N57" s="134" t="n">
        <x:v>0</x:v>
      </x:c>
      <x:c r="O57" s="134" t="str">
        <x:v>permanece</x:v>
      </x:c>
      <x:c r="P57" s="134" t="str">
        <x:v>train</x:v>
      </x:c>
      <x:c r="Q57" s="134" t="str">
        <x:v>synthetic_scientific</x:v>
      </x:c>
      <x:c r="R57" s="135" t="str">
        <x:v>BLENKIR_V6_SYNTH_20260924</x:v>
      </x:c>
    </x:row>
    <x:row r="58" ht="32" customHeight="1">
      <x:c r="A58" s="133" t="str">
        <x:v>EST-0031</x:v>
      </x:c>
      <x:c r="B58" s="134" t="str">
        <x:v>EST-0031-T2</x:v>
      </x:c>
      <x:c r="C58" s="134" t="str">
        <x:v>2026-09-21</x:v>
      </x:c>
      <x:c r="D58" s="134" t="str">
        <x:v>2026-12-15</x:v>
      </x:c>
      <x:c r="E58" s="134" t="n">
        <x:v>1</x:v>
      </x:c>
      <x:c r="F58" s="134" t="str">
        <x:v>1C</x:v>
      </x:c>
      <x:c r="G58" s="140" t="n">
        <x:v>15.88</x:v>
      </x:c>
      <x:c r="H58" s="140" t="n">
        <x:v>0</x:v>
      </x:c>
      <x:c r="I58" s="140" t="n">
        <x:v>95.8</x:v>
      </x:c>
      <x:c r="J58" s="140" t="n">
        <x:v>9.93</x:v>
      </x:c>
      <x:c r="K58" s="140" t="n">
        <x:v>21.56</x:v>
      </x:c>
      <x:c r="L58" s="140" t="n">
        <x:v>18</x:v>
      </x:c>
      <x:c r="M58" s="140" t="n">
        <x:v>13</x:v>
      </x:c>
      <x:c r="N58" s="134" t="n">
        <x:v>0</x:v>
      </x:c>
      <x:c r="O58" s="134" t="str">
        <x:v>permanece</x:v>
      </x:c>
      <x:c r="P58" s="134" t="str">
        <x:v>train</x:v>
      </x:c>
      <x:c r="Q58" s="134" t="str">
        <x:v>synthetic_scientific</x:v>
      </x:c>
      <x:c r="R58" s="135" t="str">
        <x:v>BLENKIR_V6_SYNTH_20260924</x:v>
      </x:c>
    </x:row>
    <x:row r="59" ht="32" customHeight="1">
      <x:c r="A59" s="133" t="str">
        <x:v>EST-0032</x:v>
      </x:c>
      <x:c r="B59" s="134" t="str">
        <x:v>EST-0032-T1</x:v>
      </x:c>
      <x:c r="C59" s="134" t="str">
        <x:v>2026-07-31</x:v>
      </x:c>
      <x:c r="D59" s="134" t="str">
        <x:v>2026-12-15</x:v>
      </x:c>
      <x:c r="E59" s="134" t="n">
        <x:v>1</x:v>
      </x:c>
      <x:c r="F59" s="134" t="str">
        <x:v>1C</x:v>
      </x:c>
      <x:c r="G59" s="140" t="n">
        <x:v>17.51</x:v>
      </x:c>
      <x:c r="H59" s="140" t="n">
        <x:v>0</x:v>
      </x:c>
      <x:c r="I59" s="140" t="n">
        <x:v>89.82</x:v>
      </x:c>
      <x:c r="J59" s="140" t="n">
        <x:v>8.15</x:v>
      </x:c>
      <x:c r="K59" s="140" t="n">
        <x:v>15.36</x:v>
      </x:c>
      <x:c r="L59" s="140" t="n">
        <x:v>16</x:v>
      </x:c>
      <x:c r="M59" s="140" t="n">
        <x:v>10</x:v>
      </x:c>
      <x:c r="N59" s="134" t="n">
        <x:v>1</x:v>
      </x:c>
      <x:c r="O59" s="134" t="str">
        <x:v>deserta</x:v>
      </x:c>
      <x:c r="P59" s="134" t="str">
        <x:v>holdout</x:v>
      </x:c>
      <x:c r="Q59" s="134" t="str">
        <x:v>synthetic_scientific</x:v>
      </x:c>
      <x:c r="R59" s="135" t="str">
        <x:v>BLENKIR_V6_SYNTH_20260924</x:v>
      </x:c>
    </x:row>
    <x:row r="60" ht="32" customHeight="1">
      <x:c r="A60" s="133" t="str">
        <x:v>EST-0032</x:v>
      </x:c>
      <x:c r="B60" s="134" t="str">
        <x:v>EST-0032-T2</x:v>
      </x:c>
      <x:c r="C60" s="134" t="str">
        <x:v>2026-09-21</x:v>
      </x:c>
      <x:c r="D60" s="134" t="str">
        <x:v>2026-12-15</x:v>
      </x:c>
      <x:c r="E60" s="134" t="n">
        <x:v>1</x:v>
      </x:c>
      <x:c r="F60" s="134" t="str">
        <x:v>1C</x:v>
      </x:c>
      <x:c r="G60" s="140" t="n">
        <x:v>16.7</x:v>
      </x:c>
      <x:c r="H60" s="140" t="n">
        <x:v>0</x:v>
      </x:c>
      <x:c r="I60" s="140" t="n">
        <x:v>92.12</x:v>
      </x:c>
      <x:c r="J60" s="140" t="n">
        <x:v>7.46</x:v>
      </x:c>
      <x:c r="K60" s="140" t="n">
        <x:v>15.8</x:v>
      </x:c>
      <x:c r="L60" s="140" t="n">
        <x:v>16</x:v>
      </x:c>
      <x:c r="M60" s="140" t="n">
        <x:v>12</x:v>
      </x:c>
      <x:c r="N60" s="134" t="n">
        <x:v>1</x:v>
      </x:c>
      <x:c r="O60" s="134" t="str">
        <x:v>deserta</x:v>
      </x:c>
      <x:c r="P60" s="134" t="str">
        <x:v>holdout</x:v>
      </x:c>
      <x:c r="Q60" s="134" t="str">
        <x:v>synthetic_scientific</x:v>
      </x:c>
      <x:c r="R60" s="135" t="str">
        <x:v>BLENKIR_V6_SYNTH_20260924</x:v>
      </x:c>
    </x:row>
    <x:row r="61" ht="32" customHeight="1">
      <x:c r="A61" s="133" t="str">
        <x:v>EST-0033</x:v>
      </x:c>
      <x:c r="B61" s="134" t="str">
        <x:v>EST-0033-T1</x:v>
      </x:c>
      <x:c r="C61" s="134" t="str">
        <x:v>2026-07-31</x:v>
      </x:c>
      <x:c r="D61" s="134" t="str">
        <x:v>2026-12-15</x:v>
      </x:c>
      <x:c r="E61" s="134" t="n">
        <x:v>1</x:v>
      </x:c>
      <x:c r="F61" s="134" t="str">
        <x:v>1C</x:v>
      </x:c>
      <x:c r="G61" s="140" t="n">
        <x:v>11.03</x:v>
      </x:c>
      <x:c r="H61" s="140" t="n">
        <x:v>1</x:v>
      </x:c>
      <x:c r="I61" s="140" t="n">
        <x:v>97.92</x:v>
      </x:c>
      <x:c r="J61" s="140" t="n">
        <x:v>7.18</x:v>
      </x:c>
      <x:c r="K61" s="140" t="n">
        <x:v>13.31</x:v>
      </x:c>
      <x:c r="L61" s="140" t="n">
        <x:v>15</x:v>
      </x:c>
      <x:c r="M61" s="140" t="n">
        <x:v>10</x:v>
      </x:c>
      <x:c r="N61" s="134" t="n">
        <x:v>0</x:v>
      </x:c>
      <x:c r="O61" s="134" t="str">
        <x:v>permanece</x:v>
      </x:c>
      <x:c r="P61" s="134" t="str">
        <x:v>train</x:v>
      </x:c>
      <x:c r="Q61" s="134" t="str">
        <x:v>synthetic_scientific</x:v>
      </x:c>
      <x:c r="R61" s="135" t="str">
        <x:v>BLENKIR_V6_SYNTH_20260924</x:v>
      </x:c>
    </x:row>
    <x:row r="62" ht="32" customHeight="1">
      <x:c r="A62" s="133" t="str">
        <x:v>EST-0033</x:v>
      </x:c>
      <x:c r="B62" s="134" t="str">
        <x:v>EST-0033-T2</x:v>
      </x:c>
      <x:c r="C62" s="134" t="str">
        <x:v>2026-09-21</x:v>
      </x:c>
      <x:c r="D62" s="134" t="str">
        <x:v>2026-12-15</x:v>
      </x:c>
      <x:c r="E62" s="134" t="n">
        <x:v>1</x:v>
      </x:c>
      <x:c r="F62" s="134" t="str">
        <x:v>1C</x:v>
      </x:c>
      <x:c r="G62" s="140" t="n">
        <x:v>10.22</x:v>
      </x:c>
      <x:c r="H62" s="140" t="n">
        <x:v>1</x:v>
      </x:c>
      <x:c r="I62" s="140" t="n">
        <x:v>97.44</x:v>
      </x:c>
      <x:c r="J62" s="140" t="n">
        <x:v>7.04</x:v>
      </x:c>
      <x:c r="K62" s="140" t="n">
        <x:v>12.31</x:v>
      </x:c>
      <x:c r="L62" s="140" t="n">
        <x:v>12</x:v>
      </x:c>
      <x:c r="M62" s="140" t="n">
        <x:v>9</x:v>
      </x:c>
      <x:c r="N62" s="134" t="n">
        <x:v>0</x:v>
      </x:c>
      <x:c r="O62" s="134" t="str">
        <x:v>permanece</x:v>
      </x:c>
      <x:c r="P62" s="134" t="str">
        <x:v>train</x:v>
      </x:c>
      <x:c r="Q62" s="134" t="str">
        <x:v>synthetic_scientific</x:v>
      </x:c>
      <x:c r="R62" s="135" t="str">
        <x:v>BLENKIR_V6_SYNTH_20260924</x:v>
      </x:c>
    </x:row>
    <x:row r="63" ht="32" customHeight="1">
      <x:c r="A63" s="133" t="str">
        <x:v>EST-0034</x:v>
      </x:c>
      <x:c r="B63" s="134" t="str">
        <x:v>EST-0034-T1</x:v>
      </x:c>
      <x:c r="C63" s="134" t="str">
        <x:v>2026-07-31</x:v>
      </x:c>
      <x:c r="D63" s="134" t="str">
        <x:v>2026-12-15</x:v>
      </x:c>
      <x:c r="E63" s="134" t="n">
        <x:v>1</x:v>
      </x:c>
      <x:c r="F63" s="134" t="str">
        <x:v>1C</x:v>
      </x:c>
      <x:c r="G63" s="140" t="n">
        <x:v>19.37</x:v>
      </x:c>
      <x:c r="H63" s="140" t="n">
        <x:v>0</x:v>
      </x:c>
      <x:c r="I63" s="140" t="n">
        <x:v>99.5</x:v>
      </x:c>
      <x:c r="J63" s="140" t="n">
        <x:v>7.02</x:v>
      </x:c>
      <x:c r="K63" s="140" t="n">
        <x:v>12.59</x:v>
      </x:c>
      <x:c r="L63" s="140" t="n">
        <x:v>15</x:v>
      </x:c>
      <x:c r="M63" s="140" t="n">
        <x:v>8</x:v>
      </x:c>
      <x:c r="N63" s="134" t="n">
        <x:v>0</x:v>
      </x:c>
      <x:c r="O63" s="134" t="str">
        <x:v>permanece</x:v>
      </x:c>
      <x:c r="P63" s="134" t="str">
        <x:v>holdout</x:v>
      </x:c>
      <x:c r="Q63" s="134" t="str">
        <x:v>synthetic_scientific</x:v>
      </x:c>
      <x:c r="R63" s="135" t="str">
        <x:v>BLENKIR_V6_SYNTH_20260924</x:v>
      </x:c>
    </x:row>
    <x:row r="64" ht="32" customHeight="1">
      <x:c r="A64" s="133" t="str">
        <x:v>EST-0034</x:v>
      </x:c>
      <x:c r="B64" s="134" t="str">
        <x:v>EST-0034-T2</x:v>
      </x:c>
      <x:c r="C64" s="134" t="str">
        <x:v>2026-09-21</x:v>
      </x:c>
      <x:c r="D64" s="134" t="str">
        <x:v>2026-12-15</x:v>
      </x:c>
      <x:c r="E64" s="134" t="n">
        <x:v>1</x:v>
      </x:c>
      <x:c r="F64" s="134" t="str">
        <x:v>1C</x:v>
      </x:c>
      <x:c r="G64" s="140" t="n">
        <x:v>19.5</x:v>
      </x:c>
      <x:c r="H64" s="140" t="n">
        <x:v>0</x:v>
      </x:c>
      <x:c r="I64" s="140" t="n">
        <x:v>97.78</x:v>
      </x:c>
      <x:c r="J64" s="140" t="n">
        <x:v>7.25</x:v>
      </x:c>
      <x:c r="K64" s="140" t="n">
        <x:v>14.52</x:v>
      </x:c>
      <x:c r="L64" s="140" t="n">
        <x:v>13</x:v>
      </x:c>
      <x:c r="M64" s="140" t="n">
        <x:v>9</x:v>
      </x:c>
      <x:c r="N64" s="134" t="n">
        <x:v>0</x:v>
      </x:c>
      <x:c r="O64" s="134" t="str">
        <x:v>permanece</x:v>
      </x:c>
      <x:c r="P64" s="134" t="str">
        <x:v>holdout</x:v>
      </x:c>
      <x:c r="Q64" s="134" t="str">
        <x:v>synthetic_scientific</x:v>
      </x:c>
      <x:c r="R64" s="135" t="str">
        <x:v>BLENKIR_V6_SYNTH_20260924</x:v>
      </x:c>
    </x:row>
    <x:row r="65" ht="32" customHeight="1">
      <x:c r="A65" s="133" t="str">
        <x:v>EST-0035</x:v>
      </x:c>
      <x:c r="B65" s="134" t="str">
        <x:v>EST-0035-T1</x:v>
      </x:c>
      <x:c r="C65" s="134" t="str">
        <x:v>2026-07-31</x:v>
      </x:c>
      <x:c r="D65" s="134" t="str">
        <x:v>2026-12-15</x:v>
      </x:c>
      <x:c r="E65" s="134" t="n">
        <x:v>1</x:v>
      </x:c>
      <x:c r="F65" s="134" t="str">
        <x:v>1C</x:v>
      </x:c>
      <x:c r="G65" s="140" t="n">
        <x:v>14.23</x:v>
      </x:c>
      <x:c r="H65" s="140" t="n">
        <x:v>0</x:v>
      </x:c>
      <x:c r="I65" s="140" t="n">
        <x:v>99.11</x:v>
      </x:c>
      <x:c r="J65" s="140" t="n">
        <x:v>8.16</x:v>
      </x:c>
      <x:c r="K65" s="140" t="n">
        <x:v>14.55</x:v>
      </x:c>
      <x:c r="L65" s="140" t="n">
        <x:v>16</x:v>
      </x:c>
      <x:c r="M65" s="140" t="n">
        <x:v>11</x:v>
      </x:c>
      <x:c r="N65" s="134" t="n">
        <x:v>0</x:v>
      </x:c>
      <x:c r="O65" s="134" t="str">
        <x:v>permanece</x:v>
      </x:c>
      <x:c r="P65" s="134" t="str">
        <x:v>train</x:v>
      </x:c>
      <x:c r="Q65" s="134" t="str">
        <x:v>synthetic_scientific</x:v>
      </x:c>
      <x:c r="R65" s="135" t="str">
        <x:v>BLENKIR_V6_SYNTH_20260924</x:v>
      </x:c>
    </x:row>
    <x:row r="66" ht="32" customHeight="1">
      <x:c r="A66" s="133" t="str">
        <x:v>EST-0035</x:v>
      </x:c>
      <x:c r="B66" s="134" t="str">
        <x:v>EST-0035-T2</x:v>
      </x:c>
      <x:c r="C66" s="134" t="str">
        <x:v>2026-09-21</x:v>
      </x:c>
      <x:c r="D66" s="134" t="str">
        <x:v>2026-12-15</x:v>
      </x:c>
      <x:c r="E66" s="134" t="n">
        <x:v>1</x:v>
      </x:c>
      <x:c r="F66" s="134" t="str">
        <x:v>1C</x:v>
      </x:c>
      <x:c r="G66" s="140" t="n">
        <x:v>14.16</x:v>
      </x:c>
      <x:c r="H66" s="140" t="n">
        <x:v>0</x:v>
      </x:c>
      <x:c r="I66" s="140" t="n">
        <x:v>99.5</x:v>
      </x:c>
      <x:c r="J66" s="140" t="n">
        <x:v>6.54</x:v>
      </x:c>
      <x:c r="K66" s="140" t="n">
        <x:v>13.84</x:v>
      </x:c>
      <x:c r="L66" s="140" t="n">
        <x:v>13</x:v>
      </x:c>
      <x:c r="M66" s="140" t="n">
        <x:v>10</x:v>
      </x:c>
      <x:c r="N66" s="134" t="n">
        <x:v>0</x:v>
      </x:c>
      <x:c r="O66" s="134" t="str">
        <x:v>permanece</x:v>
      </x:c>
      <x:c r="P66" s="134" t="str">
        <x:v>train</x:v>
      </x:c>
      <x:c r="Q66" s="134" t="str">
        <x:v>synthetic_scientific</x:v>
      </x:c>
      <x:c r="R66" s="135" t="str">
        <x:v>BLENKIR_V6_SYNTH_20260924</x:v>
      </x:c>
    </x:row>
    <x:row r="67" ht="32" customHeight="1">
      <x:c r="A67" s="133" t="str">
        <x:v>EST-0036</x:v>
      </x:c>
      <x:c r="B67" s="134" t="str">
        <x:v>EST-0036-T1</x:v>
      </x:c>
      <x:c r="C67" s="134" t="str">
        <x:v>2026-07-31</x:v>
      </x:c>
      <x:c r="D67" s="134" t="str">
        <x:v>2026-12-15</x:v>
      </x:c>
      <x:c r="E67" s="134" t="n">
        <x:v>1</x:v>
      </x:c>
      <x:c r="F67" s="134" t="str">
        <x:v>1D</x:v>
      </x:c>
      <x:c r="G67" s="140" t="n">
        <x:v>16.49</x:v>
      </x:c>
      <x:c r="H67" s="140" t="n">
        <x:v>0</x:v>
      </x:c>
      <x:c r="I67" s="140" t="n">
        <x:v>92.93</x:v>
      </x:c>
      <x:c r="J67" s="140" t="n">
        <x:v>7.4</x:v>
      </x:c>
      <x:c r="K67" s="140" t="n">
        <x:v>9.05</x:v>
      </x:c>
      <x:c r="L67" s="140" t="n">
        <x:v>13</x:v>
      </x:c>
      <x:c r="M67" s="140" t="n">
        <x:v>11</x:v>
      </x:c>
      <x:c r="N67" s="134" t="n">
        <x:v>1</x:v>
      </x:c>
      <x:c r="O67" s="134" t="str">
        <x:v>deserta</x:v>
      </x:c>
      <x:c r="P67" s="134" t="str">
        <x:v>train</x:v>
      </x:c>
      <x:c r="Q67" s="134" t="str">
        <x:v>synthetic_scientific</x:v>
      </x:c>
      <x:c r="R67" s="135" t="str">
        <x:v>BLENKIR_V6_SYNTH_20260924</x:v>
      </x:c>
    </x:row>
    <x:row r="68" ht="32" customHeight="1">
      <x:c r="A68" s="133" t="str">
        <x:v>EST-0036</x:v>
      </x:c>
      <x:c r="B68" s="134" t="str">
        <x:v>EST-0036-T2</x:v>
      </x:c>
      <x:c r="C68" s="134" t="str">
        <x:v>2026-09-21</x:v>
      </x:c>
      <x:c r="D68" s="134" t="str">
        <x:v>2026-12-15</x:v>
      </x:c>
      <x:c r="E68" s="134" t="n">
        <x:v>1</x:v>
      </x:c>
      <x:c r="F68" s="134" t="str">
        <x:v>1D</x:v>
      </x:c>
      <x:c r="G68" s="140" t="n">
        <x:v>15.33</x:v>
      </x:c>
      <x:c r="H68" s="140" t="n">
        <x:v>0</x:v>
      </x:c>
      <x:c r="I68" s="140" t="n">
        <x:v>89.76</x:v>
      </x:c>
      <x:c r="J68" s="140" t="n">
        <x:v>6.77</x:v>
      </x:c>
      <x:c r="K68" s="140" t="n">
        <x:v>9.28</x:v>
      </x:c>
      <x:c r="L68" s="140" t="n">
        <x:v>11</x:v>
      </x:c>
      <x:c r="M68" s="140" t="n">
        <x:v>11</x:v>
      </x:c>
      <x:c r="N68" s="134" t="n">
        <x:v>1</x:v>
      </x:c>
      <x:c r="O68" s="134" t="str">
        <x:v>deserta</x:v>
      </x:c>
      <x:c r="P68" s="134" t="str">
        <x:v>train</x:v>
      </x:c>
      <x:c r="Q68" s="134" t="str">
        <x:v>synthetic_scientific</x:v>
      </x:c>
      <x:c r="R68" s="135" t="str">
        <x:v>BLENKIR_V6_SYNTH_20260924</x:v>
      </x:c>
    </x:row>
    <x:row r="69" ht="32" customHeight="1">
      <x:c r="A69" s="133" t="str">
        <x:v>EST-0038</x:v>
      </x:c>
      <x:c r="B69" s="134" t="str">
        <x:v>EST-0038-T1</x:v>
      </x:c>
      <x:c r="C69" s="134" t="str">
        <x:v>2026-07-31</x:v>
      </x:c>
      <x:c r="D69" s="134" t="str">
        <x:v>2026-12-15</x:v>
      </x:c>
      <x:c r="E69" s="134" t="n">
        <x:v>1</x:v>
      </x:c>
      <x:c r="F69" s="134" t="str">
        <x:v>1D</x:v>
      </x:c>
      <x:c r="G69" s="140" t="n">
        <x:v>11.42</x:v>
      </x:c>
      <x:c r="H69" s="140" t="n">
        <x:v>0</x:v>
      </x:c>
      <x:c r="I69" s="140" t="n">
        <x:v>91.63</x:v>
      </x:c>
      <x:c r="J69" s="140" t="n">
        <x:v>10.53</x:v>
      </x:c>
      <x:c r="K69" s="140" t="n">
        <x:v>19.82</x:v>
      </x:c>
      <x:c r="L69" s="140" t="n">
        <x:v>13</x:v>
      </x:c>
      <x:c r="M69" s="140" t="n">
        <x:v>15</x:v>
      </x:c>
      <x:c r="N69" s="134" t="n">
        <x:v>0</x:v>
      </x:c>
      <x:c r="O69" s="134" t="str">
        <x:v>permanece</x:v>
      </x:c>
      <x:c r="P69" s="134" t="str">
        <x:v>validation</x:v>
      </x:c>
      <x:c r="Q69" s="134" t="str">
        <x:v>synthetic_scientific</x:v>
      </x:c>
      <x:c r="R69" s="135" t="str">
        <x:v>BLENKIR_V6_SYNTH_20260924</x:v>
      </x:c>
    </x:row>
    <x:row r="70" ht="32" customHeight="1">
      <x:c r="A70" s="133" t="str">
        <x:v>EST-0038</x:v>
      </x:c>
      <x:c r="B70" s="134" t="str">
        <x:v>EST-0038-T2</x:v>
      </x:c>
      <x:c r="C70" s="134" t="str">
        <x:v>2026-09-21</x:v>
      </x:c>
      <x:c r="D70" s="134" t="str">
        <x:v>2026-12-15</x:v>
      </x:c>
      <x:c r="E70" s="134" t="n">
        <x:v>1</x:v>
      </x:c>
      <x:c r="F70" s="134" t="str">
        <x:v>1D</x:v>
      </x:c>
      <x:c r="G70" s="140" t="n">
        <x:v>11.86</x:v>
      </x:c>
      <x:c r="H70" s="140" t="n">
        <x:v>0</x:v>
      </x:c>
      <x:c r="I70" s="140" t="n">
        <x:v>93.26</x:v>
      </x:c>
      <x:c r="J70" s="140" t="n">
        <x:v>9.35</x:v>
      </x:c>
      <x:c r="K70" s="140" t="n">
        <x:v>17.98</x:v>
      </x:c>
      <x:c r="L70" s="140" t="n">
        <x:v>16</x:v>
      </x:c>
      <x:c r="M70" s="140" t="n">
        <x:v>14</x:v>
      </x:c>
      <x:c r="N70" s="134" t="n">
        <x:v>0</x:v>
      </x:c>
      <x:c r="O70" s="134" t="str">
        <x:v>permanece</x:v>
      </x:c>
      <x:c r="P70" s="134" t="str">
        <x:v>validation</x:v>
      </x:c>
      <x:c r="Q70" s="134" t="str">
        <x:v>synthetic_scientific</x:v>
      </x:c>
      <x:c r="R70" s="135" t="str">
        <x:v>BLENKIR_V6_SYNTH_20260924</x:v>
      </x:c>
    </x:row>
    <x:row r="71" ht="32" customHeight="1">
      <x:c r="A71" s="133" t="str">
        <x:v>EST-0039</x:v>
      </x:c>
      <x:c r="B71" s="134" t="str">
        <x:v>EST-0039-T1</x:v>
      </x:c>
      <x:c r="C71" s="134" t="str">
        <x:v>2026-07-31</x:v>
      </x:c>
      <x:c r="D71" s="134" t="str">
        <x:v>2026-12-15</x:v>
      </x:c>
      <x:c r="E71" s="134" t="n">
        <x:v>1</x:v>
      </x:c>
      <x:c r="F71" s="134" t="str">
        <x:v>1D</x:v>
      </x:c>
      <x:c r="G71" s="140" t="n">
        <x:v>13.55</x:v>
      </x:c>
      <x:c r="H71" s="140" t="n">
        <x:v>0</x:v>
      </x:c>
      <x:c r="I71" s="140" t="n">
        <x:v>88.06</x:v>
      </x:c>
      <x:c r="J71" s="140" t="n">
        <x:v>6.94</x:v>
      </x:c>
      <x:c r="K71" s="140" t="n">
        <x:v>15.29</x:v>
      </x:c>
      <x:c r="L71" s="140" t="n">
        <x:v>14</x:v>
      </x:c>
      <x:c r="M71" s="140" t="n">
        <x:v>11</x:v>
      </x:c>
      <x:c r="N71" s="134" t="n">
        <x:v>0</x:v>
      </x:c>
      <x:c r="O71" s="134" t="str">
        <x:v>permanece</x:v>
      </x:c>
      <x:c r="P71" s="134" t="str">
        <x:v>train</x:v>
      </x:c>
      <x:c r="Q71" s="134" t="str">
        <x:v>synthetic_scientific</x:v>
      </x:c>
      <x:c r="R71" s="135" t="str">
        <x:v>BLENKIR_V6_SYNTH_20260924</x:v>
      </x:c>
    </x:row>
    <x:row r="72" ht="32" customHeight="1">
      <x:c r="A72" s="133" t="str">
        <x:v>EST-0039</x:v>
      </x:c>
      <x:c r="B72" s="134" t="str">
        <x:v>EST-0039-T2</x:v>
      </x:c>
      <x:c r="C72" s="134" t="str">
        <x:v>2026-09-21</x:v>
      </x:c>
      <x:c r="D72" s="134" t="str">
        <x:v>2026-12-15</x:v>
      </x:c>
      <x:c r="E72" s="134" t="n">
        <x:v>1</x:v>
      </x:c>
      <x:c r="F72" s="134" t="str">
        <x:v>1D</x:v>
      </x:c>
      <x:c r="G72" s="140" t="n">
        <x:v>12.92</x:v>
      </x:c>
      <x:c r="H72" s="140" t="n">
        <x:v>0</x:v>
      </x:c>
      <x:c r="I72" s="140" t="n">
        <x:v>86.2</x:v>
      </x:c>
      <x:c r="J72" s="140" t="n">
        <x:v>6.75</x:v>
      </x:c>
      <x:c r="K72" s="140" t="n">
        <x:v>11.43</x:v>
      </x:c>
      <x:c r="L72" s="140" t="n">
        <x:v>13</x:v>
      </x:c>
      <x:c r="M72" s="140" t="n">
        <x:v>10</x:v>
      </x:c>
      <x:c r="N72" s="134" t="n">
        <x:v>0</x:v>
      </x:c>
      <x:c r="O72" s="134" t="str">
        <x:v>permanece</x:v>
      </x:c>
      <x:c r="P72" s="134" t="str">
        <x:v>train</x:v>
      </x:c>
      <x:c r="Q72" s="134" t="str">
        <x:v>synthetic_scientific</x:v>
      </x:c>
      <x:c r="R72" s="135" t="str">
        <x:v>BLENKIR_V6_SYNTH_20260924</x:v>
      </x:c>
    </x:row>
    <x:row r="73" ht="32" customHeight="1">
      <x:c r="A73" s="133" t="str">
        <x:v>EST-0040</x:v>
      </x:c>
      <x:c r="B73" s="134" t="str">
        <x:v>EST-0040-T1</x:v>
      </x:c>
      <x:c r="C73" s="134" t="str">
        <x:v>2026-07-31</x:v>
      </x:c>
      <x:c r="D73" s="134" t="str">
        <x:v>2026-12-15</x:v>
      </x:c>
      <x:c r="E73" s="134" t="n">
        <x:v>1</x:v>
      </x:c>
      <x:c r="F73" s="134" t="str">
        <x:v>1D</x:v>
      </x:c>
      <x:c r="G73" s="140" t="n">
        <x:v>15.58</x:v>
      </x:c>
      <x:c r="H73" s="140" t="n">
        <x:v>0</x:v>
      </x:c>
      <x:c r="I73" s="140" t="n">
        <x:v>90.92</x:v>
      </x:c>
      <x:c r="J73" s="140" t="n">
        <x:v>7.98</x:v>
      </x:c>
      <x:c r="K73" s="140" t="n">
        <x:v>19.07</x:v>
      </x:c>
      <x:c r="L73" s="140" t="n">
        <x:v>12</x:v>
      </x:c>
      <x:c r="M73" s="140" t="n">
        <x:v>10</x:v>
      </x:c>
      <x:c r="N73" s="134" t="n">
        <x:v>0</x:v>
      </x:c>
      <x:c r="O73" s="134" t="str">
        <x:v>permanece</x:v>
      </x:c>
      <x:c r="P73" s="134" t="str">
        <x:v>train</x:v>
      </x:c>
      <x:c r="Q73" s="134" t="str">
        <x:v>synthetic_scientific</x:v>
      </x:c>
      <x:c r="R73" s="135" t="str">
        <x:v>BLENKIR_V6_SYNTH_20260924</x:v>
      </x:c>
    </x:row>
    <x:row r="74" ht="32" customHeight="1">
      <x:c r="A74" s="133" t="str">
        <x:v>EST-0040</x:v>
      </x:c>
      <x:c r="B74" s="134" t="str">
        <x:v>EST-0040-T2</x:v>
      </x:c>
      <x:c r="C74" s="134" t="str">
        <x:v>2026-09-21</x:v>
      </x:c>
      <x:c r="D74" s="134" t="str">
        <x:v>2026-12-15</x:v>
      </x:c>
      <x:c r="E74" s="134" t="n">
        <x:v>1</x:v>
      </x:c>
      <x:c r="F74" s="134" t="str">
        <x:v>1D</x:v>
      </x:c>
      <x:c r="G74" s="140" t="n">
        <x:v>15.5</x:v>
      </x:c>
      <x:c r="H74" s="140" t="n">
        <x:v>0</x:v>
      </x:c>
      <x:c r="I74" s="140" t="n">
        <x:v>89.11</x:v>
      </x:c>
      <x:c r="J74" s="140" t="n">
        <x:v>6.79</x:v>
      </x:c>
      <x:c r="K74" s="140" t="n">
        <x:v>13.84</x:v>
      </x:c>
      <x:c r="L74" s="140" t="n">
        <x:v>12</x:v>
      </x:c>
      <x:c r="M74" s="140" t="n">
        <x:v>9</x:v>
      </x:c>
      <x:c r="N74" s="134" t="n">
        <x:v>0</x:v>
      </x:c>
      <x:c r="O74" s="134" t="str">
        <x:v>permanece</x:v>
      </x:c>
      <x:c r="P74" s="134" t="str">
        <x:v>train</x:v>
      </x:c>
      <x:c r="Q74" s="134" t="str">
        <x:v>synthetic_scientific</x:v>
      </x:c>
      <x:c r="R74" s="135" t="str">
        <x:v>BLENKIR_V6_SYNTH_20260924</x:v>
      </x:c>
    </x:row>
    <x:row r="75" ht="32" customHeight="1">
      <x:c r="A75" s="133" t="str">
        <x:v>EST-0041</x:v>
      </x:c>
      <x:c r="B75" s="134" t="str">
        <x:v>EST-0041-T1</x:v>
      </x:c>
      <x:c r="C75" s="134" t="str">
        <x:v>2026-07-31</x:v>
      </x:c>
      <x:c r="D75" s="134" t="str">
        <x:v>2026-12-15</x:v>
      </x:c>
      <x:c r="E75" s="134" t="n">
        <x:v>1</x:v>
      </x:c>
      <x:c r="F75" s="134" t="str">
        <x:v>1D</x:v>
      </x:c>
      <x:c r="G75" s="140" t="n">
        <x:v>15.37</x:v>
      </x:c>
      <x:c r="H75" s="140" t="n">
        <x:v>0</x:v>
      </x:c>
      <x:c r="I75" s="140" t="n">
        <x:v>93.24</x:v>
      </x:c>
      <x:c r="J75" s="140" t="n">
        <x:v>8.48</x:v>
      </x:c>
      <x:c r="K75" s="140" t="n">
        <x:v>17.34</x:v>
      </x:c>
      <x:c r="L75" s="140" t="n">
        <x:v>18</x:v>
      </x:c>
      <x:c r="M75" s="140" t="n">
        <x:v>13</x:v>
      </x:c>
      <x:c r="N75" s="134" t="n">
        <x:v>0</x:v>
      </x:c>
      <x:c r="O75" s="134" t="str">
        <x:v>permanece</x:v>
      </x:c>
      <x:c r="P75" s="134" t="str">
        <x:v>train</x:v>
      </x:c>
      <x:c r="Q75" s="134" t="str">
        <x:v>synthetic_scientific</x:v>
      </x:c>
      <x:c r="R75" s="135" t="str">
        <x:v>BLENKIR_V6_SYNTH_20260924</x:v>
      </x:c>
    </x:row>
    <x:row r="76" ht="32" customHeight="1">
      <x:c r="A76" s="133" t="str">
        <x:v>EST-0041</x:v>
      </x:c>
      <x:c r="B76" s="134" t="str">
        <x:v>EST-0041-T2</x:v>
      </x:c>
      <x:c r="C76" s="134" t="str">
        <x:v>2026-09-21</x:v>
      </x:c>
      <x:c r="D76" s="134" t="str">
        <x:v>2026-12-15</x:v>
      </x:c>
      <x:c r="E76" s="134" t="n">
        <x:v>1</x:v>
      </x:c>
      <x:c r="F76" s="134" t="str">
        <x:v>1D</x:v>
      </x:c>
      <x:c r="G76" s="140" t="n">
        <x:v>13.92</x:v>
      </x:c>
      <x:c r="H76" s="140" t="n">
        <x:v>0</x:v>
      </x:c>
      <x:c r="I76" s="140" t="n">
        <x:v>86.3</x:v>
      </x:c>
      <x:c r="J76" s="140" t="n">
        <x:v>8.49</x:v>
      </x:c>
      <x:c r="K76" s="140" t="n">
        <x:v>17.51</x:v>
      </x:c>
      <x:c r="L76" s="140" t="n">
        <x:v>16</x:v>
      </x:c>
      <x:c r="M76" s="140" t="n">
        <x:v>12</x:v>
      </x:c>
      <x:c r="N76" s="134" t="n">
        <x:v>0</x:v>
      </x:c>
      <x:c r="O76" s="134" t="str">
        <x:v>permanece</x:v>
      </x:c>
      <x:c r="P76" s="134" t="str">
        <x:v>train</x:v>
      </x:c>
      <x:c r="Q76" s="134" t="str">
        <x:v>synthetic_scientific</x:v>
      </x:c>
      <x:c r="R76" s="135" t="str">
        <x:v>BLENKIR_V6_SYNTH_20260924</x:v>
      </x:c>
    </x:row>
    <x:row r="77" ht="32" customHeight="1">
      <x:c r="A77" s="133" t="str">
        <x:v>EST-0042</x:v>
      </x:c>
      <x:c r="B77" s="134" t="str">
        <x:v>EST-0042-T1</x:v>
      </x:c>
      <x:c r="C77" s="134" t="str">
        <x:v>2026-07-31</x:v>
      </x:c>
      <x:c r="D77" s="134" t="str">
        <x:v>2026-12-15</x:v>
      </x:c>
      <x:c r="E77" s="134" t="n">
        <x:v>1</x:v>
      </x:c>
      <x:c r="F77" s="134" t="str">
        <x:v>1D</x:v>
      </x:c>
      <x:c r="G77" s="140" t="n">
        <x:v>17.1</x:v>
      </x:c>
      <x:c r="H77" s="140" t="n">
        <x:v>0</x:v>
      </x:c>
      <x:c r="I77" s="140" t="n">
        <x:v>99.5</x:v>
      </x:c>
      <x:c r="J77" s="140" t="n">
        <x:v>10.5</x:v>
      </x:c>
      <x:c r="K77" s="140" t="n">
        <x:v>14.36</x:v>
      </x:c>
      <x:c r="L77" s="140" t="n">
        <x:v>19</x:v>
      </x:c>
      <x:c r="M77" s="140" t="n">
        <x:v>12</x:v>
      </x:c>
      <x:c r="N77" s="134" t="n">
        <x:v>0</x:v>
      </x:c>
      <x:c r="O77" s="134" t="str">
        <x:v>permanece</x:v>
      </x:c>
      <x:c r="P77" s="134" t="str">
        <x:v>train</x:v>
      </x:c>
      <x:c r="Q77" s="134" t="str">
        <x:v>synthetic_scientific</x:v>
      </x:c>
      <x:c r="R77" s="135" t="str">
        <x:v>BLENKIR_V6_SYNTH_20260924</x:v>
      </x:c>
    </x:row>
    <x:row r="78" ht="32" customHeight="1">
      <x:c r="A78" s="133" t="str">
        <x:v>EST-0042</x:v>
      </x:c>
      <x:c r="B78" s="134" t="str">
        <x:v>EST-0042-T2</x:v>
      </x:c>
      <x:c r="C78" s="134" t="str">
        <x:v>2026-09-21</x:v>
      </x:c>
      <x:c r="D78" s="134" t="str">
        <x:v>2026-12-15</x:v>
      </x:c>
      <x:c r="E78" s="134" t="n">
        <x:v>1</x:v>
      </x:c>
      <x:c r="F78" s="134" t="str">
        <x:v>1D</x:v>
      </x:c>
      <x:c r="G78" s="140" t="n">
        <x:v>15.72</x:v>
      </x:c>
      <x:c r="H78" s="140" t="n">
        <x:v>0</x:v>
      </x:c>
      <x:c r="I78" s="140" t="n">
        <x:v>99.27</x:v>
      </x:c>
      <x:c r="J78" s="140" t="n">
        <x:v>8.79</x:v>
      </x:c>
      <x:c r="K78" s="140" t="n">
        <x:v>14.97</x:v>
      </x:c>
      <x:c r="L78" s="140" t="n">
        <x:v>17</x:v>
      </x:c>
      <x:c r="M78" s="140" t="n">
        <x:v>11</x:v>
      </x:c>
      <x:c r="N78" s="134" t="n">
        <x:v>0</x:v>
      </x:c>
      <x:c r="O78" s="134" t="str">
        <x:v>permanece</x:v>
      </x:c>
      <x:c r="P78" s="134" t="str">
        <x:v>train</x:v>
      </x:c>
      <x:c r="Q78" s="134" t="str">
        <x:v>synthetic_scientific</x:v>
      </x:c>
      <x:c r="R78" s="135" t="str">
        <x:v>BLENKIR_V6_SYNTH_20260924</x:v>
      </x:c>
    </x:row>
    <x:row r="79" ht="32" customHeight="1">
      <x:c r="A79" s="133" t="str">
        <x:v>EST-0043</x:v>
      </x:c>
      <x:c r="B79" s="134" t="str">
        <x:v>EST-0043-T1</x:v>
      </x:c>
      <x:c r="C79" s="134" t="str">
        <x:v>2026-07-31</x:v>
      </x:c>
      <x:c r="D79" s="134" t="str">
        <x:v>2026-12-15</x:v>
      </x:c>
      <x:c r="E79" s="134" t="n">
        <x:v>1</x:v>
      </x:c>
      <x:c r="F79" s="134" t="str">
        <x:v>1D</x:v>
      </x:c>
      <x:c r="G79" s="140" t="n">
        <x:v>14.43</x:v>
      </x:c>
      <x:c r="H79" s="140" t="n">
        <x:v>0</x:v>
      </x:c>
      <x:c r="I79" s="140" t="n">
        <x:v>95.24</x:v>
      </x:c>
      <x:c r="J79" s="140" t="n">
        <x:v>6.3</x:v>
      </x:c>
      <x:c r="K79" s="140" t="n">
        <x:v>13.78</x:v>
      </x:c>
      <x:c r="L79" s="140" t="n">
        <x:v>16</x:v>
      </x:c>
      <x:c r="M79" s="140" t="n">
        <x:v>10</x:v>
      </x:c>
      <x:c r="N79" s="134" t="n">
        <x:v>0</x:v>
      </x:c>
      <x:c r="O79" s="134" t="str">
        <x:v>permanece</x:v>
      </x:c>
      <x:c r="P79" s="134" t="str">
        <x:v>holdout</x:v>
      </x:c>
      <x:c r="Q79" s="134" t="str">
        <x:v>synthetic_scientific</x:v>
      </x:c>
      <x:c r="R79" s="135" t="str">
        <x:v>BLENKIR_V6_SYNTH_20260924</x:v>
      </x:c>
    </x:row>
    <x:row r="80" ht="32" customHeight="1">
      <x:c r="A80" s="133" t="str">
        <x:v>EST-0043</x:v>
      </x:c>
      <x:c r="B80" s="134" t="str">
        <x:v>EST-0043-T2</x:v>
      </x:c>
      <x:c r="C80" s="134" t="str">
        <x:v>2026-09-21</x:v>
      </x:c>
      <x:c r="D80" s="134" t="str">
        <x:v>2026-12-15</x:v>
      </x:c>
      <x:c r="E80" s="134" t="n">
        <x:v>1</x:v>
      </x:c>
      <x:c r="F80" s="134" t="str">
        <x:v>1D</x:v>
      </x:c>
      <x:c r="G80" s="140" t="n">
        <x:v>13.42</x:v>
      </x:c>
      <x:c r="H80" s="140" t="n">
        <x:v>0</x:v>
      </x:c>
      <x:c r="I80" s="140" t="n">
        <x:v>90.11</x:v>
      </x:c>
      <x:c r="J80" s="140" t="n">
        <x:v>6.52</x:v>
      </x:c>
      <x:c r="K80" s="140" t="n">
        <x:v>13.87</x:v>
      </x:c>
      <x:c r="L80" s="140" t="n">
        <x:v>16</x:v>
      </x:c>
      <x:c r="M80" s="140" t="n">
        <x:v>9</x:v>
      </x:c>
      <x:c r="N80" s="134" t="n">
        <x:v>0</x:v>
      </x:c>
      <x:c r="O80" s="134" t="str">
        <x:v>permanece</x:v>
      </x:c>
      <x:c r="P80" s="134" t="str">
        <x:v>holdout</x:v>
      </x:c>
      <x:c r="Q80" s="134" t="str">
        <x:v>synthetic_scientific</x:v>
      </x:c>
      <x:c r="R80" s="135" t="str">
        <x:v>BLENKIR_V6_SYNTH_20260924</x:v>
      </x:c>
    </x:row>
    <x:row r="81" ht="32" customHeight="1">
      <x:c r="A81" s="133" t="str">
        <x:v>EST-0044</x:v>
      </x:c>
      <x:c r="B81" s="134" t="str">
        <x:v>EST-0044-T1</x:v>
      </x:c>
      <x:c r="C81" s="134" t="str">
        <x:v>2026-07-31</x:v>
      </x:c>
      <x:c r="D81" s="134" t="str">
        <x:v>2026-12-15</x:v>
      </x:c>
      <x:c r="E81" s="134" t="n">
        <x:v>1</x:v>
      </x:c>
      <x:c r="F81" s="134" t="str">
        <x:v>1D</x:v>
      </x:c>
      <x:c r="G81" s="140" t="n">
        <x:v>16.74</x:v>
      </x:c>
      <x:c r="H81" s="140" t="n">
        <x:v>0</x:v>
      </x:c>
      <x:c r="I81" s="140" t="n">
        <x:v>89.25</x:v>
      </x:c>
      <x:c r="J81" s="140" t="n">
        <x:v>8.7</x:v>
      </x:c>
      <x:c r="K81" s="140" t="n">
        <x:v>10.08</x:v>
      </x:c>
      <x:c r="L81" s="140" t="n">
        <x:v>12</x:v>
      </x:c>
      <x:c r="M81" s="140" t="n">
        <x:v>12</x:v>
      </x:c>
      <x:c r="N81" s="134" t="n">
        <x:v>0</x:v>
      </x:c>
      <x:c r="O81" s="134" t="str">
        <x:v>permanece</x:v>
      </x:c>
      <x:c r="P81" s="134" t="str">
        <x:v>train</x:v>
      </x:c>
      <x:c r="Q81" s="134" t="str">
        <x:v>synthetic_scientific</x:v>
      </x:c>
      <x:c r="R81" s="135" t="str">
        <x:v>BLENKIR_V6_SYNTH_20260924</x:v>
      </x:c>
    </x:row>
    <x:row r="82" ht="32" customHeight="1">
      <x:c r="A82" s="133" t="str">
        <x:v>EST-0044</x:v>
      </x:c>
      <x:c r="B82" s="134" t="str">
        <x:v>EST-0044-T2</x:v>
      </x:c>
      <x:c r="C82" s="134" t="str">
        <x:v>2026-09-21</x:v>
      </x:c>
      <x:c r="D82" s="134" t="str">
        <x:v>2026-12-15</x:v>
      </x:c>
      <x:c r="E82" s="134" t="n">
        <x:v>1</x:v>
      </x:c>
      <x:c r="F82" s="134" t="str">
        <x:v>1D</x:v>
      </x:c>
      <x:c r="G82" s="140" t="n">
        <x:v>17.01</x:v>
      </x:c>
      <x:c r="H82" s="140" t="n">
        <x:v>0</x:v>
      </x:c>
      <x:c r="I82" s="140" t="n">
        <x:v>91.03</x:v>
      </x:c>
      <x:c r="J82" s="140" t="n">
        <x:v>7.31</x:v>
      </x:c>
      <x:c r="K82" s="140" t="n">
        <x:v>11.95</x:v>
      </x:c>
      <x:c r="L82" s="140" t="n">
        <x:v>13</x:v>
      </x:c>
      <x:c r="M82" s="140" t="n">
        <x:v>11</x:v>
      </x:c>
      <x:c r="N82" s="134" t="n">
        <x:v>0</x:v>
      </x:c>
      <x:c r="O82" s="134" t="str">
        <x:v>permanece</x:v>
      </x:c>
      <x:c r="P82" s="134" t="str">
        <x:v>train</x:v>
      </x:c>
      <x:c r="Q82" s="134" t="str">
        <x:v>synthetic_scientific</x:v>
      </x:c>
      <x:c r="R82" s="135" t="str">
        <x:v>BLENKIR_V6_SYNTH_20260924</x:v>
      </x:c>
    </x:row>
    <x:row r="83" ht="32" customHeight="1">
      <x:c r="A83" s="133" t="str">
        <x:v>EST-0045</x:v>
      </x:c>
      <x:c r="B83" s="134" t="str">
        <x:v>EST-0045-T1</x:v>
      </x:c>
      <x:c r="C83" s="134" t="str">
        <x:v>2026-07-31</x:v>
      </x:c>
      <x:c r="D83" s="134" t="str">
        <x:v>2026-12-15</x:v>
      </x:c>
      <x:c r="E83" s="134" t="n">
        <x:v>1</x:v>
      </x:c>
      <x:c r="F83" s="134" t="str">
        <x:v>1D</x:v>
      </x:c>
      <x:c r="G83" s="140" t="n">
        <x:v>15.53</x:v>
      </x:c>
      <x:c r="H83" s="140" t="n">
        <x:v>0</x:v>
      </x:c>
      <x:c r="I83" s="140" t="n">
        <x:v>88.18</x:v>
      </x:c>
      <x:c r="J83" s="140" t="n">
        <x:v>9.19</x:v>
      </x:c>
      <x:c r="K83" s="140" t="n">
        <x:v>15.68</x:v>
      </x:c>
      <x:c r="L83" s="140" t="n">
        <x:v>16</x:v>
      </x:c>
      <x:c r="M83" s="140" t="n">
        <x:v>13</x:v>
      </x:c>
      <x:c r="N83" s="134" t="n">
        <x:v>0</x:v>
      </x:c>
      <x:c r="O83" s="134" t="str">
        <x:v>permanece</x:v>
      </x:c>
      <x:c r="P83" s="134" t="str">
        <x:v>validation</x:v>
      </x:c>
      <x:c r="Q83" s="134" t="str">
        <x:v>synthetic_scientific</x:v>
      </x:c>
      <x:c r="R83" s="135" t="str">
        <x:v>BLENKIR_V6_SYNTH_20260924</x:v>
      </x:c>
    </x:row>
    <x:row r="84" ht="32" customHeight="1">
      <x:c r="A84" s="133" t="str">
        <x:v>EST-0045</x:v>
      </x:c>
      <x:c r="B84" s="134" t="str">
        <x:v>EST-0045-T2</x:v>
      </x:c>
      <x:c r="C84" s="134" t="str">
        <x:v>2026-09-21</x:v>
      </x:c>
      <x:c r="D84" s="134" t="str">
        <x:v>2026-12-15</x:v>
      </x:c>
      <x:c r="E84" s="134" t="n">
        <x:v>1</x:v>
      </x:c>
      <x:c r="F84" s="134" t="str">
        <x:v>1D</x:v>
      </x:c>
      <x:c r="G84" s="140" t="n">
        <x:v>14.55</x:v>
      </x:c>
      <x:c r="H84" s="140" t="n">
        <x:v>0</x:v>
      </x:c>
      <x:c r="I84" s="140" t="n">
        <x:v>87.02</x:v>
      </x:c>
      <x:c r="J84" s="140" t="n">
        <x:v>8.85</x:v>
      </x:c>
      <x:c r="K84" s="140" t="n">
        <x:v>17.06</x:v>
      </x:c>
      <x:c r="L84" s="140" t="n">
        <x:v>15</x:v>
      </x:c>
      <x:c r="M84" s="140" t="n">
        <x:v>12</x:v>
      </x:c>
      <x:c r="N84" s="134" t="n">
        <x:v>0</x:v>
      </x:c>
      <x:c r="O84" s="134" t="str">
        <x:v>permanece</x:v>
      </x:c>
      <x:c r="P84" s="134" t="str">
        <x:v>validation</x:v>
      </x:c>
      <x:c r="Q84" s="134" t="str">
        <x:v>synthetic_scientific</x:v>
      </x:c>
      <x:c r="R84" s="135" t="str">
        <x:v>BLENKIR_V6_SYNTH_20260924</x:v>
      </x:c>
    </x:row>
    <x:row r="85" ht="32" customHeight="1">
      <x:c r="A85" s="133" t="str">
        <x:v>EST-0047</x:v>
      </x:c>
      <x:c r="B85" s="134" t="str">
        <x:v>EST-0047-T1</x:v>
      </x:c>
      <x:c r="C85" s="134" t="str">
        <x:v>2026-07-31</x:v>
      </x:c>
      <x:c r="D85" s="134" t="str">
        <x:v>2026-12-15</x:v>
      </x:c>
      <x:c r="E85" s="134" t="n">
        <x:v>2</x:v>
      </x:c>
      <x:c r="F85" s="134" t="str">
        <x:v>2A</x:v>
      </x:c>
      <x:c r="G85" s="140" t="n">
        <x:v>14.57</x:v>
      </x:c>
      <x:c r="H85" s="140" t="n">
        <x:v>0</x:v>
      </x:c>
      <x:c r="I85" s="140" t="n">
        <x:v>94.7</x:v>
      </x:c>
      <x:c r="J85" s="140" t="n">
        <x:v>7.76</x:v>
      </x:c>
      <x:c r="K85" s="140" t="n">
        <x:v>8.41</x:v>
      </x:c>
      <x:c r="L85" s="140" t="n">
        <x:v>12</x:v>
      </x:c>
      <x:c r="M85" s="140" t="n">
        <x:v>13</x:v>
      </x:c>
      <x:c r="N85" s="134" t="n">
        <x:v>1</x:v>
      </x:c>
      <x:c r="O85" s="134" t="str">
        <x:v>deserta</x:v>
      </x:c>
      <x:c r="P85" s="134" t="str">
        <x:v>validation</x:v>
      </x:c>
      <x:c r="Q85" s="134" t="str">
        <x:v>synthetic_scientific</x:v>
      </x:c>
      <x:c r="R85" s="135" t="str">
        <x:v>BLENKIR_V6_SYNTH_20260924</x:v>
      </x:c>
    </x:row>
    <x:row r="86" ht="32" customHeight="1">
      <x:c r="A86" s="133" t="str">
        <x:v>EST-0047</x:v>
      </x:c>
      <x:c r="B86" s="134" t="str">
        <x:v>EST-0047-T2</x:v>
      </x:c>
      <x:c r="C86" s="134" t="str">
        <x:v>2026-09-21</x:v>
      </x:c>
      <x:c r="D86" s="134" t="str">
        <x:v>2026-12-15</x:v>
      </x:c>
      <x:c r="E86" s="134" t="n">
        <x:v>2</x:v>
      </x:c>
      <x:c r="F86" s="134" t="str">
        <x:v>2A</x:v>
      </x:c>
      <x:c r="G86" s="140" t="n">
        <x:v>13.45</x:v>
      </x:c>
      <x:c r="H86" s="140" t="n">
        <x:v>0</x:v>
      </x:c>
      <x:c r="I86" s="140" t="n">
        <x:v>90.82</x:v>
      </x:c>
      <x:c r="J86" s="140" t="n">
        <x:v>6.28</x:v>
      </x:c>
      <x:c r="K86" s="140" t="n">
        <x:v>10.24</x:v>
      </x:c>
      <x:c r="L86" s="140" t="n">
        <x:v>11</x:v>
      </x:c>
      <x:c r="M86" s="140" t="n">
        <x:v>11</x:v>
      </x:c>
      <x:c r="N86" s="134" t="n">
        <x:v>1</x:v>
      </x:c>
      <x:c r="O86" s="134" t="str">
        <x:v>deserta</x:v>
      </x:c>
      <x:c r="P86" s="134" t="str">
        <x:v>validation</x:v>
      </x:c>
      <x:c r="Q86" s="134" t="str">
        <x:v>synthetic_scientific</x:v>
      </x:c>
      <x:c r="R86" s="135" t="str">
        <x:v>BLENKIR_V6_SYNTH_20260924</x:v>
      </x:c>
    </x:row>
    <x:row r="87" ht="32" customHeight="1">
      <x:c r="A87" s="133" t="str">
        <x:v>EST-0048</x:v>
      </x:c>
      <x:c r="B87" s="134" t="str">
        <x:v>EST-0048-T1</x:v>
      </x:c>
      <x:c r="C87" s="134" t="str">
        <x:v>2026-07-31</x:v>
      </x:c>
      <x:c r="D87" s="134" t="str">
        <x:v>2026-12-15</x:v>
      </x:c>
      <x:c r="E87" s="134" t="n">
        <x:v>2</x:v>
      </x:c>
      <x:c r="F87" s="134" t="str">
        <x:v>2A</x:v>
      </x:c>
      <x:c r="G87" s="140" t="n">
        <x:v>13.85</x:v>
      </x:c>
      <x:c r="H87" s="140" t="n">
        <x:v>0</x:v>
      </x:c>
      <x:c r="I87" s="140" t="n">
        <x:v>97.77</x:v>
      </x:c>
      <x:c r="J87" s="140" t="n">
        <x:v>6.44</x:v>
      </x:c>
      <x:c r="K87" s="140" t="n">
        <x:v>14.71</x:v>
      </x:c>
      <x:c r="L87" s="140" t="n">
        <x:v>12</x:v>
      </x:c>
      <x:c r="M87" s="140" t="n">
        <x:v>13</x:v>
      </x:c>
      <x:c r="N87" s="134" t="n">
        <x:v>1</x:v>
      </x:c>
      <x:c r="O87" s="134" t="str">
        <x:v>deserta</x:v>
      </x:c>
      <x:c r="P87" s="134" t="str">
        <x:v>validation</x:v>
      </x:c>
      <x:c r="Q87" s="134" t="str">
        <x:v>synthetic_scientific</x:v>
      </x:c>
      <x:c r="R87" s="135" t="str">
        <x:v>BLENKIR_V6_SYNTH_20260924</x:v>
      </x:c>
    </x:row>
    <x:row r="88" ht="32" customHeight="1">
      <x:c r="A88" s="133" t="str">
        <x:v>EST-0048</x:v>
      </x:c>
      <x:c r="B88" s="134" t="str">
        <x:v>EST-0048-T2</x:v>
      </x:c>
      <x:c r="C88" s="134" t="str">
        <x:v>2026-09-21</x:v>
      </x:c>
      <x:c r="D88" s="134" t="str">
        <x:v>2026-12-15</x:v>
      </x:c>
      <x:c r="E88" s="134" t="n">
        <x:v>2</x:v>
      </x:c>
      <x:c r="F88" s="134" t="str">
        <x:v>2A</x:v>
      </x:c>
      <x:c r="G88" s="140" t="n">
        <x:v>13.53</x:v>
      </x:c>
      <x:c r="H88" s="140" t="n">
        <x:v>0</x:v>
      </x:c>
      <x:c r="I88" s="140" t="n">
        <x:v>96.2</x:v>
      </x:c>
      <x:c r="J88" s="140" t="n">
        <x:v>5.91</x:v>
      </x:c>
      <x:c r="K88" s="140" t="n">
        <x:v>12.24</x:v>
      </x:c>
      <x:c r="L88" s="140" t="n">
        <x:v>14</x:v>
      </x:c>
      <x:c r="M88" s="140" t="n">
        <x:v>11</x:v>
      </x:c>
      <x:c r="N88" s="134" t="n">
        <x:v>1</x:v>
      </x:c>
      <x:c r="O88" s="134" t="str">
        <x:v>deserta</x:v>
      </x:c>
      <x:c r="P88" s="134" t="str">
        <x:v>validation</x:v>
      </x:c>
      <x:c r="Q88" s="134" t="str">
        <x:v>synthetic_scientific</x:v>
      </x:c>
      <x:c r="R88" s="135" t="str">
        <x:v>BLENKIR_V6_SYNTH_20260924</x:v>
      </x:c>
    </x:row>
    <x:row r="89" ht="32" customHeight="1">
      <x:c r="A89" s="133" t="str">
        <x:v>EST-0049</x:v>
      </x:c>
      <x:c r="B89" s="134" t="str">
        <x:v>EST-0049-T1</x:v>
      </x:c>
      <x:c r="C89" s="134" t="str">
        <x:v>2026-07-31</x:v>
      </x:c>
      <x:c r="D89" s="134" t="str">
        <x:v>2026-12-15</x:v>
      </x:c>
      <x:c r="E89" s="134" t="n">
        <x:v>2</x:v>
      </x:c>
      <x:c r="F89" s="134" t="str">
        <x:v>2A</x:v>
      </x:c>
      <x:c r="G89" s="140" t="n">
        <x:v>17.33</x:v>
      </x:c>
      <x:c r="H89" s="140" t="n">
        <x:v>0</x:v>
      </x:c>
      <x:c r="I89" s="140" t="n">
        <x:v>88.08</x:v>
      </x:c>
      <x:c r="J89" s="140" t="n">
        <x:v>5.65</x:v>
      </x:c>
      <x:c r="K89" s="140" t="n">
        <x:v>11.97</x:v>
      </x:c>
      <x:c r="L89" s="140" t="n">
        <x:v>13</x:v>
      </x:c>
      <x:c r="M89" s="140" t="n">
        <x:v>12</x:v>
      </x:c>
      <x:c r="N89" s="134" t="n">
        <x:v>1</x:v>
      </x:c>
      <x:c r="O89" s="134" t="str">
        <x:v>deserta</x:v>
      </x:c>
      <x:c r="P89" s="134" t="str">
        <x:v>holdout</x:v>
      </x:c>
      <x:c r="Q89" s="134" t="str">
        <x:v>synthetic_scientific</x:v>
      </x:c>
      <x:c r="R89" s="135" t="str">
        <x:v>BLENKIR_V6_SYNTH_20260924</x:v>
      </x:c>
    </x:row>
    <x:row r="90" ht="32" customHeight="1">
      <x:c r="A90" s="133" t="str">
        <x:v>EST-0049</x:v>
      </x:c>
      <x:c r="B90" s="134" t="str">
        <x:v>EST-0049-T2</x:v>
      </x:c>
      <x:c r="C90" s="134" t="str">
        <x:v>2026-09-21</x:v>
      </x:c>
      <x:c r="D90" s="134" t="str">
        <x:v>2026-12-15</x:v>
      </x:c>
      <x:c r="E90" s="134" t="n">
        <x:v>2</x:v>
      </x:c>
      <x:c r="F90" s="134" t="str">
        <x:v>2A</x:v>
      </x:c>
      <x:c r="G90" s="140" t="n">
        <x:v>15.78</x:v>
      </x:c>
      <x:c r="H90" s="140" t="n">
        <x:v>0</x:v>
      </x:c>
      <x:c r="I90" s="140" t="n">
        <x:v>90.14</x:v>
      </x:c>
      <x:c r="J90" s="140" t="n">
        <x:v>6.5</x:v>
      </x:c>
      <x:c r="K90" s="140" t="n">
        <x:v>11.72</x:v>
      </x:c>
      <x:c r="L90" s="140" t="n">
        <x:v>12</x:v>
      </x:c>
      <x:c r="M90" s="140" t="n">
        <x:v>10</x:v>
      </x:c>
      <x:c r="N90" s="134" t="n">
        <x:v>1</x:v>
      </x:c>
      <x:c r="O90" s="134" t="str">
        <x:v>deserta</x:v>
      </x:c>
      <x:c r="P90" s="134" t="str">
        <x:v>holdout</x:v>
      </x:c>
      <x:c r="Q90" s="134" t="str">
        <x:v>synthetic_scientific</x:v>
      </x:c>
      <x:c r="R90" s="135" t="str">
        <x:v>BLENKIR_V6_SYNTH_20260924</x:v>
      </x:c>
    </x:row>
    <x:row r="91" ht="32" customHeight="1">
      <x:c r="A91" s="133" t="str">
        <x:v>EST-0050</x:v>
      </x:c>
      <x:c r="B91" s="134" t="str">
        <x:v>EST-0050-T1</x:v>
      </x:c>
      <x:c r="C91" s="134" t="str">
        <x:v>2026-07-31</x:v>
      </x:c>
      <x:c r="D91" s="134" t="str">
        <x:v>2026-12-15</x:v>
      </x:c>
      <x:c r="E91" s="134" t="n">
        <x:v>2</x:v>
      </x:c>
      <x:c r="F91" s="134" t="str">
        <x:v>2A</x:v>
      </x:c>
      <x:c r="G91" s="140" t="n">
        <x:v>13.49</x:v>
      </x:c>
      <x:c r="H91" s="140" t="n">
        <x:v>0</x:v>
      </x:c>
      <x:c r="I91" s="140" t="n">
        <x:v>97.76</x:v>
      </x:c>
      <x:c r="J91" s="140" t="n">
        <x:v>8.41</x:v>
      </x:c>
      <x:c r="K91" s="140" t="n">
        <x:v>14.56</x:v>
      </x:c>
      <x:c r="L91" s="140" t="n">
        <x:v>18</x:v>
      </x:c>
      <x:c r="M91" s="140" t="n">
        <x:v>9</x:v>
      </x:c>
      <x:c r="N91" s="134" t="n">
        <x:v>0</x:v>
      </x:c>
      <x:c r="O91" s="134" t="str">
        <x:v>permanece</x:v>
      </x:c>
      <x:c r="P91" s="134" t="str">
        <x:v>train</x:v>
      </x:c>
      <x:c r="Q91" s="134" t="str">
        <x:v>synthetic_scientific</x:v>
      </x:c>
      <x:c r="R91" s="135" t="str">
        <x:v>BLENKIR_V6_SYNTH_20260924</x:v>
      </x:c>
    </x:row>
    <x:row r="92" ht="32" customHeight="1">
      <x:c r="A92" s="133" t="str">
        <x:v>EST-0050</x:v>
      </x:c>
      <x:c r="B92" s="134" t="str">
        <x:v>EST-0050-T2</x:v>
      </x:c>
      <x:c r="C92" s="134" t="str">
        <x:v>2026-09-21</x:v>
      </x:c>
      <x:c r="D92" s="134" t="str">
        <x:v>2026-12-15</x:v>
      </x:c>
      <x:c r="E92" s="134" t="n">
        <x:v>2</x:v>
      </x:c>
      <x:c r="F92" s="134" t="str">
        <x:v>2A</x:v>
      </x:c>
      <x:c r="G92" s="140" t="n">
        <x:v>13.48</x:v>
      </x:c>
      <x:c r="H92" s="140" t="n">
        <x:v>0</x:v>
      </x:c>
      <x:c r="I92" s="140" t="n">
        <x:v>95.21</x:v>
      </x:c>
      <x:c r="J92" s="140" t="n">
        <x:v>7.77</x:v>
      </x:c>
      <x:c r="K92" s="140" t="n">
        <x:v>13.96</x:v>
      </x:c>
      <x:c r="L92" s="140" t="n">
        <x:v>15</x:v>
      </x:c>
      <x:c r="M92" s="140" t="n">
        <x:v>9</x:v>
      </x:c>
      <x:c r="N92" s="134" t="n">
        <x:v>0</x:v>
      </x:c>
      <x:c r="O92" s="134" t="str">
        <x:v>permanece</x:v>
      </x:c>
      <x:c r="P92" s="134" t="str">
        <x:v>train</x:v>
      </x:c>
      <x:c r="Q92" s="134" t="str">
        <x:v>synthetic_scientific</x:v>
      </x:c>
      <x:c r="R92" s="135" t="str">
        <x:v>BLENKIR_V6_SYNTH_20260924</x:v>
      </x:c>
    </x:row>
    <x:row r="93" ht="32" customHeight="1">
      <x:c r="A93" s="133" t="str">
        <x:v>EST-0051</x:v>
      </x:c>
      <x:c r="B93" s="134" t="str">
        <x:v>EST-0051-T1</x:v>
      </x:c>
      <x:c r="C93" s="134" t="str">
        <x:v>2026-07-31</x:v>
      </x:c>
      <x:c r="D93" s="134" t="str">
        <x:v>2026-12-15</x:v>
      </x:c>
      <x:c r="E93" s="134" t="n">
        <x:v>2</x:v>
      </x:c>
      <x:c r="F93" s="134" t="str">
        <x:v>2A</x:v>
      </x:c>
      <x:c r="G93" s="140" t="n">
        <x:v>14.51</x:v>
      </x:c>
      <x:c r="H93" s="140" t="n">
        <x:v>0</x:v>
      </x:c>
      <x:c r="I93" s="140" t="n">
        <x:v>94.9</x:v>
      </x:c>
      <x:c r="J93" s="140" t="n">
        <x:v>5.99</x:v>
      </x:c>
      <x:c r="K93" s="140" t="n">
        <x:v>8.07</x:v>
      </x:c>
      <x:c r="L93" s="140" t="n">
        <x:v>11</x:v>
      </x:c>
      <x:c r="M93" s="140" t="n">
        <x:v>8</x:v>
      </x:c>
      <x:c r="N93" s="134" t="n">
        <x:v>0</x:v>
      </x:c>
      <x:c r="O93" s="134" t="str">
        <x:v>permanece</x:v>
      </x:c>
      <x:c r="P93" s="134" t="str">
        <x:v>train</x:v>
      </x:c>
      <x:c r="Q93" s="134" t="str">
        <x:v>synthetic_scientific</x:v>
      </x:c>
      <x:c r="R93" s="135" t="str">
        <x:v>BLENKIR_V6_SYNTH_20260924</x:v>
      </x:c>
    </x:row>
    <x:row r="94" ht="32" customHeight="1">
      <x:c r="A94" s="133" t="str">
        <x:v>EST-0051</x:v>
      </x:c>
      <x:c r="B94" s="134" t="str">
        <x:v>EST-0051-T2</x:v>
      </x:c>
      <x:c r="C94" s="134" t="str">
        <x:v>2026-09-21</x:v>
      </x:c>
      <x:c r="D94" s="134" t="str">
        <x:v>2026-12-15</x:v>
      </x:c>
      <x:c r="E94" s="134" t="n">
        <x:v>2</x:v>
      </x:c>
      <x:c r="F94" s="134" t="str">
        <x:v>2A</x:v>
      </x:c>
      <x:c r="G94" s="140" t="n">
        <x:v>13.67</x:v>
      </x:c>
      <x:c r="H94" s="140" t="n">
        <x:v>0</x:v>
      </x:c>
      <x:c r="I94" s="140" t="n">
        <x:v>96.08</x:v>
      </x:c>
      <x:c r="J94" s="140" t="n">
        <x:v>6.01</x:v>
      </x:c>
      <x:c r="K94" s="140" t="n">
        <x:v>8.18</x:v>
      </x:c>
      <x:c r="L94" s="140" t="n">
        <x:v>11</x:v>
      </x:c>
      <x:c r="M94" s="140" t="n">
        <x:v>9</x:v>
      </x:c>
      <x:c r="N94" s="134" t="n">
        <x:v>0</x:v>
      </x:c>
      <x:c r="O94" s="134" t="str">
        <x:v>permanece</x:v>
      </x:c>
      <x:c r="P94" s="134" t="str">
        <x:v>train</x:v>
      </x:c>
      <x:c r="Q94" s="134" t="str">
        <x:v>synthetic_scientific</x:v>
      </x:c>
      <x:c r="R94" s="135" t="str">
        <x:v>BLENKIR_V6_SYNTH_20260924</x:v>
      </x:c>
    </x:row>
    <x:row r="95" ht="32" customHeight="1">
      <x:c r="A95" s="133" t="str">
        <x:v>EST-0052</x:v>
      </x:c>
      <x:c r="B95" s="134" t="str">
        <x:v>EST-0052-T1</x:v>
      </x:c>
      <x:c r="C95" s="134" t="str">
        <x:v>2026-07-31</x:v>
      </x:c>
      <x:c r="D95" s="134" t="str">
        <x:v>2026-12-15</x:v>
      </x:c>
      <x:c r="E95" s="134" t="n">
        <x:v>2</x:v>
      </x:c>
      <x:c r="F95" s="134" t="str">
        <x:v>2A</x:v>
      </x:c>
      <x:c r="G95" s="140" t="n">
        <x:v>15.41</x:v>
      </x:c>
      <x:c r="H95" s="140" t="n">
        <x:v>0</x:v>
      </x:c>
      <x:c r="I95" s="140" t="n">
        <x:v>98.18</x:v>
      </x:c>
      <x:c r="J95" s="140" t="n">
        <x:v>5.36</x:v>
      </x:c>
      <x:c r="K95" s="140" t="n">
        <x:v>10.02</x:v>
      </x:c>
      <x:c r="L95" s="140" t="n">
        <x:v>12</x:v>
      </x:c>
      <x:c r="M95" s="140" t="n">
        <x:v>10</x:v>
      </x:c>
      <x:c r="N95" s="134" t="n">
        <x:v>1</x:v>
      </x:c>
      <x:c r="O95" s="134" t="str">
        <x:v>deserta</x:v>
      </x:c>
      <x:c r="P95" s="134" t="str">
        <x:v>train</x:v>
      </x:c>
      <x:c r="Q95" s="134" t="str">
        <x:v>synthetic_scientific</x:v>
      </x:c>
      <x:c r="R95" s="135" t="str">
        <x:v>BLENKIR_V6_SYNTH_20260924</x:v>
      </x:c>
    </x:row>
    <x:row r="96" ht="32" customHeight="1">
      <x:c r="A96" s="133" t="str">
        <x:v>EST-0052</x:v>
      </x:c>
      <x:c r="B96" s="134" t="str">
        <x:v>EST-0052-T2</x:v>
      </x:c>
      <x:c r="C96" s="134" t="str">
        <x:v>2026-09-21</x:v>
      </x:c>
      <x:c r="D96" s="134" t="str">
        <x:v>2026-12-15</x:v>
      </x:c>
      <x:c r="E96" s="134" t="n">
        <x:v>2</x:v>
      </x:c>
      <x:c r="F96" s="134" t="str">
        <x:v>2A</x:v>
      </x:c>
      <x:c r="G96" s="140" t="n">
        <x:v>14.36</x:v>
      </x:c>
      <x:c r="H96" s="140" t="n">
        <x:v>0</x:v>
      </x:c>
      <x:c r="I96" s="140" t="n">
        <x:v>95.74</x:v>
      </x:c>
      <x:c r="J96" s="140" t="n">
        <x:v>4.59</x:v>
      </x:c>
      <x:c r="K96" s="140" t="n">
        <x:v>7.14</x:v>
      </x:c>
      <x:c r="L96" s="140" t="n">
        <x:v>10</x:v>
      </x:c>
      <x:c r="M96" s="140" t="n">
        <x:v>8</x:v>
      </x:c>
      <x:c r="N96" s="134" t="n">
        <x:v>1</x:v>
      </x:c>
      <x:c r="O96" s="134" t="str">
        <x:v>deserta</x:v>
      </x:c>
      <x:c r="P96" s="134" t="str">
        <x:v>train</x:v>
      </x:c>
      <x:c r="Q96" s="134" t="str">
        <x:v>synthetic_scientific</x:v>
      </x:c>
      <x:c r="R96" s="135" t="str">
        <x:v>BLENKIR_V6_SYNTH_20260924</x:v>
      </x:c>
    </x:row>
    <x:row r="97" ht="32" customHeight="1">
      <x:c r="A97" s="133" t="str">
        <x:v>EST-0053</x:v>
      </x:c>
      <x:c r="B97" s="134" t="str">
        <x:v>EST-0053-T1</x:v>
      </x:c>
      <x:c r="C97" s="134" t="str">
        <x:v>2026-07-31</x:v>
      </x:c>
      <x:c r="D97" s="134" t="str">
        <x:v>2026-12-15</x:v>
      </x:c>
      <x:c r="E97" s="134" t="n">
        <x:v>2</x:v>
      </x:c>
      <x:c r="F97" s="134" t="str">
        <x:v>2A</x:v>
      </x:c>
      <x:c r="G97" s="140" t="n">
        <x:v>14.24</x:v>
      </x:c>
      <x:c r="H97" s="140" t="n">
        <x:v>0</x:v>
      </x:c>
      <x:c r="I97" s="140" t="n">
        <x:v>91.17</x:v>
      </x:c>
      <x:c r="J97" s="140" t="n">
        <x:v>4.92</x:v>
      </x:c>
      <x:c r="K97" s="140" t="n">
        <x:v>7.97</x:v>
      </x:c>
      <x:c r="L97" s="140" t="n">
        <x:v>13</x:v>
      </x:c>
      <x:c r="M97" s="140" t="n">
        <x:v>10</x:v>
      </x:c>
      <x:c r="N97" s="134" t="n">
        <x:v>1</x:v>
      </x:c>
      <x:c r="O97" s="134" t="str">
        <x:v>deserta</x:v>
      </x:c>
      <x:c r="P97" s="134" t="str">
        <x:v>train</x:v>
      </x:c>
      <x:c r="Q97" s="134" t="str">
        <x:v>synthetic_scientific</x:v>
      </x:c>
      <x:c r="R97" s="135" t="str">
        <x:v>BLENKIR_V6_SYNTH_20260924</x:v>
      </x:c>
    </x:row>
    <x:row r="98" ht="32" customHeight="1">
      <x:c r="A98" s="133" t="str">
        <x:v>EST-0053</x:v>
      </x:c>
      <x:c r="B98" s="134" t="str">
        <x:v>EST-0053-T2</x:v>
      </x:c>
      <x:c r="C98" s="134" t="str">
        <x:v>2026-09-21</x:v>
      </x:c>
      <x:c r="D98" s="134" t="str">
        <x:v>2026-12-15</x:v>
      </x:c>
      <x:c r="E98" s="134" t="n">
        <x:v>2</x:v>
      </x:c>
      <x:c r="F98" s="134" t="str">
        <x:v>2A</x:v>
      </x:c>
      <x:c r="G98" s="140" t="n">
        <x:v>13.23</x:v>
      </x:c>
      <x:c r="H98" s="140" t="n">
        <x:v>0</x:v>
      </x:c>
      <x:c r="I98" s="140" t="n">
        <x:v>92.02</x:v>
      </x:c>
      <x:c r="J98" s="140" t="n">
        <x:v>4.93</x:v>
      </x:c>
      <x:c r="K98" s="140" t="n">
        <x:v>9.45</x:v>
      </x:c>
      <x:c r="L98" s="140" t="n">
        <x:v>11</x:v>
      </x:c>
      <x:c r="M98" s="140" t="n">
        <x:v>9</x:v>
      </x:c>
      <x:c r="N98" s="134" t="n">
        <x:v>1</x:v>
      </x:c>
      <x:c r="O98" s="134" t="str">
        <x:v>deserta</x:v>
      </x:c>
      <x:c r="P98" s="134" t="str">
        <x:v>train</x:v>
      </x:c>
      <x:c r="Q98" s="134" t="str">
        <x:v>synthetic_scientific</x:v>
      </x:c>
      <x:c r="R98" s="135" t="str">
        <x:v>BLENKIR_V6_SYNTH_20260924</x:v>
      </x:c>
    </x:row>
    <x:row r="99" ht="32" customHeight="1">
      <x:c r="A99" s="133" t="str">
        <x:v>EST-0054</x:v>
      </x:c>
      <x:c r="B99" s="134" t="str">
        <x:v>EST-0054-T1</x:v>
      </x:c>
      <x:c r="C99" s="134" t="str">
        <x:v>2026-07-31</x:v>
      </x:c>
      <x:c r="D99" s="134" t="str">
        <x:v>2026-12-15</x:v>
      </x:c>
      <x:c r="E99" s="134" t="n">
        <x:v>2</x:v>
      </x:c>
      <x:c r="F99" s="134" t="str">
        <x:v>2A</x:v>
      </x:c>
      <x:c r="G99" s="140" t="n">
        <x:v>16.8</x:v>
      </x:c>
      <x:c r="H99" s="140" t="n">
        <x:v>0</x:v>
      </x:c>
      <x:c r="I99" s="140" t="n">
        <x:v>99.31</x:v>
      </x:c>
      <x:c r="J99" s="140" t="n">
        <x:v>11.07</x:v>
      </x:c>
      <x:c r="K99" s="140" t="n">
        <x:v>21.28</x:v>
      </x:c>
      <x:c r="L99" s="140" t="n">
        <x:v>16</x:v>
      </x:c>
      <x:c r="M99" s="140" t="n">
        <x:v>16</x:v>
      </x:c>
      <x:c r="N99" s="134" t="n">
        <x:v>0</x:v>
      </x:c>
      <x:c r="O99" s="134" t="str">
        <x:v>permanece</x:v>
      </x:c>
      <x:c r="P99" s="134" t="str">
        <x:v>train</x:v>
      </x:c>
      <x:c r="Q99" s="134" t="str">
        <x:v>synthetic_scientific</x:v>
      </x:c>
      <x:c r="R99" s="135" t="str">
        <x:v>BLENKIR_V6_SYNTH_20260924</x:v>
      </x:c>
    </x:row>
    <x:row r="100" ht="32" customHeight="1">
      <x:c r="A100" s="133" t="str">
        <x:v>EST-0054</x:v>
      </x:c>
      <x:c r="B100" s="134" t="str">
        <x:v>EST-0054-T2</x:v>
      </x:c>
      <x:c r="C100" s="134" t="str">
        <x:v>2026-09-21</x:v>
      </x:c>
      <x:c r="D100" s="134" t="str">
        <x:v>2026-12-15</x:v>
      </x:c>
      <x:c r="E100" s="134" t="n">
        <x:v>2</x:v>
      </x:c>
      <x:c r="F100" s="134" t="str">
        <x:v>2A</x:v>
      </x:c>
      <x:c r="G100" s="140" t="n">
        <x:v>16.84</x:v>
      </x:c>
      <x:c r="H100" s="140" t="n">
        <x:v>0</x:v>
      </x:c>
      <x:c r="I100" s="140" t="n">
        <x:v>99.5</x:v>
      </x:c>
      <x:c r="J100" s="140" t="n">
        <x:v>10.66</x:v>
      </x:c>
      <x:c r="K100" s="140" t="n">
        <x:v>18.25</x:v>
      </x:c>
      <x:c r="L100" s="140" t="n">
        <x:v>16</x:v>
      </x:c>
      <x:c r="M100" s="140" t="n">
        <x:v>14</x:v>
      </x:c>
      <x:c r="N100" s="134" t="n">
        <x:v>0</x:v>
      </x:c>
      <x:c r="O100" s="134" t="str">
        <x:v>permanece</x:v>
      </x:c>
      <x:c r="P100" s="134" t="str">
        <x:v>train</x:v>
      </x:c>
      <x:c r="Q100" s="134" t="str">
        <x:v>synthetic_scientific</x:v>
      </x:c>
      <x:c r="R100" s="135" t="str">
        <x:v>BLENKIR_V6_SYNTH_20260924</x:v>
      </x:c>
    </x:row>
    <x:row r="101" ht="32" customHeight="1">
      <x:c r="A101" s="133" t="str">
        <x:v>EST-0056</x:v>
      </x:c>
      <x:c r="B101" s="134" t="str">
        <x:v>EST-0056-T1</x:v>
      </x:c>
      <x:c r="C101" s="134" t="str">
        <x:v>2026-07-31</x:v>
      </x:c>
      <x:c r="D101" s="134" t="str">
        <x:v>2026-12-15</x:v>
      </x:c>
      <x:c r="E101" s="134" t="n">
        <x:v>2</x:v>
      </x:c>
      <x:c r="F101" s="134" t="str">
        <x:v>2A</x:v>
      </x:c>
      <x:c r="G101" s="140" t="n">
        <x:v>15.38</x:v>
      </x:c>
      <x:c r="H101" s="140" t="n">
        <x:v>0</x:v>
      </x:c>
      <x:c r="I101" s="140" t="n">
        <x:v>99.5</x:v>
      </x:c>
      <x:c r="J101" s="140" t="n">
        <x:v>6.95</x:v>
      </x:c>
      <x:c r="K101" s="140" t="n">
        <x:v>15.76</x:v>
      </x:c>
      <x:c r="L101" s="140" t="n">
        <x:v>14</x:v>
      </x:c>
      <x:c r="M101" s="140" t="n">
        <x:v>8</x:v>
      </x:c>
      <x:c r="N101" s="134" t="n">
        <x:v>0</x:v>
      </x:c>
      <x:c r="O101" s="134" t="str">
        <x:v>permanece</x:v>
      </x:c>
      <x:c r="P101" s="134" t="str">
        <x:v>train</x:v>
      </x:c>
      <x:c r="Q101" s="134" t="str">
        <x:v>synthetic_scientific</x:v>
      </x:c>
      <x:c r="R101" s="135" t="str">
        <x:v>BLENKIR_V6_SYNTH_20260924</x:v>
      </x:c>
    </x:row>
    <x:row r="102" ht="32" customHeight="1">
      <x:c r="A102" s="133" t="str">
        <x:v>EST-0056</x:v>
      </x:c>
      <x:c r="B102" s="134" t="str">
        <x:v>EST-0056-T2</x:v>
      </x:c>
      <x:c r="C102" s="134" t="str">
        <x:v>2026-09-21</x:v>
      </x:c>
      <x:c r="D102" s="134" t="str">
        <x:v>2026-12-15</x:v>
      </x:c>
      <x:c r="E102" s="134" t="n">
        <x:v>2</x:v>
      </x:c>
      <x:c r="F102" s="134" t="str">
        <x:v>2A</x:v>
      </x:c>
      <x:c r="G102" s="140" t="n">
        <x:v>14.99</x:v>
      </x:c>
      <x:c r="H102" s="140" t="n">
        <x:v>0</x:v>
      </x:c>
      <x:c r="I102" s="140" t="n">
        <x:v>99.5</x:v>
      </x:c>
      <x:c r="J102" s="140" t="n">
        <x:v>6.9</x:v>
      </x:c>
      <x:c r="K102" s="140" t="n">
        <x:v>14.89</x:v>
      </x:c>
      <x:c r="L102" s="140" t="n">
        <x:v>15</x:v>
      </x:c>
      <x:c r="M102" s="140" t="n">
        <x:v>9</x:v>
      </x:c>
      <x:c r="N102" s="134" t="n">
        <x:v>0</x:v>
      </x:c>
      <x:c r="O102" s="134" t="str">
        <x:v>permanece</x:v>
      </x:c>
      <x:c r="P102" s="134" t="str">
        <x:v>train</x:v>
      </x:c>
      <x:c r="Q102" s="134" t="str">
        <x:v>synthetic_scientific</x:v>
      </x:c>
      <x:c r="R102" s="135" t="str">
        <x:v>BLENKIR_V6_SYNTH_20260924</x:v>
      </x:c>
    </x:row>
    <x:row r="103" ht="32" customHeight="1">
      <x:c r="A103" s="133" t="str">
        <x:v>EST-0057</x:v>
      </x:c>
      <x:c r="B103" s="134" t="str">
        <x:v>EST-0057-T1</x:v>
      </x:c>
      <x:c r="C103" s="134" t="str">
        <x:v>2026-07-31</x:v>
      </x:c>
      <x:c r="D103" s="134" t="str">
        <x:v>2026-12-15</x:v>
      </x:c>
      <x:c r="E103" s="134" t="n">
        <x:v>2</x:v>
      </x:c>
      <x:c r="F103" s="134" t="str">
        <x:v>2A</x:v>
      </x:c>
      <x:c r="G103" s="140" t="n">
        <x:v>15.91</x:v>
      </x:c>
      <x:c r="H103" s="140" t="n">
        <x:v>0</x:v>
      </x:c>
      <x:c r="I103" s="140" t="n">
        <x:v>85.97</x:v>
      </x:c>
      <x:c r="J103" s="140" t="n">
        <x:v>5.32</x:v>
      </x:c>
      <x:c r="K103" s="140" t="n">
        <x:v>7.67</x:v>
      </x:c>
      <x:c r="L103" s="140" t="n">
        <x:v>11</x:v>
      </x:c>
      <x:c r="M103" s="140" t="n">
        <x:v>11</x:v>
      </x:c>
      <x:c r="N103" s="134" t="n">
        <x:v>1</x:v>
      </x:c>
      <x:c r="O103" s="134" t="str">
        <x:v>deserta</x:v>
      </x:c>
      <x:c r="P103" s="134" t="str">
        <x:v>train</x:v>
      </x:c>
      <x:c r="Q103" s="134" t="str">
        <x:v>synthetic_scientific</x:v>
      </x:c>
      <x:c r="R103" s="135" t="str">
        <x:v>BLENKIR_V6_SYNTH_20260924</x:v>
      </x:c>
    </x:row>
    <x:row r="104" ht="32" customHeight="1">
      <x:c r="A104" s="133" t="str">
        <x:v>EST-0057</x:v>
      </x:c>
      <x:c r="B104" s="134" t="str">
        <x:v>EST-0057-T2</x:v>
      </x:c>
      <x:c r="C104" s="134" t="str">
        <x:v>2026-09-21</x:v>
      </x:c>
      <x:c r="D104" s="134" t="str">
        <x:v>2026-12-15</x:v>
      </x:c>
      <x:c r="E104" s="134" t="n">
        <x:v>2</x:v>
      </x:c>
      <x:c r="F104" s="134" t="str">
        <x:v>2A</x:v>
      </x:c>
      <x:c r="G104" s="140" t="n">
        <x:v>14.86</x:v>
      </x:c>
      <x:c r="H104" s="140" t="n">
        <x:v>0</x:v>
      </x:c>
      <x:c r="I104" s="140" t="n">
        <x:v>85.86</x:v>
      </x:c>
      <x:c r="J104" s="140" t="n">
        <x:v>5.56</x:v>
      </x:c>
      <x:c r="K104" s="140" t="n">
        <x:v>10.28</x:v>
      </x:c>
      <x:c r="L104" s="140" t="n">
        <x:v>11</x:v>
      </x:c>
      <x:c r="M104" s="140" t="n">
        <x:v>9</x:v>
      </x:c>
      <x:c r="N104" s="134" t="n">
        <x:v>1</x:v>
      </x:c>
      <x:c r="O104" s="134" t="str">
        <x:v>deserta</x:v>
      </x:c>
      <x:c r="P104" s="134" t="str">
        <x:v>train</x:v>
      </x:c>
      <x:c r="Q104" s="134" t="str">
        <x:v>synthetic_scientific</x:v>
      </x:c>
      <x:c r="R104" s="135" t="str">
        <x:v>BLENKIR_V6_SYNTH_20260924</x:v>
      </x:c>
    </x:row>
    <x:row r="105" ht="32" customHeight="1">
      <x:c r="A105" s="133" t="str">
        <x:v>EST-0058</x:v>
      </x:c>
      <x:c r="B105" s="134" t="str">
        <x:v>EST-0058-T1</x:v>
      </x:c>
      <x:c r="C105" s="134" t="str">
        <x:v>2026-07-31</x:v>
      </x:c>
      <x:c r="D105" s="134" t="str">
        <x:v>2026-12-15</x:v>
      </x:c>
      <x:c r="E105" s="134" t="n">
        <x:v>2</x:v>
      </x:c>
      <x:c r="F105" s="134" t="str">
        <x:v>2A</x:v>
      </x:c>
      <x:c r="G105" s="140" t="n">
        <x:v>14.93</x:v>
      </x:c>
      <x:c r="H105" s="140" t="n">
        <x:v>0</x:v>
      </x:c>
      <x:c r="I105" s="140" t="n">
        <x:v>94.39</x:v>
      </x:c>
      <x:c r="J105" s="140" t="n">
        <x:v>7</x:v>
      </x:c>
      <x:c r="K105" s="140" t="n">
        <x:v>8.68</x:v>
      </x:c>
      <x:c r="L105" s="140" t="n">
        <x:v>13</x:v>
      </x:c>
      <x:c r="M105" s="140" t="n">
        <x:v>12</x:v>
      </x:c>
      <x:c r="N105" s="134" t="n">
        <x:v>1</x:v>
      </x:c>
      <x:c r="O105" s="134" t="str">
        <x:v>deserta</x:v>
      </x:c>
      <x:c r="P105" s="134" t="str">
        <x:v>validation</x:v>
      </x:c>
      <x:c r="Q105" s="134" t="str">
        <x:v>synthetic_scientific</x:v>
      </x:c>
      <x:c r="R105" s="135" t="str">
        <x:v>BLENKIR_V6_SYNTH_20260924</x:v>
      </x:c>
    </x:row>
    <x:row r="106" ht="32" customHeight="1">
      <x:c r="A106" s="133" t="str">
        <x:v>EST-0058</x:v>
      </x:c>
      <x:c r="B106" s="134" t="str">
        <x:v>EST-0058-T2</x:v>
      </x:c>
      <x:c r="C106" s="134" t="str">
        <x:v>2026-09-21</x:v>
      </x:c>
      <x:c r="D106" s="134" t="str">
        <x:v>2026-12-15</x:v>
      </x:c>
      <x:c r="E106" s="134" t="n">
        <x:v>2</x:v>
      </x:c>
      <x:c r="F106" s="134" t="str">
        <x:v>2A</x:v>
      </x:c>
      <x:c r="G106" s="140" t="n">
        <x:v>13.18</x:v>
      </x:c>
      <x:c r="H106" s="140" t="n">
        <x:v>0</x:v>
      </x:c>
      <x:c r="I106" s="140" t="n">
        <x:v>91.75</x:v>
      </x:c>
      <x:c r="J106" s="140" t="n">
        <x:v>7.92</x:v>
      </x:c>
      <x:c r="K106" s="140" t="n">
        <x:v>13.71</x:v>
      </x:c>
      <x:c r="L106" s="140" t="n">
        <x:v>13</x:v>
      </x:c>
      <x:c r="M106" s="140" t="n">
        <x:v>12</x:v>
      </x:c>
      <x:c r="N106" s="134" t="n">
        <x:v>1</x:v>
      </x:c>
      <x:c r="O106" s="134" t="str">
        <x:v>deserta</x:v>
      </x:c>
      <x:c r="P106" s="134" t="str">
        <x:v>validation</x:v>
      </x:c>
      <x:c r="Q106" s="134" t="str">
        <x:v>synthetic_scientific</x:v>
      </x:c>
      <x:c r="R106" s="135" t="str">
        <x:v>BLENKIR_V6_SYNTH_20260924</x:v>
      </x:c>
    </x:row>
    <x:row r="107" ht="32" customHeight="1">
      <x:c r="A107" s="133" t="str">
        <x:v>EST-0059</x:v>
      </x:c>
      <x:c r="B107" s="134" t="str">
        <x:v>EST-0059-T1</x:v>
      </x:c>
      <x:c r="C107" s="134" t="str">
        <x:v>2026-07-31</x:v>
      </x:c>
      <x:c r="D107" s="134" t="str">
        <x:v>2026-12-15</x:v>
      </x:c>
      <x:c r="E107" s="134" t="n">
        <x:v>2</x:v>
      </x:c>
      <x:c r="F107" s="134" t="str">
        <x:v>2B</x:v>
      </x:c>
      <x:c r="G107" s="140" t="n">
        <x:v>16.68</x:v>
      </x:c>
      <x:c r="H107" s="140" t="n">
        <x:v>0</x:v>
      </x:c>
      <x:c r="I107" s="140" t="n">
        <x:v>93.64</x:v>
      </x:c>
      <x:c r="J107" s="140" t="n">
        <x:v>7.35</x:v>
      </x:c>
      <x:c r="K107" s="140" t="n">
        <x:v>13.38</x:v>
      </x:c>
      <x:c r="L107" s="140" t="n">
        <x:v>19</x:v>
      </x:c>
      <x:c r="M107" s="140" t="n">
        <x:v>12</x:v>
      </x:c>
      <x:c r="N107" s="134" t="n">
        <x:v>0</x:v>
      </x:c>
      <x:c r="O107" s="134" t="str">
        <x:v>permanece</x:v>
      </x:c>
      <x:c r="P107" s="134" t="str">
        <x:v>validation</x:v>
      </x:c>
      <x:c r="Q107" s="134" t="str">
        <x:v>synthetic_scientific</x:v>
      </x:c>
      <x:c r="R107" s="135" t="str">
        <x:v>BLENKIR_V6_SYNTH_20260924</x:v>
      </x:c>
    </x:row>
    <x:row r="108" ht="32" customHeight="1">
      <x:c r="A108" s="133" t="str">
        <x:v>EST-0059</x:v>
      </x:c>
      <x:c r="B108" s="134" t="str">
        <x:v>EST-0059-T2</x:v>
      </x:c>
      <x:c r="C108" s="134" t="str">
        <x:v>2026-09-21</x:v>
      </x:c>
      <x:c r="D108" s="134" t="str">
        <x:v>2026-12-15</x:v>
      </x:c>
      <x:c r="E108" s="134" t="n">
        <x:v>2</x:v>
      </x:c>
      <x:c r="F108" s="134" t="str">
        <x:v>2B</x:v>
      </x:c>
      <x:c r="G108" s="140" t="n">
        <x:v>15.42</x:v>
      </x:c>
      <x:c r="H108" s="140" t="n">
        <x:v>0</x:v>
      </x:c>
      <x:c r="I108" s="140" t="n">
        <x:v>92.05</x:v>
      </x:c>
      <x:c r="J108" s="140" t="n">
        <x:v>7.95</x:v>
      </x:c>
      <x:c r="K108" s="140" t="n">
        <x:v>13.18</x:v>
      </x:c>
      <x:c r="L108" s="140" t="n">
        <x:v>16</x:v>
      </x:c>
      <x:c r="M108" s="140" t="n">
        <x:v>12</x:v>
      </x:c>
      <x:c r="N108" s="134" t="n">
        <x:v>0</x:v>
      </x:c>
      <x:c r="O108" s="134" t="str">
        <x:v>permanece</x:v>
      </x:c>
      <x:c r="P108" s="134" t="str">
        <x:v>validation</x:v>
      </x:c>
      <x:c r="Q108" s="134" t="str">
        <x:v>synthetic_scientific</x:v>
      </x:c>
      <x:c r="R108" s="135" t="str">
        <x:v>BLENKIR_V6_SYNTH_20260924</x:v>
      </x:c>
    </x:row>
    <x:row r="109" ht="32" customHeight="1">
      <x:c r="A109" s="133" t="str">
        <x:v>EST-0060</x:v>
      </x:c>
      <x:c r="B109" s="134" t="str">
        <x:v>EST-0060-T1</x:v>
      </x:c>
      <x:c r="C109" s="134" t="str">
        <x:v>2026-07-31</x:v>
      </x:c>
      <x:c r="D109" s="134" t="str">
        <x:v>2026-12-15</x:v>
      </x:c>
      <x:c r="E109" s="134" t="n">
        <x:v>2</x:v>
      </x:c>
      <x:c r="F109" s="134" t="str">
        <x:v>2B</x:v>
      </x:c>
      <x:c r="G109" s="140" t="n">
        <x:v>16.57</x:v>
      </x:c>
      <x:c r="H109" s="140" t="n">
        <x:v>0</x:v>
      </x:c>
      <x:c r="I109" s="140" t="n">
        <x:v>94.51</x:v>
      </x:c>
      <x:c r="J109" s="140" t="n">
        <x:v>10.54</x:v>
      </x:c>
      <x:c r="K109" s="140" t="n">
        <x:v>17.59</x:v>
      </x:c>
      <x:c r="L109" s="140" t="n">
        <x:v>15</x:v>
      </x:c>
      <x:c r="M109" s="140" t="n">
        <x:v>16</x:v>
      </x:c>
      <x:c r="N109" s="134" t="n">
        <x:v>0</x:v>
      </x:c>
      <x:c r="O109" s="134" t="str">
        <x:v>permanece</x:v>
      </x:c>
      <x:c r="P109" s="134" t="str">
        <x:v>holdout</x:v>
      </x:c>
      <x:c r="Q109" s="134" t="str">
        <x:v>synthetic_scientific</x:v>
      </x:c>
      <x:c r="R109" s="135" t="str">
        <x:v>BLENKIR_V6_SYNTH_20260924</x:v>
      </x:c>
    </x:row>
    <x:row r="110" ht="32" customHeight="1">
      <x:c r="A110" s="133" t="str">
        <x:v>EST-0060</x:v>
      </x:c>
      <x:c r="B110" s="134" t="str">
        <x:v>EST-0060-T2</x:v>
      </x:c>
      <x:c r="C110" s="134" t="str">
        <x:v>2026-09-21</x:v>
      </x:c>
      <x:c r="D110" s="134" t="str">
        <x:v>2026-12-15</x:v>
      </x:c>
      <x:c r="E110" s="134" t="n">
        <x:v>2</x:v>
      </x:c>
      <x:c r="F110" s="134" t="str">
        <x:v>2B</x:v>
      </x:c>
      <x:c r="G110" s="140" t="n">
        <x:v>16.77</x:v>
      </x:c>
      <x:c r="H110" s="140" t="n">
        <x:v>0</x:v>
      </x:c>
      <x:c r="I110" s="140" t="n">
        <x:v>95.85</x:v>
      </x:c>
      <x:c r="J110" s="140" t="n">
        <x:v>9.98</x:v>
      </x:c>
      <x:c r="K110" s="140" t="n">
        <x:v>19.66</x:v>
      </x:c>
      <x:c r="L110" s="140" t="n">
        <x:v>15</x:v>
      </x:c>
      <x:c r="M110" s="140" t="n">
        <x:v>15</x:v>
      </x:c>
      <x:c r="N110" s="134" t="n">
        <x:v>0</x:v>
      </x:c>
      <x:c r="O110" s="134" t="str">
        <x:v>permanece</x:v>
      </x:c>
      <x:c r="P110" s="134" t="str">
        <x:v>holdout</x:v>
      </x:c>
      <x:c r="Q110" s="134" t="str">
        <x:v>synthetic_scientific</x:v>
      </x:c>
      <x:c r="R110" s="135" t="str">
        <x:v>BLENKIR_V6_SYNTH_20260924</x:v>
      </x:c>
    </x:row>
    <x:row r="111" ht="32" customHeight="1">
      <x:c r="A111" s="133" t="str">
        <x:v>EST-0061</x:v>
      </x:c>
      <x:c r="B111" s="134" t="str">
        <x:v>EST-0061-T1</x:v>
      </x:c>
      <x:c r="C111" s="134" t="str">
        <x:v>2026-07-31</x:v>
      </x:c>
      <x:c r="D111" s="134" t="str">
        <x:v>2026-12-15</x:v>
      </x:c>
      <x:c r="E111" s="134" t="n">
        <x:v>2</x:v>
      </x:c>
      <x:c r="F111" s="134" t="str">
        <x:v>2B</x:v>
      </x:c>
      <x:c r="G111" s="140" t="n">
        <x:v>14.16</x:v>
      </x:c>
      <x:c r="H111" s="140" t="n">
        <x:v>0</x:v>
      </x:c>
      <x:c r="I111" s="140" t="n">
        <x:v>95.88</x:v>
      </x:c>
      <x:c r="J111" s="140" t="n">
        <x:v>10.34</x:v>
      </x:c>
      <x:c r="K111" s="140" t="n">
        <x:v>14.48</x:v>
      </x:c>
      <x:c r="L111" s="140" t="n">
        <x:v>16</x:v>
      </x:c>
      <x:c r="M111" s="140" t="n">
        <x:v>13</x:v>
      </x:c>
      <x:c r="N111" s="134" t="n">
        <x:v>0</x:v>
      </x:c>
      <x:c r="O111" s="134" t="str">
        <x:v>permanece</x:v>
      </x:c>
      <x:c r="P111" s="134" t="str">
        <x:v>train</x:v>
      </x:c>
      <x:c r="Q111" s="134" t="str">
        <x:v>synthetic_scientific</x:v>
      </x:c>
      <x:c r="R111" s="135" t="str">
        <x:v>BLENKIR_V6_SYNTH_20260924</x:v>
      </x:c>
    </x:row>
    <x:row r="112" ht="32" customHeight="1">
      <x:c r="A112" s="133" t="str">
        <x:v>EST-0061</x:v>
      </x:c>
      <x:c r="B112" s="134" t="str">
        <x:v>EST-0061-T2</x:v>
      </x:c>
      <x:c r="C112" s="134" t="str">
        <x:v>2026-09-21</x:v>
      </x:c>
      <x:c r="D112" s="134" t="str">
        <x:v>2026-12-15</x:v>
      </x:c>
      <x:c r="E112" s="134" t="n">
        <x:v>2</x:v>
      </x:c>
      <x:c r="F112" s="134" t="str">
        <x:v>2B</x:v>
      </x:c>
      <x:c r="G112" s="140" t="n">
        <x:v>15.04</x:v>
      </x:c>
      <x:c r="H112" s="140" t="n">
        <x:v>0</x:v>
      </x:c>
      <x:c r="I112" s="140" t="n">
        <x:v>96.98</x:v>
      </x:c>
      <x:c r="J112" s="140" t="n">
        <x:v>9.08</x:v>
      </x:c>
      <x:c r="K112" s="140" t="n">
        <x:v>18.44</x:v>
      </x:c>
      <x:c r="L112" s="140" t="n">
        <x:v>16</x:v>
      </x:c>
      <x:c r="M112" s="140" t="n">
        <x:v>13</x:v>
      </x:c>
      <x:c r="N112" s="134" t="n">
        <x:v>0</x:v>
      </x:c>
      <x:c r="O112" s="134" t="str">
        <x:v>permanece</x:v>
      </x:c>
      <x:c r="P112" s="134" t="str">
        <x:v>train</x:v>
      </x:c>
      <x:c r="Q112" s="134" t="str">
        <x:v>synthetic_scientific</x:v>
      </x:c>
      <x:c r="R112" s="135" t="str">
        <x:v>BLENKIR_V6_SYNTH_20260924</x:v>
      </x:c>
    </x:row>
    <x:row r="113" ht="32" customHeight="1">
      <x:c r="A113" s="133" t="str">
        <x:v>EST-0062</x:v>
      </x:c>
      <x:c r="B113" s="134" t="str">
        <x:v>EST-0062-T1</x:v>
      </x:c>
      <x:c r="C113" s="134" t="str">
        <x:v>2026-07-31</x:v>
      </x:c>
      <x:c r="D113" s="134" t="str">
        <x:v>2026-12-15</x:v>
      </x:c>
      <x:c r="E113" s="134" t="n">
        <x:v>2</x:v>
      </x:c>
      <x:c r="F113" s="134" t="str">
        <x:v>2B</x:v>
      </x:c>
      <x:c r="G113" s="140" t="n">
        <x:v>13.69</x:v>
      </x:c>
      <x:c r="H113" s="140" t="n">
        <x:v>0</x:v>
      </x:c>
      <x:c r="I113" s="140" t="n">
        <x:v>86.52</x:v>
      </x:c>
      <x:c r="J113" s="140" t="n">
        <x:v>5.15</x:v>
      </x:c>
      <x:c r="K113" s="140" t="n">
        <x:v>14.21</x:v>
      </x:c>
      <x:c r="L113" s="140" t="n">
        <x:v>14</x:v>
      </x:c>
      <x:c r="M113" s="140" t="n">
        <x:v>9</x:v>
      </x:c>
      <x:c r="N113" s="134" t="n">
        <x:v>0</x:v>
      </x:c>
      <x:c r="O113" s="134" t="str">
        <x:v>permanece</x:v>
      </x:c>
      <x:c r="P113" s="134" t="str">
        <x:v>train</x:v>
      </x:c>
      <x:c r="Q113" s="134" t="str">
        <x:v>synthetic_scientific</x:v>
      </x:c>
      <x:c r="R113" s="135" t="str">
        <x:v>BLENKIR_V6_SYNTH_20260924</x:v>
      </x:c>
    </x:row>
    <x:row r="114" ht="32" customHeight="1">
      <x:c r="A114" s="133" t="str">
        <x:v>EST-0062</x:v>
      </x:c>
      <x:c r="B114" s="134" t="str">
        <x:v>EST-0062-T2</x:v>
      </x:c>
      <x:c r="C114" s="134" t="str">
        <x:v>2026-09-21</x:v>
      </x:c>
      <x:c r="D114" s="134" t="str">
        <x:v>2026-12-15</x:v>
      </x:c>
      <x:c r="E114" s="134" t="n">
        <x:v>2</x:v>
      </x:c>
      <x:c r="F114" s="134" t="str">
        <x:v>2B</x:v>
      </x:c>
      <x:c r="G114" s="140" t="n">
        <x:v>14.46</x:v>
      </x:c>
      <x:c r="H114" s="140" t="n">
        <x:v>0</x:v>
      </x:c>
      <x:c r="I114" s="140" t="n">
        <x:v>89.15</x:v>
      </x:c>
      <x:c r="J114" s="140" t="n">
        <x:v>5.9</x:v>
      </x:c>
      <x:c r="K114" s="140" t="n">
        <x:v>13.29</x:v>
      </x:c>
      <x:c r="L114" s="140" t="n">
        <x:v>12</x:v>
      </x:c>
      <x:c r="M114" s="140" t="n">
        <x:v>11</x:v>
      </x:c>
      <x:c r="N114" s="134" t="n">
        <x:v>0</x:v>
      </x:c>
      <x:c r="O114" s="134" t="str">
        <x:v>permanece</x:v>
      </x:c>
      <x:c r="P114" s="134" t="str">
        <x:v>train</x:v>
      </x:c>
      <x:c r="Q114" s="134" t="str">
        <x:v>synthetic_scientific</x:v>
      </x:c>
      <x:c r="R114" s="135" t="str">
        <x:v>BLENKIR_V6_SYNTH_20260924</x:v>
      </x:c>
    </x:row>
    <x:row r="115" ht="32" customHeight="1">
      <x:c r="A115" s="133" t="str">
        <x:v>EST-0063</x:v>
      </x:c>
      <x:c r="B115" s="134" t="str">
        <x:v>EST-0063-T1</x:v>
      </x:c>
      <x:c r="C115" s="134" t="str">
        <x:v>2026-07-31</x:v>
      </x:c>
      <x:c r="D115" s="134" t="str">
        <x:v>2026-12-15</x:v>
      </x:c>
      <x:c r="E115" s="134" t="n">
        <x:v>2</x:v>
      </x:c>
      <x:c r="F115" s="134" t="str">
        <x:v>2B</x:v>
      </x:c>
      <x:c r="G115" s="140" t="n">
        <x:v>15.72</x:v>
      </x:c>
      <x:c r="H115" s="140" t="n">
        <x:v>0</x:v>
      </x:c>
      <x:c r="I115" s="140" t="n">
        <x:v>97.09</x:v>
      </x:c>
      <x:c r="J115" s="140" t="n">
        <x:v>6.61</x:v>
      </x:c>
      <x:c r="K115" s="140" t="n">
        <x:v>14.1</x:v>
      </x:c>
      <x:c r="L115" s="140" t="n">
        <x:v>14</x:v>
      </x:c>
      <x:c r="M115" s="140" t="n">
        <x:v>9</x:v>
      </x:c>
      <x:c r="N115" s="134" t="n">
        <x:v>0</x:v>
      </x:c>
      <x:c r="O115" s="134" t="str">
        <x:v>permanece</x:v>
      </x:c>
      <x:c r="P115" s="134" t="str">
        <x:v>validation</x:v>
      </x:c>
      <x:c r="Q115" s="134" t="str">
        <x:v>synthetic_scientific</x:v>
      </x:c>
      <x:c r="R115" s="135" t="str">
        <x:v>BLENKIR_V6_SYNTH_20260924</x:v>
      </x:c>
    </x:row>
    <x:row r="116" ht="32" customHeight="1">
      <x:c r="A116" s="133" t="str">
        <x:v>EST-0063</x:v>
      </x:c>
      <x:c r="B116" s="134" t="str">
        <x:v>EST-0063-T2</x:v>
      </x:c>
      <x:c r="C116" s="134" t="str">
        <x:v>2026-09-21</x:v>
      </x:c>
      <x:c r="D116" s="134" t="str">
        <x:v>2026-12-15</x:v>
      </x:c>
      <x:c r="E116" s="134" t="n">
        <x:v>2</x:v>
      </x:c>
      <x:c r="F116" s="134" t="str">
        <x:v>2B</x:v>
      </x:c>
      <x:c r="G116" s="140" t="n">
        <x:v>14.85</x:v>
      </x:c>
      <x:c r="H116" s="140" t="n">
        <x:v>0</x:v>
      </x:c>
      <x:c r="I116" s="140" t="n">
        <x:v>95.4</x:v>
      </x:c>
      <x:c r="J116" s="140" t="n">
        <x:v>6.42</x:v>
      </x:c>
      <x:c r="K116" s="140" t="n">
        <x:v>13.12</x:v>
      </x:c>
      <x:c r="L116" s="140" t="n">
        <x:v>15</x:v>
      </x:c>
      <x:c r="M116" s="140" t="n">
        <x:v>9</x:v>
      </x:c>
      <x:c r="N116" s="134" t="n">
        <x:v>0</x:v>
      </x:c>
      <x:c r="O116" s="134" t="str">
        <x:v>permanece</x:v>
      </x:c>
      <x:c r="P116" s="134" t="str">
        <x:v>validation</x:v>
      </x:c>
      <x:c r="Q116" s="134" t="str">
        <x:v>synthetic_scientific</x:v>
      </x:c>
      <x:c r="R116" s="135" t="str">
        <x:v>BLENKIR_V6_SYNTH_20260924</x:v>
      </x:c>
    </x:row>
    <x:row r="117" ht="32" customHeight="1">
      <x:c r="A117" s="133" t="str">
        <x:v>EST-0065</x:v>
      </x:c>
      <x:c r="B117" s="134" t="str">
        <x:v>EST-0065-T1</x:v>
      </x:c>
      <x:c r="C117" s="134" t="str">
        <x:v>2026-07-31</x:v>
      </x:c>
      <x:c r="D117" s="134" t="str">
        <x:v>2026-12-15</x:v>
      </x:c>
      <x:c r="E117" s="134" t="n">
        <x:v>2</x:v>
      </x:c>
      <x:c r="F117" s="134" t="str">
        <x:v>2B</x:v>
      </x:c>
      <x:c r="G117" s="140" t="n">
        <x:v>12.02</x:v>
      </x:c>
      <x:c r="H117" s="140" t="n">
        <x:v>0</x:v>
      </x:c>
      <x:c r="I117" s="140" t="n">
        <x:v>86.81</x:v>
      </x:c>
      <x:c r="J117" s="140" t="n">
        <x:v>8.92</x:v>
      </x:c>
      <x:c r="K117" s="140" t="n">
        <x:v>23.4</x:v>
      </x:c>
      <x:c r="L117" s="140" t="n">
        <x:v>18</x:v>
      </x:c>
      <x:c r="M117" s="140" t="n">
        <x:v>16</x:v>
      </x:c>
      <x:c r="N117" s="134" t="n">
        <x:v>0</x:v>
      </x:c>
      <x:c r="O117" s="134" t="str">
        <x:v>permanece</x:v>
      </x:c>
      <x:c r="P117" s="134" t="str">
        <x:v>holdout</x:v>
      </x:c>
      <x:c r="Q117" s="134" t="str">
        <x:v>synthetic_scientific</x:v>
      </x:c>
      <x:c r="R117" s="135" t="str">
        <x:v>BLENKIR_V6_SYNTH_20260924</x:v>
      </x:c>
    </x:row>
    <x:row r="118" ht="32" customHeight="1">
      <x:c r="A118" s="133" t="str">
        <x:v>EST-0065</x:v>
      </x:c>
      <x:c r="B118" s="134" t="str">
        <x:v>EST-0065-T2</x:v>
      </x:c>
      <x:c r="C118" s="134" t="str">
        <x:v>2026-09-21</x:v>
      </x:c>
      <x:c r="D118" s="134" t="str">
        <x:v>2026-12-15</x:v>
      </x:c>
      <x:c r="E118" s="134" t="n">
        <x:v>2</x:v>
      </x:c>
      <x:c r="F118" s="134" t="str">
        <x:v>2B</x:v>
      </x:c>
      <x:c r="G118" s="140" t="n">
        <x:v>11.11</x:v>
      </x:c>
      <x:c r="H118" s="140" t="n">
        <x:v>0</x:v>
      </x:c>
      <x:c r="I118" s="140" t="n">
        <x:v>86.68</x:v>
      </x:c>
      <x:c r="J118" s="140" t="n">
        <x:v>8.8</x:v>
      </x:c>
      <x:c r="K118" s="140" t="n">
        <x:v>19.5</x:v>
      </x:c>
      <x:c r="L118" s="140" t="n">
        <x:v>17</x:v>
      </x:c>
      <x:c r="M118" s="140" t="n">
        <x:v>14</x:v>
      </x:c>
      <x:c r="N118" s="134" t="n">
        <x:v>0</x:v>
      </x:c>
      <x:c r="O118" s="134" t="str">
        <x:v>permanece</x:v>
      </x:c>
      <x:c r="P118" s="134" t="str">
        <x:v>holdout</x:v>
      </x:c>
      <x:c r="Q118" s="134" t="str">
        <x:v>synthetic_scientific</x:v>
      </x:c>
      <x:c r="R118" s="135" t="str">
        <x:v>BLENKIR_V6_SYNTH_20260924</x:v>
      </x:c>
    </x:row>
    <x:row r="119" ht="32" customHeight="1">
      <x:c r="A119" s="133" t="str">
        <x:v>EST-0066</x:v>
      </x:c>
      <x:c r="B119" s="134" t="str">
        <x:v>EST-0066-T1</x:v>
      </x:c>
      <x:c r="C119" s="134" t="str">
        <x:v>2026-07-31</x:v>
      </x:c>
      <x:c r="D119" s="134" t="str">
        <x:v>2026-12-15</x:v>
      </x:c>
      <x:c r="E119" s="134" t="n">
        <x:v>2</x:v>
      </x:c>
      <x:c r="F119" s="134" t="str">
        <x:v>2B</x:v>
      </x:c>
      <x:c r="G119" s="140" t="n">
        <x:v>16.07</x:v>
      </x:c>
      <x:c r="H119" s="140" t="n">
        <x:v>0</x:v>
      </x:c>
      <x:c r="I119" s="140" t="n">
        <x:v>99.01</x:v>
      </x:c>
      <x:c r="J119" s="140" t="n">
        <x:v>8.49</x:v>
      </x:c>
      <x:c r="K119" s="140" t="n">
        <x:v>19.49</x:v>
      </x:c>
      <x:c r="L119" s="140" t="n">
        <x:v>21</x:v>
      </x:c>
      <x:c r="M119" s="140" t="n">
        <x:v>13</x:v>
      </x:c>
      <x:c r="N119" s="134" t="n">
        <x:v>0</x:v>
      </x:c>
      <x:c r="O119" s="134" t="str">
        <x:v>permanece</x:v>
      </x:c>
      <x:c r="P119" s="134" t="str">
        <x:v>train</x:v>
      </x:c>
      <x:c r="Q119" s="134" t="str">
        <x:v>synthetic_scientific</x:v>
      </x:c>
      <x:c r="R119" s="135" t="str">
        <x:v>BLENKIR_V6_SYNTH_20260924</x:v>
      </x:c>
    </x:row>
    <x:row r="120" ht="32" customHeight="1">
      <x:c r="A120" s="133" t="str">
        <x:v>EST-0066</x:v>
      </x:c>
      <x:c r="B120" s="134" t="str">
        <x:v>EST-0066-T2</x:v>
      </x:c>
      <x:c r="C120" s="134" t="str">
        <x:v>2026-09-21</x:v>
      </x:c>
      <x:c r="D120" s="134" t="str">
        <x:v>2026-12-15</x:v>
      </x:c>
      <x:c r="E120" s="134" t="n">
        <x:v>2</x:v>
      </x:c>
      <x:c r="F120" s="134" t="str">
        <x:v>2B</x:v>
      </x:c>
      <x:c r="G120" s="140" t="n">
        <x:v>16.07</x:v>
      </x:c>
      <x:c r="H120" s="140" t="n">
        <x:v>0</x:v>
      </x:c>
      <x:c r="I120" s="140" t="n">
        <x:v>96.68</x:v>
      </x:c>
      <x:c r="J120" s="140" t="n">
        <x:v>9.45</x:v>
      </x:c>
      <x:c r="K120" s="140" t="n">
        <x:v>20.99</x:v>
      </x:c>
      <x:c r="L120" s="140" t="n">
        <x:v>18</x:v>
      </x:c>
      <x:c r="M120" s="140" t="n">
        <x:v>12</x:v>
      </x:c>
      <x:c r="N120" s="134" t="n">
        <x:v>0</x:v>
      </x:c>
      <x:c r="O120" s="134" t="str">
        <x:v>permanece</x:v>
      </x:c>
      <x:c r="P120" s="134" t="str">
        <x:v>train</x:v>
      </x:c>
      <x:c r="Q120" s="134" t="str">
        <x:v>synthetic_scientific</x:v>
      </x:c>
      <x:c r="R120" s="135" t="str">
        <x:v>BLENKIR_V6_SYNTH_20260924</x:v>
      </x:c>
    </x:row>
    <x:row r="121" ht="32" customHeight="1">
      <x:c r="A121" s="133" t="str">
        <x:v>EST-0067</x:v>
      </x:c>
      <x:c r="B121" s="134" t="str">
        <x:v>EST-0067-T1</x:v>
      </x:c>
      <x:c r="C121" s="134" t="str">
        <x:v>2026-07-31</x:v>
      </x:c>
      <x:c r="D121" s="134" t="str">
        <x:v>2026-12-15</x:v>
      </x:c>
      <x:c r="E121" s="134" t="n">
        <x:v>2</x:v>
      </x:c>
      <x:c r="F121" s="134" t="str">
        <x:v>2B</x:v>
      </x:c>
      <x:c r="G121" s="140" t="n">
        <x:v>13.18</x:v>
      </x:c>
      <x:c r="H121" s="140" t="n">
        <x:v>0</x:v>
      </x:c>
      <x:c r="I121" s="140" t="n">
        <x:v>99.5</x:v>
      </x:c>
      <x:c r="J121" s="140" t="n">
        <x:v>7.32</x:v>
      </x:c>
      <x:c r="K121" s="140" t="n">
        <x:v>13.37</x:v>
      </x:c>
      <x:c r="L121" s="140" t="n">
        <x:v>13</x:v>
      </x:c>
      <x:c r="M121" s="140" t="n">
        <x:v>11</x:v>
      </x:c>
      <x:c r="N121" s="134" t="n">
        <x:v>0</x:v>
      </x:c>
      <x:c r="O121" s="134" t="str">
        <x:v>permanece</x:v>
      </x:c>
      <x:c r="P121" s="134" t="str">
        <x:v>train</x:v>
      </x:c>
      <x:c r="Q121" s="134" t="str">
        <x:v>synthetic_scientific</x:v>
      </x:c>
      <x:c r="R121" s="135" t="str">
        <x:v>BLENKIR_V6_SYNTH_20260924</x:v>
      </x:c>
    </x:row>
    <x:row r="122" ht="32" customHeight="1">
      <x:c r="A122" s="133" t="str">
        <x:v>EST-0067</x:v>
      </x:c>
      <x:c r="B122" s="134" t="str">
        <x:v>EST-0067-T2</x:v>
      </x:c>
      <x:c r="C122" s="134" t="str">
        <x:v>2026-09-21</x:v>
      </x:c>
      <x:c r="D122" s="134" t="str">
        <x:v>2026-12-15</x:v>
      </x:c>
      <x:c r="E122" s="134" t="n">
        <x:v>2</x:v>
      </x:c>
      <x:c r="F122" s="134" t="str">
        <x:v>2B</x:v>
      </x:c>
      <x:c r="G122" s="140" t="n">
        <x:v>12.75</x:v>
      </x:c>
      <x:c r="H122" s="140" t="n">
        <x:v>0</x:v>
      </x:c>
      <x:c r="I122" s="140" t="n">
        <x:v>99.5</x:v>
      </x:c>
      <x:c r="J122" s="140" t="n">
        <x:v>6.78</x:v>
      </x:c>
      <x:c r="K122" s="140" t="n">
        <x:v>12.46</x:v>
      </x:c>
      <x:c r="L122" s="140" t="n">
        <x:v>12</x:v>
      </x:c>
      <x:c r="M122" s="140" t="n">
        <x:v>10</x:v>
      </x:c>
      <x:c r="N122" s="134" t="n">
        <x:v>0</x:v>
      </x:c>
      <x:c r="O122" s="134" t="str">
        <x:v>permanece</x:v>
      </x:c>
      <x:c r="P122" s="134" t="str">
        <x:v>train</x:v>
      </x:c>
      <x:c r="Q122" s="134" t="str">
        <x:v>synthetic_scientific</x:v>
      </x:c>
      <x:c r="R122" s="135" t="str">
        <x:v>BLENKIR_V6_SYNTH_20260924</x:v>
      </x:c>
    </x:row>
    <x:row r="123" ht="32" customHeight="1">
      <x:c r="A123" s="133" t="str">
        <x:v>EST-0068</x:v>
      </x:c>
      <x:c r="B123" s="134" t="str">
        <x:v>EST-0068-T1</x:v>
      </x:c>
      <x:c r="C123" s="134" t="str">
        <x:v>2026-07-31</x:v>
      </x:c>
      <x:c r="D123" s="134" t="str">
        <x:v>2026-12-15</x:v>
      </x:c>
      <x:c r="E123" s="134" t="n">
        <x:v>2</x:v>
      </x:c>
      <x:c r="F123" s="134" t="str">
        <x:v>2B</x:v>
      </x:c>
      <x:c r="G123" s="140" t="n">
        <x:v>15.61</x:v>
      </x:c>
      <x:c r="H123" s="140" t="n">
        <x:v>0</x:v>
      </x:c>
      <x:c r="I123" s="140" t="n">
        <x:v>89.46</x:v>
      </x:c>
      <x:c r="J123" s="140" t="n">
        <x:v>6.58</x:v>
      </x:c>
      <x:c r="K123" s="140" t="n">
        <x:v>12.71</x:v>
      </x:c>
      <x:c r="L123" s="140" t="n">
        <x:v>12</x:v>
      </x:c>
      <x:c r="M123" s="140" t="n">
        <x:v>12</x:v>
      </x:c>
      <x:c r="N123" s="134" t="n">
        <x:v>0</x:v>
      </x:c>
      <x:c r="O123" s="134" t="str">
        <x:v>permanece</x:v>
      </x:c>
      <x:c r="P123" s="134" t="str">
        <x:v>holdout</x:v>
      </x:c>
      <x:c r="Q123" s="134" t="str">
        <x:v>synthetic_scientific</x:v>
      </x:c>
      <x:c r="R123" s="135" t="str">
        <x:v>BLENKIR_V6_SYNTH_20260924</x:v>
      </x:c>
    </x:row>
    <x:row r="124" ht="32" customHeight="1">
      <x:c r="A124" s="133" t="str">
        <x:v>EST-0068</x:v>
      </x:c>
      <x:c r="B124" s="134" t="str">
        <x:v>EST-0068-T2</x:v>
      </x:c>
      <x:c r="C124" s="134" t="str">
        <x:v>2026-09-21</x:v>
      </x:c>
      <x:c r="D124" s="134" t="str">
        <x:v>2026-12-15</x:v>
      </x:c>
      <x:c r="E124" s="134" t="n">
        <x:v>2</x:v>
      </x:c>
      <x:c r="F124" s="134" t="str">
        <x:v>2B</x:v>
      </x:c>
      <x:c r="G124" s="140" t="n">
        <x:v>15.23</x:v>
      </x:c>
      <x:c r="H124" s="140" t="n">
        <x:v>0</x:v>
      </x:c>
      <x:c r="I124" s="140" t="n">
        <x:v>89.82</x:v>
      </x:c>
      <x:c r="J124" s="140" t="n">
        <x:v>5.32</x:v>
      </x:c>
      <x:c r="K124" s="140" t="n">
        <x:v>10.68</x:v>
      </x:c>
      <x:c r="L124" s="140" t="n">
        <x:v>13</x:v>
      </x:c>
      <x:c r="M124" s="140" t="n">
        <x:v>11</x:v>
      </x:c>
      <x:c r="N124" s="134" t="n">
        <x:v>0</x:v>
      </x:c>
      <x:c r="O124" s="134" t="str">
        <x:v>permanece</x:v>
      </x:c>
      <x:c r="P124" s="134" t="str">
        <x:v>holdout</x:v>
      </x:c>
      <x:c r="Q124" s="134" t="str">
        <x:v>synthetic_scientific</x:v>
      </x:c>
      <x:c r="R124" s="135" t="str">
        <x:v>BLENKIR_V6_SYNTH_20260924</x:v>
      </x:c>
    </x:row>
    <x:row r="125" ht="32" customHeight="1">
      <x:c r="A125" s="133" t="str">
        <x:v>EST-0069</x:v>
      </x:c>
      <x:c r="B125" s="134" t="str">
        <x:v>EST-0069-T1</x:v>
      </x:c>
      <x:c r="C125" s="134" t="str">
        <x:v>2026-07-31</x:v>
      </x:c>
      <x:c r="D125" s="134" t="str">
        <x:v>2026-12-15</x:v>
      </x:c>
      <x:c r="E125" s="134" t="n">
        <x:v>2</x:v>
      </x:c>
      <x:c r="F125" s="134" t="str">
        <x:v>2B</x:v>
      </x:c>
      <x:c r="G125" s="140" t="n">
        <x:v>15.17</x:v>
      </x:c>
      <x:c r="H125" s="140" t="n">
        <x:v>0</x:v>
      </x:c>
      <x:c r="I125" s="140" t="n">
        <x:v>88.81</x:v>
      </x:c>
      <x:c r="J125" s="140" t="n">
        <x:v>10.15</x:v>
      </x:c>
      <x:c r="K125" s="140" t="n">
        <x:v>18.85</x:v>
      </x:c>
      <x:c r="L125" s="140" t="n">
        <x:v>16</x:v>
      </x:c>
      <x:c r="M125" s="140" t="n">
        <x:v>13</x:v>
      </x:c>
      <x:c r="N125" s="134" t="n">
        <x:v>0</x:v>
      </x:c>
      <x:c r="O125" s="134" t="str">
        <x:v>permanece</x:v>
      </x:c>
      <x:c r="P125" s="134" t="str">
        <x:v>train</x:v>
      </x:c>
      <x:c r="Q125" s="134" t="str">
        <x:v>synthetic_scientific</x:v>
      </x:c>
      <x:c r="R125" s="135" t="str">
        <x:v>BLENKIR_V6_SYNTH_20260924</x:v>
      </x:c>
    </x:row>
    <x:row r="126" ht="32" customHeight="1">
      <x:c r="A126" s="133" t="str">
        <x:v>EST-0069</x:v>
      </x:c>
      <x:c r="B126" s="134" t="str">
        <x:v>EST-0069-T2</x:v>
      </x:c>
      <x:c r="C126" s="134" t="str">
        <x:v>2026-09-21</x:v>
      </x:c>
      <x:c r="D126" s="134" t="str">
        <x:v>2026-12-15</x:v>
      </x:c>
      <x:c r="E126" s="134" t="n">
        <x:v>2</x:v>
      </x:c>
      <x:c r="F126" s="134" t="str">
        <x:v>2B</x:v>
      </x:c>
      <x:c r="G126" s="140" t="n">
        <x:v>14.65</x:v>
      </x:c>
      <x:c r="H126" s="140" t="n">
        <x:v>0</x:v>
      </x:c>
      <x:c r="I126" s="140" t="n">
        <x:v>87.59</x:v>
      </x:c>
      <x:c r="J126" s="140" t="n">
        <x:v>9.02</x:v>
      </x:c>
      <x:c r="K126" s="140" t="n">
        <x:v>19.91</x:v>
      </x:c>
      <x:c r="L126" s="140" t="n">
        <x:v>19</x:v>
      </x:c>
      <x:c r="M126" s="140" t="n">
        <x:v>13</x:v>
      </x:c>
      <x:c r="N126" s="134" t="n">
        <x:v>0</x:v>
      </x:c>
      <x:c r="O126" s="134" t="str">
        <x:v>permanece</x:v>
      </x:c>
      <x:c r="P126" s="134" t="str">
        <x:v>train</x:v>
      </x:c>
      <x:c r="Q126" s="134" t="str">
        <x:v>synthetic_scientific</x:v>
      </x:c>
      <x:c r="R126" s="135" t="str">
        <x:v>BLENKIR_V6_SYNTH_20260924</x:v>
      </x:c>
    </x:row>
    <x:row r="127" ht="32" customHeight="1">
      <x:c r="A127" s="133" t="str">
        <x:v>EST-0070</x:v>
      </x:c>
      <x:c r="B127" s="134" t="str">
        <x:v>EST-0070-T1</x:v>
      </x:c>
      <x:c r="C127" s="134" t="str">
        <x:v>2026-07-31</x:v>
      </x:c>
      <x:c r="D127" s="134" t="str">
        <x:v>2026-12-15</x:v>
      </x:c>
      <x:c r="E127" s="134" t="n">
        <x:v>2</x:v>
      </x:c>
      <x:c r="F127" s="134" t="str">
        <x:v>2B</x:v>
      </x:c>
      <x:c r="G127" s="140" t="n">
        <x:v>16.1</x:v>
      </x:c>
      <x:c r="H127" s="140" t="n">
        <x:v>0</x:v>
      </x:c>
      <x:c r="I127" s="140" t="n">
        <x:v>93.14</x:v>
      </x:c>
      <x:c r="J127" s="140" t="n">
        <x:v>9.1</x:v>
      </x:c>
      <x:c r="K127" s="140" t="n">
        <x:v>17.76</x:v>
      </x:c>
      <x:c r="L127" s="140" t="n">
        <x:v>10</x:v>
      </x:c>
      <x:c r="M127" s="140" t="n">
        <x:v>9</x:v>
      </x:c>
      <x:c r="N127" s="134" t="n">
        <x:v>0</x:v>
      </x:c>
      <x:c r="O127" s="134" t="str">
        <x:v>permanece</x:v>
      </x:c>
      <x:c r="P127" s="134" t="str">
        <x:v>train</x:v>
      </x:c>
      <x:c r="Q127" s="134" t="str">
        <x:v>synthetic_scientific</x:v>
      </x:c>
      <x:c r="R127" s="135" t="str">
        <x:v>BLENKIR_V6_SYNTH_20260924</x:v>
      </x:c>
    </x:row>
    <x:row r="128" ht="32" customHeight="1">
      <x:c r="A128" s="133" t="str">
        <x:v>EST-0070</x:v>
      </x:c>
      <x:c r="B128" s="134" t="str">
        <x:v>EST-0070-T2</x:v>
      </x:c>
      <x:c r="C128" s="134" t="str">
        <x:v>2026-09-21</x:v>
      </x:c>
      <x:c r="D128" s="134" t="str">
        <x:v>2026-12-15</x:v>
      </x:c>
      <x:c r="E128" s="134" t="n">
        <x:v>2</x:v>
      </x:c>
      <x:c r="F128" s="134" t="str">
        <x:v>2B</x:v>
      </x:c>
      <x:c r="G128" s="140" t="n">
        <x:v>16.15</x:v>
      </x:c>
      <x:c r="H128" s="140" t="n">
        <x:v>0</x:v>
      </x:c>
      <x:c r="I128" s="140" t="n">
        <x:v>96.03</x:v>
      </x:c>
      <x:c r="J128" s="140" t="n">
        <x:v>7.45</x:v>
      </x:c>
      <x:c r="K128" s="140" t="n">
        <x:v>15.72</x:v>
      </x:c>
      <x:c r="L128" s="140" t="n">
        <x:v>13</x:v>
      </x:c>
      <x:c r="M128" s="140" t="n">
        <x:v>10</x:v>
      </x:c>
      <x:c r="N128" s="134" t="n">
        <x:v>0</x:v>
      </x:c>
      <x:c r="O128" s="134" t="str">
        <x:v>permanece</x:v>
      </x:c>
      <x:c r="P128" s="134" t="str">
        <x:v>train</x:v>
      </x:c>
      <x:c r="Q128" s="134" t="str">
        <x:v>synthetic_scientific</x:v>
      </x:c>
      <x:c r="R128" s="135" t="str">
        <x:v>BLENKIR_V6_SYNTH_20260924</x:v>
      </x:c>
    </x:row>
    <x:row r="129" ht="32" customHeight="1">
      <x:c r="A129" s="133" t="str">
        <x:v>EST-0071</x:v>
      </x:c>
      <x:c r="B129" s="134" t="str">
        <x:v>EST-0071-T1</x:v>
      </x:c>
      <x:c r="C129" s="134" t="str">
        <x:v>2026-07-31</x:v>
      </x:c>
      <x:c r="D129" s="134" t="str">
        <x:v>2026-12-15</x:v>
      </x:c>
      <x:c r="E129" s="134" t="n">
        <x:v>2</x:v>
      </x:c>
      <x:c r="F129" s="134" t="str">
        <x:v>2C</x:v>
      </x:c>
      <x:c r="G129" s="140" t="n">
        <x:v>13.65</x:v>
      </x:c>
      <x:c r="H129" s="140" t="n">
        <x:v>0</x:v>
      </x:c>
      <x:c r="I129" s="140" t="n">
        <x:v>99.5</x:v>
      </x:c>
      <x:c r="J129" s="140" t="n">
        <x:v>6.4</x:v>
      </x:c>
      <x:c r="K129" s="140" t="n">
        <x:v>16.52</x:v>
      </x:c>
      <x:c r="L129" s="140" t="n">
        <x:v>16</x:v>
      </x:c>
      <x:c r="M129" s="140" t="n">
        <x:v>10</x:v>
      </x:c>
      <x:c r="N129" s="134" t="n">
        <x:v>0</x:v>
      </x:c>
      <x:c r="O129" s="134" t="str">
        <x:v>permanece</x:v>
      </x:c>
      <x:c r="P129" s="134" t="str">
        <x:v>validation</x:v>
      </x:c>
      <x:c r="Q129" s="134" t="str">
        <x:v>synthetic_scientific</x:v>
      </x:c>
      <x:c r="R129" s="135" t="str">
        <x:v>BLENKIR_V6_SYNTH_20260924</x:v>
      </x:c>
    </x:row>
    <x:row r="130" ht="32" customHeight="1">
      <x:c r="A130" s="133" t="str">
        <x:v>EST-0071</x:v>
      </x:c>
      <x:c r="B130" s="134" t="str">
        <x:v>EST-0071-T2</x:v>
      </x:c>
      <x:c r="C130" s="134" t="str">
        <x:v>2026-09-21</x:v>
      </x:c>
      <x:c r="D130" s="134" t="str">
        <x:v>2026-12-15</x:v>
      </x:c>
      <x:c r="E130" s="134" t="n">
        <x:v>2</x:v>
      </x:c>
      <x:c r="F130" s="134" t="str">
        <x:v>2C</x:v>
      </x:c>
      <x:c r="G130" s="140" t="n">
        <x:v>12.32</x:v>
      </x:c>
      <x:c r="H130" s="140" t="n">
        <x:v>0</x:v>
      </x:c>
      <x:c r="I130" s="140" t="n">
        <x:v>97.45</x:v>
      </x:c>
      <x:c r="J130" s="140" t="n">
        <x:v>7.46</x:v>
      </x:c>
      <x:c r="K130" s="140" t="n">
        <x:v>16.01</x:v>
      </x:c>
      <x:c r="L130" s="140" t="n">
        <x:v>16</x:v>
      </x:c>
      <x:c r="M130" s="140" t="n">
        <x:v>10</x:v>
      </x:c>
      <x:c r="N130" s="134" t="n">
        <x:v>0</x:v>
      </x:c>
      <x:c r="O130" s="134" t="str">
        <x:v>permanece</x:v>
      </x:c>
      <x:c r="P130" s="134" t="str">
        <x:v>validation</x:v>
      </x:c>
      <x:c r="Q130" s="134" t="str">
        <x:v>synthetic_scientific</x:v>
      </x:c>
      <x:c r="R130" s="135" t="str">
        <x:v>BLENKIR_V6_SYNTH_20260924</x:v>
      </x:c>
    </x:row>
    <x:row r="131" ht="32" customHeight="1">
      <x:c r="A131" s="133" t="str">
        <x:v>EST-0072</x:v>
      </x:c>
      <x:c r="B131" s="134" t="str">
        <x:v>EST-0072-T1</x:v>
      </x:c>
      <x:c r="C131" s="134" t="str">
        <x:v>2026-07-31</x:v>
      </x:c>
      <x:c r="D131" s="134" t="str">
        <x:v>2026-12-15</x:v>
      </x:c>
      <x:c r="E131" s="134" t="n">
        <x:v>2</x:v>
      </x:c>
      <x:c r="F131" s="134" t="str">
        <x:v>2C</x:v>
      </x:c>
      <x:c r="G131" s="140" t="n">
        <x:v>14.35</x:v>
      </x:c>
      <x:c r="H131" s="140" t="n">
        <x:v>0</x:v>
      </x:c>
      <x:c r="I131" s="140" t="n">
        <x:v>89.88</x:v>
      </x:c>
      <x:c r="J131" s="140" t="n">
        <x:v>8.3</x:v>
      </x:c>
      <x:c r="K131" s="140" t="n">
        <x:v>16.51</x:v>
      </x:c>
      <x:c r="L131" s="140" t="n">
        <x:v>15</x:v>
      </x:c>
      <x:c r="M131" s="140" t="n">
        <x:v>12</x:v>
      </x:c>
      <x:c r="N131" s="134" t="n">
        <x:v>0</x:v>
      </x:c>
      <x:c r="O131" s="134" t="str">
        <x:v>permanece</x:v>
      </x:c>
      <x:c r="P131" s="134" t="str">
        <x:v>train</x:v>
      </x:c>
      <x:c r="Q131" s="134" t="str">
        <x:v>synthetic_scientific</x:v>
      </x:c>
      <x:c r="R131" s="135" t="str">
        <x:v>BLENKIR_V6_SYNTH_20260924</x:v>
      </x:c>
    </x:row>
    <x:row r="132" ht="32" customHeight="1">
      <x:c r="A132" s="133" t="str">
        <x:v>EST-0072</x:v>
      </x:c>
      <x:c r="B132" s="134" t="str">
        <x:v>EST-0072-T2</x:v>
      </x:c>
      <x:c r="C132" s="134" t="str">
        <x:v>2026-09-21</x:v>
      </x:c>
      <x:c r="D132" s="134" t="str">
        <x:v>2026-12-15</x:v>
      </x:c>
      <x:c r="E132" s="134" t="n">
        <x:v>2</x:v>
      </x:c>
      <x:c r="F132" s="134" t="str">
        <x:v>2C</x:v>
      </x:c>
      <x:c r="G132" s="140" t="n">
        <x:v>13.9</x:v>
      </x:c>
      <x:c r="H132" s="140" t="n">
        <x:v>0</x:v>
      </x:c>
      <x:c r="I132" s="140" t="n">
        <x:v>90.41</x:v>
      </x:c>
      <x:c r="J132" s="140" t="n">
        <x:v>7.66</x:v>
      </x:c>
      <x:c r="K132" s="140" t="n">
        <x:v>16.52</x:v>
      </x:c>
      <x:c r="L132" s="140" t="n">
        <x:v>14</x:v>
      </x:c>
      <x:c r="M132" s="140" t="n">
        <x:v>12</x:v>
      </x:c>
      <x:c r="N132" s="134" t="n">
        <x:v>0</x:v>
      </x:c>
      <x:c r="O132" s="134" t="str">
        <x:v>permanece</x:v>
      </x:c>
      <x:c r="P132" s="134" t="str">
        <x:v>train</x:v>
      </x:c>
      <x:c r="Q132" s="134" t="str">
        <x:v>synthetic_scientific</x:v>
      </x:c>
      <x:c r="R132" s="135" t="str">
        <x:v>BLENKIR_V6_SYNTH_20260924</x:v>
      </x:c>
    </x:row>
    <x:row r="133" ht="32" customHeight="1">
      <x:c r="A133" s="133" t="str">
        <x:v>EST-0074</x:v>
      </x:c>
      <x:c r="B133" s="134" t="str">
        <x:v>EST-0074-T1</x:v>
      </x:c>
      <x:c r="C133" s="134" t="str">
        <x:v>2026-07-31</x:v>
      </x:c>
      <x:c r="D133" s="134" t="str">
        <x:v>2026-12-15</x:v>
      </x:c>
      <x:c r="E133" s="134" t="n">
        <x:v>2</x:v>
      </x:c>
      <x:c r="F133" s="134" t="str">
        <x:v>2C</x:v>
      </x:c>
      <x:c r="G133" s="140" t="n">
        <x:v>14.87</x:v>
      </x:c>
      <x:c r="H133" s="140" t="n">
        <x:v>0</x:v>
      </x:c>
      <x:c r="I133" s="140" t="n">
        <x:v>99.5</x:v>
      </x:c>
      <x:c r="J133" s="140" t="n">
        <x:v>5.81</x:v>
      </x:c>
      <x:c r="K133" s="140" t="n">
        <x:v>9.32</x:v>
      </x:c>
      <x:c r="L133" s="140" t="n">
        <x:v>13</x:v>
      </x:c>
      <x:c r="M133" s="140" t="n">
        <x:v>10</x:v>
      </x:c>
      <x:c r="N133" s="134" t="n">
        <x:v>0</x:v>
      </x:c>
      <x:c r="O133" s="134" t="str">
        <x:v>permanece</x:v>
      </x:c>
      <x:c r="P133" s="134" t="str">
        <x:v>train</x:v>
      </x:c>
      <x:c r="Q133" s="134" t="str">
        <x:v>synthetic_scientific</x:v>
      </x:c>
      <x:c r="R133" s="135" t="str">
        <x:v>BLENKIR_V6_SYNTH_20260924</x:v>
      </x:c>
    </x:row>
    <x:row r="134" ht="32" customHeight="1">
      <x:c r="A134" s="133" t="str">
        <x:v>EST-0074</x:v>
      </x:c>
      <x:c r="B134" s="134" t="str">
        <x:v>EST-0074-T2</x:v>
      </x:c>
      <x:c r="C134" s="134" t="str">
        <x:v>2026-09-21</x:v>
      </x:c>
      <x:c r="D134" s="134" t="str">
        <x:v>2026-12-15</x:v>
      </x:c>
      <x:c r="E134" s="134" t="n">
        <x:v>2</x:v>
      </x:c>
      <x:c r="F134" s="134" t="str">
        <x:v>2C</x:v>
      </x:c>
      <x:c r="G134" s="140" t="n">
        <x:v>13.48</x:v>
      </x:c>
      <x:c r="H134" s="140" t="n">
        <x:v>0</x:v>
      </x:c>
      <x:c r="I134" s="140" t="n">
        <x:v>99.5</x:v>
      </x:c>
      <x:c r="J134" s="140" t="n">
        <x:v>6.06</x:v>
      </x:c>
      <x:c r="K134" s="140" t="n">
        <x:v>8.39</x:v>
      </x:c>
      <x:c r="L134" s="140" t="n">
        <x:v>12</x:v>
      </x:c>
      <x:c r="M134" s="140" t="n">
        <x:v>9</x:v>
      </x:c>
      <x:c r="N134" s="134" t="n">
        <x:v>0</x:v>
      </x:c>
      <x:c r="O134" s="134" t="str">
        <x:v>permanece</x:v>
      </x:c>
      <x:c r="P134" s="134" t="str">
        <x:v>train</x:v>
      </x:c>
      <x:c r="Q134" s="134" t="str">
        <x:v>synthetic_scientific</x:v>
      </x:c>
      <x:c r="R134" s="135" t="str">
        <x:v>BLENKIR_V6_SYNTH_20260924</x:v>
      </x:c>
    </x:row>
    <x:row r="135" ht="32" customHeight="1">
      <x:c r="A135" s="133" t="str">
        <x:v>EST-0075</x:v>
      </x:c>
      <x:c r="B135" s="134" t="str">
        <x:v>EST-0075-T1</x:v>
      </x:c>
      <x:c r="C135" s="134" t="str">
        <x:v>2026-07-31</x:v>
      </x:c>
      <x:c r="D135" s="134" t="str">
        <x:v>2026-12-15</x:v>
      </x:c>
      <x:c r="E135" s="134" t="n">
        <x:v>2</x:v>
      </x:c>
      <x:c r="F135" s="134" t="str">
        <x:v>2C</x:v>
      </x:c>
      <x:c r="G135" s="140" t="n">
        <x:v>12.75</x:v>
      </x:c>
      <x:c r="H135" s="140" t="n">
        <x:v>0</x:v>
      </x:c>
      <x:c r="I135" s="140" t="n">
        <x:v>91.11</x:v>
      </x:c>
      <x:c r="J135" s="140" t="n">
        <x:v>8.36</x:v>
      </x:c>
      <x:c r="K135" s="140" t="n">
        <x:v>14.29</x:v>
      </x:c>
      <x:c r="L135" s="140" t="n">
        <x:v>14</x:v>
      </x:c>
      <x:c r="M135" s="140" t="n">
        <x:v>12</x:v>
      </x:c>
      <x:c r="N135" s="134" t="n">
        <x:v>1</x:v>
      </x:c>
      <x:c r="O135" s="134" t="str">
        <x:v>deserta</x:v>
      </x:c>
      <x:c r="P135" s="134" t="str">
        <x:v>train</x:v>
      </x:c>
      <x:c r="Q135" s="134" t="str">
        <x:v>synthetic_scientific</x:v>
      </x:c>
      <x:c r="R135" s="135" t="str">
        <x:v>BLENKIR_V6_SYNTH_20260924</x:v>
      </x:c>
    </x:row>
    <x:row r="136" ht="32" customHeight="1">
      <x:c r="A136" s="133" t="str">
        <x:v>EST-0075</x:v>
      </x:c>
      <x:c r="B136" s="134" t="str">
        <x:v>EST-0075-T2</x:v>
      </x:c>
      <x:c r="C136" s="134" t="str">
        <x:v>2026-09-21</x:v>
      </x:c>
      <x:c r="D136" s="134" t="str">
        <x:v>2026-12-15</x:v>
      </x:c>
      <x:c r="E136" s="134" t="n">
        <x:v>2</x:v>
      </x:c>
      <x:c r="F136" s="134" t="str">
        <x:v>2C</x:v>
      </x:c>
      <x:c r="G136" s="140" t="n">
        <x:v>12.41</x:v>
      </x:c>
      <x:c r="H136" s="140" t="n">
        <x:v>0</x:v>
      </x:c>
      <x:c r="I136" s="140" t="n">
        <x:v>89.13</x:v>
      </x:c>
      <x:c r="J136" s="140" t="n">
        <x:v>7.2</x:v>
      </x:c>
      <x:c r="K136" s="140" t="n">
        <x:v>14.4</x:v>
      </x:c>
      <x:c r="L136" s="140" t="n">
        <x:v>13</x:v>
      </x:c>
      <x:c r="M136" s="140" t="n">
        <x:v>13</x:v>
      </x:c>
      <x:c r="N136" s="134" t="n">
        <x:v>1</x:v>
      </x:c>
      <x:c r="O136" s="134" t="str">
        <x:v>deserta</x:v>
      </x:c>
      <x:c r="P136" s="134" t="str">
        <x:v>train</x:v>
      </x:c>
      <x:c r="Q136" s="134" t="str">
        <x:v>synthetic_scientific</x:v>
      </x:c>
      <x:c r="R136" s="135" t="str">
        <x:v>BLENKIR_V6_SYNTH_20260924</x:v>
      </x:c>
    </x:row>
    <x:row r="137" ht="32" customHeight="1">
      <x:c r="A137" s="133" t="str">
        <x:v>EST-0076</x:v>
      </x:c>
      <x:c r="B137" s="134" t="str">
        <x:v>EST-0076-T1</x:v>
      </x:c>
      <x:c r="C137" s="134" t="str">
        <x:v>2026-07-31</x:v>
      </x:c>
      <x:c r="D137" s="134" t="str">
        <x:v>2026-12-15</x:v>
      </x:c>
      <x:c r="E137" s="134" t="n">
        <x:v>2</x:v>
      </x:c>
      <x:c r="F137" s="134" t="str">
        <x:v>2C</x:v>
      </x:c>
      <x:c r="G137" s="140" t="n">
        <x:v>14.41</x:v>
      </x:c>
      <x:c r="H137" s="140" t="n">
        <x:v>0</x:v>
      </x:c>
      <x:c r="I137" s="140" t="n">
        <x:v>98.46</x:v>
      </x:c>
      <x:c r="J137" s="140" t="n">
        <x:v>11.06</x:v>
      </x:c>
      <x:c r="K137" s="140" t="n">
        <x:v>22.65</x:v>
      </x:c>
      <x:c r="L137" s="140" t="n">
        <x:v>20</x:v>
      </x:c>
      <x:c r="M137" s="140" t="n">
        <x:v>14</x:v>
      </x:c>
      <x:c r="N137" s="134" t="n">
        <x:v>0</x:v>
      </x:c>
      <x:c r="O137" s="134" t="str">
        <x:v>permanece</x:v>
      </x:c>
      <x:c r="P137" s="134" t="str">
        <x:v>holdout</x:v>
      </x:c>
      <x:c r="Q137" s="134" t="str">
        <x:v>synthetic_scientific</x:v>
      </x:c>
      <x:c r="R137" s="135" t="str">
        <x:v>BLENKIR_V6_SYNTH_20260924</x:v>
      </x:c>
    </x:row>
    <x:row r="138" ht="32" customHeight="1">
      <x:c r="A138" s="133" t="str">
        <x:v>EST-0076</x:v>
      </x:c>
      <x:c r="B138" s="134" t="str">
        <x:v>EST-0076-T2</x:v>
      </x:c>
      <x:c r="C138" s="134" t="str">
        <x:v>2026-09-21</x:v>
      </x:c>
      <x:c r="D138" s="134" t="str">
        <x:v>2026-12-15</x:v>
      </x:c>
      <x:c r="E138" s="134" t="n">
        <x:v>2</x:v>
      </x:c>
      <x:c r="F138" s="134" t="str">
        <x:v>2C</x:v>
      </x:c>
      <x:c r="G138" s="140" t="n">
        <x:v>15.38</x:v>
      </x:c>
      <x:c r="H138" s="140" t="n">
        <x:v>0</x:v>
      </x:c>
      <x:c r="I138" s="140" t="n">
        <x:v>99.5</x:v>
      </x:c>
      <x:c r="J138" s="140" t="n">
        <x:v>10.42</x:v>
      </x:c>
      <x:c r="K138" s="140" t="n">
        <x:v>19.94</x:v>
      </x:c>
      <x:c r="L138" s="140" t="n">
        <x:v>18</x:v>
      </x:c>
      <x:c r="M138" s="140" t="n">
        <x:v>14</x:v>
      </x:c>
      <x:c r="N138" s="134" t="n">
        <x:v>0</x:v>
      </x:c>
      <x:c r="O138" s="134" t="str">
        <x:v>permanece</x:v>
      </x:c>
      <x:c r="P138" s="134" t="str">
        <x:v>holdout</x:v>
      </x:c>
      <x:c r="Q138" s="134" t="str">
        <x:v>synthetic_scientific</x:v>
      </x:c>
      <x:c r="R138" s="135" t="str">
        <x:v>BLENKIR_V6_SYNTH_20260924</x:v>
      </x:c>
    </x:row>
    <x:row r="139" ht="32" customHeight="1">
      <x:c r="A139" s="133" t="str">
        <x:v>EST-0077</x:v>
      </x:c>
      <x:c r="B139" s="134" t="str">
        <x:v>EST-0077-T1</x:v>
      </x:c>
      <x:c r="C139" s="134" t="str">
        <x:v>2026-07-31</x:v>
      </x:c>
      <x:c r="D139" s="134" t="str">
        <x:v>2026-12-15</x:v>
      </x:c>
      <x:c r="E139" s="134" t="n">
        <x:v>2</x:v>
      </x:c>
      <x:c r="F139" s="134" t="str">
        <x:v>2C</x:v>
      </x:c>
      <x:c r="G139" s="140" t="n">
        <x:v>17.41</x:v>
      </x:c>
      <x:c r="H139" s="140" t="n">
        <x:v>0</x:v>
      </x:c>
      <x:c r="I139" s="140" t="n">
        <x:v>92.38</x:v>
      </x:c>
      <x:c r="J139" s="140" t="n">
        <x:v>11.45</x:v>
      </x:c>
      <x:c r="K139" s="140" t="n">
        <x:v>15.43</x:v>
      </x:c>
      <x:c r="L139" s="140" t="n">
        <x:v>15</x:v>
      </x:c>
      <x:c r="M139" s="140" t="n">
        <x:v>13</x:v>
      </x:c>
      <x:c r="N139" s="134" t="n">
        <x:v>1</x:v>
      </x:c>
      <x:c r="O139" s="134" t="str">
        <x:v>deserta</x:v>
      </x:c>
      <x:c r="P139" s="134" t="str">
        <x:v>train</x:v>
      </x:c>
      <x:c r="Q139" s="134" t="str">
        <x:v>synthetic_scientific</x:v>
      </x:c>
      <x:c r="R139" s="135" t="str">
        <x:v>BLENKIR_V6_SYNTH_20260924</x:v>
      </x:c>
    </x:row>
    <x:row r="140" ht="32" customHeight="1">
      <x:c r="A140" s="133" t="str">
        <x:v>EST-0077</x:v>
      </x:c>
      <x:c r="B140" s="134" t="str">
        <x:v>EST-0077-T2</x:v>
      </x:c>
      <x:c r="C140" s="134" t="str">
        <x:v>2026-09-21</x:v>
      </x:c>
      <x:c r="D140" s="134" t="str">
        <x:v>2026-12-15</x:v>
      </x:c>
      <x:c r="E140" s="134" t="n">
        <x:v>2</x:v>
      </x:c>
      <x:c r="F140" s="134" t="str">
        <x:v>2C</x:v>
      </x:c>
      <x:c r="G140" s="140" t="n">
        <x:v>15.44</x:v>
      </x:c>
      <x:c r="H140" s="140" t="n">
        <x:v>0</x:v>
      </x:c>
      <x:c r="I140" s="140" t="n">
        <x:v>88.46</x:v>
      </x:c>
      <x:c r="J140" s="140" t="n">
        <x:v>9.9</x:v>
      </x:c>
      <x:c r="K140" s="140" t="n">
        <x:v>17.14</x:v>
      </x:c>
      <x:c r="L140" s="140" t="n">
        <x:v>15</x:v>
      </x:c>
      <x:c r="M140" s="140" t="n">
        <x:v>13</x:v>
      </x:c>
      <x:c r="N140" s="134" t="n">
        <x:v>1</x:v>
      </x:c>
      <x:c r="O140" s="134" t="str">
        <x:v>deserta</x:v>
      </x:c>
      <x:c r="P140" s="134" t="str">
        <x:v>train</x:v>
      </x:c>
      <x:c r="Q140" s="134" t="str">
        <x:v>synthetic_scientific</x:v>
      </x:c>
      <x:c r="R140" s="135" t="str">
        <x:v>BLENKIR_V6_SYNTH_20260924</x:v>
      </x:c>
    </x:row>
    <x:row r="141" ht="32" customHeight="1">
      <x:c r="A141" s="133" t="str">
        <x:v>EST-0078</x:v>
      </x:c>
      <x:c r="B141" s="134" t="str">
        <x:v>EST-0078-T1</x:v>
      </x:c>
      <x:c r="C141" s="134" t="str">
        <x:v>2026-07-31</x:v>
      </x:c>
      <x:c r="D141" s="134" t="str">
        <x:v>2026-12-15</x:v>
      </x:c>
      <x:c r="E141" s="134" t="n">
        <x:v>2</x:v>
      </x:c>
      <x:c r="F141" s="134" t="str">
        <x:v>2C</x:v>
      </x:c>
      <x:c r="G141" s="140" t="n">
        <x:v>14.79</x:v>
      </x:c>
      <x:c r="H141" s="140" t="n">
        <x:v>1</x:v>
      </x:c>
      <x:c r="I141" s="140" t="n">
        <x:v>98.11</x:v>
      </x:c>
      <x:c r="J141" s="140" t="n">
        <x:v>9.2</x:v>
      </x:c>
      <x:c r="K141" s="140" t="n">
        <x:v>15.57</x:v>
      </x:c>
      <x:c r="L141" s="140" t="n">
        <x:v>16</x:v>
      </x:c>
      <x:c r="M141" s="140" t="n">
        <x:v>12</x:v>
      </x:c>
      <x:c r="N141" s="134" t="n">
        <x:v>0</x:v>
      </x:c>
      <x:c r="O141" s="134" t="str">
        <x:v>permanece</x:v>
      </x:c>
      <x:c r="P141" s="134" t="str">
        <x:v>train</x:v>
      </x:c>
      <x:c r="Q141" s="134" t="str">
        <x:v>synthetic_scientific</x:v>
      </x:c>
      <x:c r="R141" s="135" t="str">
        <x:v>BLENKIR_V6_SYNTH_20260924</x:v>
      </x:c>
    </x:row>
    <x:row r="142" ht="32" customHeight="1">
      <x:c r="A142" s="133" t="str">
        <x:v>EST-0078</x:v>
      </x:c>
      <x:c r="B142" s="134" t="str">
        <x:v>EST-0078-T2</x:v>
      </x:c>
      <x:c r="C142" s="134" t="str">
        <x:v>2026-09-21</x:v>
      </x:c>
      <x:c r="D142" s="134" t="str">
        <x:v>2026-12-15</x:v>
      </x:c>
      <x:c r="E142" s="134" t="n">
        <x:v>2</x:v>
      </x:c>
      <x:c r="F142" s="134" t="str">
        <x:v>2C</x:v>
      </x:c>
      <x:c r="G142" s="140" t="n">
        <x:v>15.45</x:v>
      </x:c>
      <x:c r="H142" s="140" t="n">
        <x:v>0</x:v>
      </x:c>
      <x:c r="I142" s="140" t="n">
        <x:v>99.5</x:v>
      </x:c>
      <x:c r="J142" s="140" t="n">
        <x:v>9.01</x:v>
      </x:c>
      <x:c r="K142" s="140" t="n">
        <x:v>15.57</x:v>
      </x:c>
      <x:c r="L142" s="140" t="n">
        <x:v>15</x:v>
      </x:c>
      <x:c r="M142" s="140" t="n">
        <x:v>13</x:v>
      </x:c>
      <x:c r="N142" s="134" t="n">
        <x:v>0</x:v>
      </x:c>
      <x:c r="O142" s="134" t="str">
        <x:v>permanece</x:v>
      </x:c>
      <x:c r="P142" s="134" t="str">
        <x:v>train</x:v>
      </x:c>
      <x:c r="Q142" s="134" t="str">
        <x:v>synthetic_scientific</x:v>
      </x:c>
      <x:c r="R142" s="135" t="str">
        <x:v>BLENKIR_V6_SYNTH_20260924</x:v>
      </x:c>
    </x:row>
    <x:row r="143" ht="32" customHeight="1">
      <x:c r="A143" s="133" t="str">
        <x:v>EST-0079</x:v>
      </x:c>
      <x:c r="B143" s="134" t="str">
        <x:v>EST-0079-T1</x:v>
      </x:c>
      <x:c r="C143" s="134" t="str">
        <x:v>2026-07-31</x:v>
      </x:c>
      <x:c r="D143" s="134" t="str">
        <x:v>2026-12-15</x:v>
      </x:c>
      <x:c r="E143" s="134" t="n">
        <x:v>2</x:v>
      </x:c>
      <x:c r="F143" s="134" t="str">
        <x:v>2C</x:v>
      </x:c>
      <x:c r="G143" s="140" t="n">
        <x:v>14.87</x:v>
      </x:c>
      <x:c r="H143" s="140" t="n">
        <x:v>0</x:v>
      </x:c>
      <x:c r="I143" s="140" t="n">
        <x:v>99.5</x:v>
      </x:c>
      <x:c r="J143" s="140" t="n">
        <x:v>5.95</x:v>
      </x:c>
      <x:c r="K143" s="140" t="n">
        <x:v>14.06</x:v>
      </x:c>
      <x:c r="L143" s="140" t="n">
        <x:v>14</x:v>
      </x:c>
      <x:c r="M143" s="140" t="n">
        <x:v>7</x:v>
      </x:c>
      <x:c r="N143" s="134" t="n">
        <x:v>0</x:v>
      </x:c>
      <x:c r="O143" s="134" t="str">
        <x:v>permanece</x:v>
      </x:c>
      <x:c r="P143" s="134" t="str">
        <x:v>train</x:v>
      </x:c>
      <x:c r="Q143" s="134" t="str">
        <x:v>synthetic_scientific</x:v>
      </x:c>
      <x:c r="R143" s="135" t="str">
        <x:v>BLENKIR_V6_SYNTH_20260924</x:v>
      </x:c>
    </x:row>
    <x:row r="144" ht="32" customHeight="1">
      <x:c r="A144" s="133" t="str">
        <x:v>EST-0079</x:v>
      </x:c>
      <x:c r="B144" s="134" t="str">
        <x:v>EST-0079-T2</x:v>
      </x:c>
      <x:c r="C144" s="134" t="str">
        <x:v>2026-09-21</x:v>
      </x:c>
      <x:c r="D144" s="134" t="str">
        <x:v>2026-12-15</x:v>
      </x:c>
      <x:c r="E144" s="134" t="n">
        <x:v>2</x:v>
      </x:c>
      <x:c r="F144" s="134" t="str">
        <x:v>2C</x:v>
      </x:c>
      <x:c r="G144" s="140" t="n">
        <x:v>14.88</x:v>
      </x:c>
      <x:c r="H144" s="140" t="n">
        <x:v>0</x:v>
      </x:c>
      <x:c r="I144" s="140" t="n">
        <x:v>99.5</x:v>
      </x:c>
      <x:c r="J144" s="140" t="n">
        <x:v>6.1</x:v>
      </x:c>
      <x:c r="K144" s="140" t="n">
        <x:v>12.38</x:v>
      </x:c>
      <x:c r="L144" s="140" t="n">
        <x:v>13</x:v>
      </x:c>
      <x:c r="M144" s="140" t="n">
        <x:v>8</x:v>
      </x:c>
      <x:c r="N144" s="134" t="n">
        <x:v>0</x:v>
      </x:c>
      <x:c r="O144" s="134" t="str">
        <x:v>permanece</x:v>
      </x:c>
      <x:c r="P144" s="134" t="str">
        <x:v>train</x:v>
      </x:c>
      <x:c r="Q144" s="134" t="str">
        <x:v>synthetic_scientific</x:v>
      </x:c>
      <x:c r="R144" s="135" t="str">
        <x:v>BLENKIR_V6_SYNTH_20260924</x:v>
      </x:c>
    </x:row>
    <x:row r="145" ht="32" customHeight="1">
      <x:c r="A145" s="133" t="str">
        <x:v>EST-0080</x:v>
      </x:c>
      <x:c r="B145" s="134" t="str">
        <x:v>EST-0080-T1</x:v>
      </x:c>
      <x:c r="C145" s="134" t="str">
        <x:v>2026-07-31</x:v>
      </x:c>
      <x:c r="D145" s="134" t="str">
        <x:v>2026-12-15</x:v>
      </x:c>
      <x:c r="E145" s="134" t="n">
        <x:v>2</x:v>
      </x:c>
      <x:c r="F145" s="134" t="str">
        <x:v>2C</x:v>
      </x:c>
      <x:c r="G145" s="140" t="n">
        <x:v>14.67</x:v>
      </x:c>
      <x:c r="H145" s="140" t="n">
        <x:v>0</x:v>
      </x:c>
      <x:c r="I145" s="140" t="n">
        <x:v>84.63</x:v>
      </x:c>
      <x:c r="J145" s="140" t="n">
        <x:v>7.52</x:v>
      </x:c>
      <x:c r="K145" s="140" t="n">
        <x:v>12.01</x:v>
      </x:c>
      <x:c r="L145" s="140" t="n">
        <x:v>18</x:v>
      </x:c>
      <x:c r="M145" s="140" t="n">
        <x:v>11</x:v>
      </x:c>
      <x:c r="N145" s="134" t="n">
        <x:v>1</x:v>
      </x:c>
      <x:c r="O145" s="134" t="str">
        <x:v>deserta</x:v>
      </x:c>
      <x:c r="P145" s="134" t="str">
        <x:v>train</x:v>
      </x:c>
      <x:c r="Q145" s="134" t="str">
        <x:v>synthetic_scientific</x:v>
      </x:c>
      <x:c r="R145" s="135" t="str">
        <x:v>BLENKIR_V6_SYNTH_20260924</x:v>
      </x:c>
    </x:row>
    <x:row r="146" ht="32" customHeight="1">
      <x:c r="A146" s="133" t="str">
        <x:v>EST-0080</x:v>
      </x:c>
      <x:c r="B146" s="134" t="str">
        <x:v>EST-0080-T2</x:v>
      </x:c>
      <x:c r="C146" s="134" t="str">
        <x:v>2026-09-21</x:v>
      </x:c>
      <x:c r="D146" s="134" t="str">
        <x:v>2026-12-15</x:v>
      </x:c>
      <x:c r="E146" s="134" t="n">
        <x:v>2</x:v>
      </x:c>
      <x:c r="F146" s="134" t="str">
        <x:v>2C</x:v>
      </x:c>
      <x:c r="G146" s="140" t="n">
        <x:v>13.55</x:v>
      </x:c>
      <x:c r="H146" s="140" t="n">
        <x:v>0</x:v>
      </x:c>
      <x:c r="I146" s="140" t="n">
        <x:v>84.26</x:v>
      </x:c>
      <x:c r="J146" s="140" t="n">
        <x:v>6.8</x:v>
      </x:c>
      <x:c r="K146" s="140" t="n">
        <x:v>13.6</x:v>
      </x:c>
      <x:c r="L146" s="140" t="n">
        <x:v>16</x:v>
      </x:c>
      <x:c r="M146" s="140" t="n">
        <x:v>9</x:v>
      </x:c>
      <x:c r="N146" s="134" t="n">
        <x:v>1</x:v>
      </x:c>
      <x:c r="O146" s="134" t="str">
        <x:v>deserta</x:v>
      </x:c>
      <x:c r="P146" s="134" t="str">
        <x:v>train</x:v>
      </x:c>
      <x:c r="Q146" s="134" t="str">
        <x:v>synthetic_scientific</x:v>
      </x:c>
      <x:c r="R146" s="135" t="str">
        <x:v>BLENKIR_V6_SYNTH_20260924</x:v>
      </x:c>
    </x:row>
    <x:row r="147" ht="32" customHeight="1">
      <x:c r="A147" s="133" t="str">
        <x:v>EST-0081</x:v>
      </x:c>
      <x:c r="B147" s="134" t="str">
        <x:v>EST-0081-T1</x:v>
      </x:c>
      <x:c r="C147" s="134" t="str">
        <x:v>2026-07-31</x:v>
      </x:c>
      <x:c r="D147" s="134" t="str">
        <x:v>2026-12-15</x:v>
      </x:c>
      <x:c r="E147" s="134" t="n">
        <x:v>2</x:v>
      </x:c>
      <x:c r="F147" s="134" t="str">
        <x:v>2C</x:v>
      </x:c>
      <x:c r="G147" s="140" t="n">
        <x:v>16.18</x:v>
      </x:c>
      <x:c r="H147" s="140" t="n">
        <x:v>0</x:v>
      </x:c>
      <x:c r="I147" s="140" t="n">
        <x:v>99.5</x:v>
      </x:c>
      <x:c r="J147" s="140" t="n">
        <x:v>8.28</x:v>
      </x:c>
      <x:c r="K147" s="140" t="n">
        <x:v>20.41</x:v>
      </x:c>
      <x:c r="L147" s="140" t="n">
        <x:v>17</x:v>
      </x:c>
      <x:c r="M147" s="140" t="n">
        <x:v>18</x:v>
      </x:c>
      <x:c r="N147" s="134" t="n">
        <x:v>0</x:v>
      </x:c>
      <x:c r="O147" s="134" t="str">
        <x:v>permanece</x:v>
      </x:c>
      <x:c r="P147" s="134" t="str">
        <x:v>holdout</x:v>
      </x:c>
      <x:c r="Q147" s="134" t="str">
        <x:v>synthetic_scientific</x:v>
      </x:c>
      <x:c r="R147" s="135" t="str">
        <x:v>BLENKIR_V6_SYNTH_20260924</x:v>
      </x:c>
    </x:row>
    <x:row r="148" ht="32" customHeight="1">
      <x:c r="A148" s="133" t="str">
        <x:v>EST-0081</x:v>
      </x:c>
      <x:c r="B148" s="134" t="str">
        <x:v>EST-0081-T2</x:v>
      </x:c>
      <x:c r="C148" s="134" t="str">
        <x:v>2026-09-21</x:v>
      </x:c>
      <x:c r="D148" s="134" t="str">
        <x:v>2026-12-15</x:v>
      </x:c>
      <x:c r="E148" s="134" t="n">
        <x:v>2</x:v>
      </x:c>
      <x:c r="F148" s="134" t="str">
        <x:v>2C</x:v>
      </x:c>
      <x:c r="G148" s="140" t="n">
        <x:v>15.35</x:v>
      </x:c>
      <x:c r="H148" s="140" t="n">
        <x:v>0</x:v>
      </x:c>
      <x:c r="I148" s="140" t="n">
        <x:v>99.5</x:v>
      </x:c>
      <x:c r="J148" s="140" t="n">
        <x:v>8.38</x:v>
      </x:c>
      <x:c r="K148" s="140" t="n">
        <x:v>18.65</x:v>
      </x:c>
      <x:c r="L148" s="140" t="n">
        <x:v>18</x:v>
      </x:c>
      <x:c r="M148" s="140" t="n">
        <x:v>14</x:v>
      </x:c>
      <x:c r="N148" s="134" t="n">
        <x:v>0</x:v>
      </x:c>
      <x:c r="O148" s="134" t="str">
        <x:v>permanece</x:v>
      </x:c>
      <x:c r="P148" s="134" t="str">
        <x:v>holdout</x:v>
      </x:c>
      <x:c r="Q148" s="134" t="str">
        <x:v>synthetic_scientific</x:v>
      </x:c>
      <x:c r="R148" s="135" t="str">
        <x:v>BLENKIR_V6_SYNTH_20260924</x:v>
      </x:c>
    </x:row>
    <x:row r="149" ht="32" customHeight="1">
      <x:c r="A149" s="133" t="str">
        <x:v>EST-0083</x:v>
      </x:c>
      <x:c r="B149" s="134" t="str">
        <x:v>EST-0083-T1</x:v>
      </x:c>
      <x:c r="C149" s="134" t="str">
        <x:v>2026-07-31</x:v>
      </x:c>
      <x:c r="D149" s="134" t="str">
        <x:v>2026-12-15</x:v>
      </x:c>
      <x:c r="E149" s="134" t="n">
        <x:v>2</x:v>
      </x:c>
      <x:c r="F149" s="134" t="str">
        <x:v>2D</x:v>
      </x:c>
      <x:c r="G149" s="140" t="n">
        <x:v>15.13</x:v>
      </x:c>
      <x:c r="H149" s="140" t="n">
        <x:v>0</x:v>
      </x:c>
      <x:c r="I149" s="140" t="n">
        <x:v>92.38</x:v>
      </x:c>
      <x:c r="J149" s="140" t="n">
        <x:v>10.71</x:v>
      </x:c>
      <x:c r="K149" s="140" t="n">
        <x:v>18.94</x:v>
      </x:c>
      <x:c r="L149" s="140" t="n">
        <x:v>18</x:v>
      </x:c>
      <x:c r="M149" s="140" t="n">
        <x:v>14</x:v>
      </x:c>
      <x:c r="N149" s="134" t="n">
        <x:v>0</x:v>
      </x:c>
      <x:c r="O149" s="134" t="str">
        <x:v>permanece</x:v>
      </x:c>
      <x:c r="P149" s="134" t="str">
        <x:v>holdout</x:v>
      </x:c>
      <x:c r="Q149" s="134" t="str">
        <x:v>synthetic_scientific</x:v>
      </x:c>
      <x:c r="R149" s="135" t="str">
        <x:v>BLENKIR_V6_SYNTH_20260924</x:v>
      </x:c>
    </x:row>
    <x:row r="150" ht="32" customHeight="1">
      <x:c r="A150" s="133" t="str">
        <x:v>EST-0083</x:v>
      </x:c>
      <x:c r="B150" s="134" t="str">
        <x:v>EST-0083-T2</x:v>
      </x:c>
      <x:c r="C150" s="134" t="str">
        <x:v>2026-09-21</x:v>
      </x:c>
      <x:c r="D150" s="134" t="str">
        <x:v>2026-12-15</x:v>
      </x:c>
      <x:c r="E150" s="134" t="n">
        <x:v>2</x:v>
      </x:c>
      <x:c r="F150" s="134" t="str">
        <x:v>2D</x:v>
      </x:c>
      <x:c r="G150" s="140" t="n">
        <x:v>16.47</x:v>
      </x:c>
      <x:c r="H150" s="140" t="n">
        <x:v>0</x:v>
      </x:c>
      <x:c r="I150" s="140" t="n">
        <x:v>94.95</x:v>
      </x:c>
      <x:c r="J150" s="140" t="n">
        <x:v>10.18</x:v>
      </x:c>
      <x:c r="K150" s="140" t="n">
        <x:v>17.69</x:v>
      </x:c>
      <x:c r="L150" s="140" t="n">
        <x:v>19</x:v>
      </x:c>
      <x:c r="M150" s="140" t="n">
        <x:v>13</x:v>
      </x:c>
      <x:c r="N150" s="134" t="n">
        <x:v>0</x:v>
      </x:c>
      <x:c r="O150" s="134" t="str">
        <x:v>permanece</x:v>
      </x:c>
      <x:c r="P150" s="134" t="str">
        <x:v>holdout</x:v>
      </x:c>
      <x:c r="Q150" s="134" t="str">
        <x:v>synthetic_scientific</x:v>
      </x:c>
      <x:c r="R150" s="135" t="str">
        <x:v>BLENKIR_V6_SYNTH_20260924</x:v>
      </x:c>
    </x:row>
    <x:row r="151" ht="32" customHeight="1">
      <x:c r="A151" s="133" t="str">
        <x:v>EST-0084</x:v>
      </x:c>
      <x:c r="B151" s="134" t="str">
        <x:v>EST-0084-T1</x:v>
      </x:c>
      <x:c r="C151" s="134" t="str">
        <x:v>2026-07-31</x:v>
      </x:c>
      <x:c r="D151" s="134" t="str">
        <x:v>2026-12-15</x:v>
      </x:c>
      <x:c r="E151" s="134" t="n">
        <x:v>2</x:v>
      </x:c>
      <x:c r="F151" s="134" t="str">
        <x:v>2D</x:v>
      </x:c>
      <x:c r="G151" s="140" t="n">
        <x:v>16.15</x:v>
      </x:c>
      <x:c r="H151" s="140" t="n">
        <x:v>0</x:v>
      </x:c>
      <x:c r="I151" s="140" t="n">
        <x:v>99.5</x:v>
      </x:c>
      <x:c r="J151" s="140" t="n">
        <x:v>6.12</x:v>
      </x:c>
      <x:c r="K151" s="140" t="n">
        <x:v>14.04</x:v>
      </x:c>
      <x:c r="L151" s="140" t="n">
        <x:v>14</x:v>
      </x:c>
      <x:c r="M151" s="140" t="n">
        <x:v>11</x:v>
      </x:c>
      <x:c r="N151" s="134" t="n">
        <x:v>1</x:v>
      </x:c>
      <x:c r="O151" s="134" t="str">
        <x:v>deserta</x:v>
      </x:c>
      <x:c r="P151" s="134" t="str">
        <x:v>validation</x:v>
      </x:c>
      <x:c r="Q151" s="134" t="str">
        <x:v>synthetic_scientific</x:v>
      </x:c>
      <x:c r="R151" s="135" t="str">
        <x:v>BLENKIR_V6_SYNTH_20260924</x:v>
      </x:c>
    </x:row>
    <x:row r="152" ht="32" customHeight="1">
      <x:c r="A152" s="133" t="str">
        <x:v>EST-0084</x:v>
      </x:c>
      <x:c r="B152" s="134" t="str">
        <x:v>EST-0084-T2</x:v>
      </x:c>
      <x:c r="C152" s="134" t="str">
        <x:v>2026-09-21</x:v>
      </x:c>
      <x:c r="D152" s="134" t="str">
        <x:v>2026-12-15</x:v>
      </x:c>
      <x:c r="E152" s="134" t="n">
        <x:v>2</x:v>
      </x:c>
      <x:c r="F152" s="134" t="str">
        <x:v>2D</x:v>
      </x:c>
      <x:c r="G152" s="140" t="n">
        <x:v>14.63</x:v>
      </x:c>
      <x:c r="H152" s="140" t="n">
        <x:v>0</x:v>
      </x:c>
      <x:c r="I152" s="140" t="n">
        <x:v>99.5</x:v>
      </x:c>
      <x:c r="J152" s="140" t="n">
        <x:v>6.22</x:v>
      </x:c>
      <x:c r="K152" s="140" t="n">
        <x:v>11.25</x:v>
      </x:c>
      <x:c r="L152" s="140" t="n">
        <x:v>14</x:v>
      </x:c>
      <x:c r="M152" s="140" t="n">
        <x:v>10</x:v>
      </x:c>
      <x:c r="N152" s="134" t="n">
        <x:v>1</x:v>
      </x:c>
      <x:c r="O152" s="134" t="str">
        <x:v>deserta</x:v>
      </x:c>
      <x:c r="P152" s="134" t="str">
        <x:v>validation</x:v>
      </x:c>
      <x:c r="Q152" s="134" t="str">
        <x:v>synthetic_scientific</x:v>
      </x:c>
      <x:c r="R152" s="135" t="str">
        <x:v>BLENKIR_V6_SYNTH_20260924</x:v>
      </x:c>
    </x:row>
    <x:row r="153" ht="32" customHeight="1">
      <x:c r="A153" s="133" t="str">
        <x:v>EST-0085</x:v>
      </x:c>
      <x:c r="B153" s="134" t="str">
        <x:v>EST-0085-T1</x:v>
      </x:c>
      <x:c r="C153" s="134" t="str">
        <x:v>2026-07-31</x:v>
      </x:c>
      <x:c r="D153" s="134" t="str">
        <x:v>2026-12-15</x:v>
      </x:c>
      <x:c r="E153" s="134" t="n">
        <x:v>2</x:v>
      </x:c>
      <x:c r="F153" s="134" t="str">
        <x:v>2D</x:v>
      </x:c>
      <x:c r="G153" s="140" t="n">
        <x:v>16</x:v>
      </x:c>
      <x:c r="H153" s="140" t="n">
        <x:v>0</x:v>
      </x:c>
      <x:c r="I153" s="140" t="n">
        <x:v>93.55</x:v>
      </x:c>
      <x:c r="J153" s="140" t="n">
        <x:v>4.6</x:v>
      </x:c>
      <x:c r="K153" s="140" t="n">
        <x:v>13.27</x:v>
      </x:c>
      <x:c r="L153" s="140" t="n">
        <x:v>14</x:v>
      </x:c>
      <x:c r="M153" s="140" t="n">
        <x:v>7</x:v>
      </x:c>
      <x:c r="N153" s="134" t="n">
        <x:v>1</x:v>
      </x:c>
      <x:c r="O153" s="134" t="str">
        <x:v>deserta</x:v>
      </x:c>
      <x:c r="P153" s="134" t="str">
        <x:v>train</x:v>
      </x:c>
      <x:c r="Q153" s="134" t="str">
        <x:v>synthetic_scientific</x:v>
      </x:c>
      <x:c r="R153" s="135" t="str">
        <x:v>BLENKIR_V6_SYNTH_20260924</x:v>
      </x:c>
    </x:row>
    <x:row r="154" ht="32" customHeight="1">
      <x:c r="A154" s="133" t="str">
        <x:v>EST-0085</x:v>
      </x:c>
      <x:c r="B154" s="134" t="str">
        <x:v>EST-0085-T2</x:v>
      </x:c>
      <x:c r="C154" s="134" t="str">
        <x:v>2026-09-21</x:v>
      </x:c>
      <x:c r="D154" s="134" t="str">
        <x:v>2026-12-15</x:v>
      </x:c>
      <x:c r="E154" s="134" t="n">
        <x:v>2</x:v>
      </x:c>
      <x:c r="F154" s="134" t="str">
        <x:v>2D</x:v>
      </x:c>
      <x:c r="G154" s="140" t="n">
        <x:v>15.13</x:v>
      </x:c>
      <x:c r="H154" s="140" t="n">
        <x:v>0</x:v>
      </x:c>
      <x:c r="I154" s="140" t="n">
        <x:v>94.2</x:v>
      </x:c>
      <x:c r="J154" s="140" t="n">
        <x:v>5.43</x:v>
      </x:c>
      <x:c r="K154" s="140" t="n">
        <x:v>11.46</x:v>
      </x:c>
      <x:c r="L154" s="140" t="n">
        <x:v>14</x:v>
      </x:c>
      <x:c r="M154" s="140" t="n">
        <x:v>8</x:v>
      </x:c>
      <x:c r="N154" s="134" t="n">
        <x:v>1</x:v>
      </x:c>
      <x:c r="O154" s="134" t="str">
        <x:v>deserta</x:v>
      </x:c>
      <x:c r="P154" s="134" t="str">
        <x:v>train</x:v>
      </x:c>
      <x:c r="Q154" s="134" t="str">
        <x:v>synthetic_scientific</x:v>
      </x:c>
      <x:c r="R154" s="135" t="str">
        <x:v>BLENKIR_V6_SYNTH_20260924</x:v>
      </x:c>
    </x:row>
    <x:row r="155" ht="32" customHeight="1">
      <x:c r="A155" s="133" t="str">
        <x:v>EST-0086</x:v>
      </x:c>
      <x:c r="B155" s="134" t="str">
        <x:v>EST-0086-T1</x:v>
      </x:c>
      <x:c r="C155" s="134" t="str">
        <x:v>2026-07-31</x:v>
      </x:c>
      <x:c r="D155" s="134" t="str">
        <x:v>2026-12-15</x:v>
      </x:c>
      <x:c r="E155" s="134" t="n">
        <x:v>2</x:v>
      </x:c>
      <x:c r="F155" s="134" t="str">
        <x:v>2D</x:v>
      </x:c>
      <x:c r="G155" s="140" t="n">
        <x:v>17.32</x:v>
      </x:c>
      <x:c r="H155" s="140" t="n">
        <x:v>0</x:v>
      </x:c>
      <x:c r="I155" s="140" t="n">
        <x:v>96.66</x:v>
      </x:c>
      <x:c r="J155" s="140" t="n">
        <x:v>6.78</x:v>
      </x:c>
      <x:c r="K155" s="140" t="n">
        <x:v>13.97</x:v>
      </x:c>
      <x:c r="L155" s="140" t="n">
        <x:v>14</x:v>
      </x:c>
      <x:c r="M155" s="140" t="n">
        <x:v>11</x:v>
      </x:c>
      <x:c r="N155" s="134" t="n">
        <x:v>0</x:v>
      </x:c>
      <x:c r="O155" s="134" t="str">
        <x:v>permanece</x:v>
      </x:c>
      <x:c r="P155" s="134" t="str">
        <x:v>train</x:v>
      </x:c>
      <x:c r="Q155" s="134" t="str">
        <x:v>synthetic_scientific</x:v>
      </x:c>
      <x:c r="R155" s="135" t="str">
        <x:v>BLENKIR_V6_SYNTH_20260924</x:v>
      </x:c>
    </x:row>
    <x:row r="156" ht="32" customHeight="1">
      <x:c r="A156" s="133" t="str">
        <x:v>EST-0086</x:v>
      </x:c>
      <x:c r="B156" s="134" t="str">
        <x:v>EST-0086-T2</x:v>
      </x:c>
      <x:c r="C156" s="134" t="str">
        <x:v>2026-09-21</x:v>
      </x:c>
      <x:c r="D156" s="134" t="str">
        <x:v>2026-12-15</x:v>
      </x:c>
      <x:c r="E156" s="134" t="n">
        <x:v>2</x:v>
      </x:c>
      <x:c r="F156" s="134" t="str">
        <x:v>2D</x:v>
      </x:c>
      <x:c r="G156" s="140" t="n">
        <x:v>15.62</x:v>
      </x:c>
      <x:c r="H156" s="140" t="n">
        <x:v>0</x:v>
      </x:c>
      <x:c r="I156" s="140" t="n">
        <x:v>95.9</x:v>
      </x:c>
      <x:c r="J156" s="140" t="n">
        <x:v>6.21</x:v>
      </x:c>
      <x:c r="K156" s="140" t="n">
        <x:v>13.4</x:v>
      </x:c>
      <x:c r="L156" s="140" t="n">
        <x:v>14</x:v>
      </x:c>
      <x:c r="M156" s="140" t="n">
        <x:v>8</x:v>
      </x:c>
      <x:c r="N156" s="134" t="n">
        <x:v>0</x:v>
      </x:c>
      <x:c r="O156" s="134" t="str">
        <x:v>permanece</x:v>
      </x:c>
      <x:c r="P156" s="134" t="str">
        <x:v>train</x:v>
      </x:c>
      <x:c r="Q156" s="134" t="str">
        <x:v>synthetic_scientific</x:v>
      </x:c>
      <x:c r="R156" s="135" t="str">
        <x:v>BLENKIR_V6_SYNTH_20260924</x:v>
      </x:c>
    </x:row>
    <x:row r="157" ht="32" customHeight="1">
      <x:c r="A157" s="133" t="str">
        <x:v>EST-0087</x:v>
      </x:c>
      <x:c r="B157" s="134" t="str">
        <x:v>EST-0087-T1</x:v>
      </x:c>
      <x:c r="C157" s="134" t="str">
        <x:v>2026-07-31</x:v>
      </x:c>
      <x:c r="D157" s="134" t="str">
        <x:v>2026-12-15</x:v>
      </x:c>
      <x:c r="E157" s="134" t="n">
        <x:v>2</x:v>
      </x:c>
      <x:c r="F157" s="134" t="str">
        <x:v>2D</x:v>
      </x:c>
      <x:c r="G157" s="140" t="n">
        <x:v>14.78</x:v>
      </x:c>
      <x:c r="H157" s="140" t="n">
        <x:v>0</x:v>
      </x:c>
      <x:c r="I157" s="140" t="n">
        <x:v>91.76</x:v>
      </x:c>
      <x:c r="J157" s="140" t="n">
        <x:v>7.32</x:v>
      </x:c>
      <x:c r="K157" s="140" t="n">
        <x:v>9</x:v>
      </x:c>
      <x:c r="L157" s="140" t="n">
        <x:v>12</x:v>
      </x:c>
      <x:c r="M157" s="140" t="n">
        <x:v>7</x:v>
      </x:c>
      <x:c r="N157" s="134" t="n">
        <x:v>1</x:v>
      </x:c>
      <x:c r="O157" s="134" t="str">
        <x:v>deserta</x:v>
      </x:c>
      <x:c r="P157" s="134" t="str">
        <x:v>train</x:v>
      </x:c>
      <x:c r="Q157" s="134" t="str">
        <x:v>synthetic_scientific</x:v>
      </x:c>
      <x:c r="R157" s="135" t="str">
        <x:v>BLENKIR_V6_SYNTH_20260924</x:v>
      </x:c>
    </x:row>
    <x:row r="158" ht="32" customHeight="1">
      <x:c r="A158" s="133" t="str">
        <x:v>EST-0087</x:v>
      </x:c>
      <x:c r="B158" s="134" t="str">
        <x:v>EST-0087-T2</x:v>
      </x:c>
      <x:c r="C158" s="134" t="str">
        <x:v>2026-09-21</x:v>
      </x:c>
      <x:c r="D158" s="134" t="str">
        <x:v>2026-12-15</x:v>
      </x:c>
      <x:c r="E158" s="134" t="n">
        <x:v>2</x:v>
      </x:c>
      <x:c r="F158" s="134" t="str">
        <x:v>2D</x:v>
      </x:c>
      <x:c r="G158" s="140" t="n">
        <x:v>15.51</x:v>
      </x:c>
      <x:c r="H158" s="140" t="n">
        <x:v>0</x:v>
      </x:c>
      <x:c r="I158" s="140" t="n">
        <x:v>91.27</x:v>
      </x:c>
      <x:c r="J158" s="140" t="n">
        <x:v>6.53</x:v>
      </x:c>
      <x:c r="K158" s="140" t="n">
        <x:v>9.2</x:v>
      </x:c>
      <x:c r="L158" s="140" t="n">
        <x:v>12</x:v>
      </x:c>
      <x:c r="M158" s="140" t="n">
        <x:v>7</x:v>
      </x:c>
      <x:c r="N158" s="134" t="n">
        <x:v>1</x:v>
      </x:c>
      <x:c r="O158" s="134" t="str">
        <x:v>deserta</x:v>
      </x:c>
      <x:c r="P158" s="134" t="str">
        <x:v>train</x:v>
      </x:c>
      <x:c r="Q158" s="134" t="str">
        <x:v>synthetic_scientific</x:v>
      </x:c>
      <x:c r="R158" s="135" t="str">
        <x:v>BLENKIR_V6_SYNTH_20260924</x:v>
      </x:c>
    </x:row>
    <x:row r="159" ht="32" customHeight="1">
      <x:c r="A159" s="133" t="str">
        <x:v>EST-0088</x:v>
      </x:c>
      <x:c r="B159" s="134" t="str">
        <x:v>EST-0088-T1</x:v>
      </x:c>
      <x:c r="C159" s="134" t="str">
        <x:v>2026-07-31</x:v>
      </x:c>
      <x:c r="D159" s="134" t="str">
        <x:v>2026-12-15</x:v>
      </x:c>
      <x:c r="E159" s="134" t="n">
        <x:v>2</x:v>
      </x:c>
      <x:c r="F159" s="134" t="str">
        <x:v>2D</x:v>
      </x:c>
      <x:c r="G159" s="140" t="n">
        <x:v>16.65</x:v>
      </x:c>
      <x:c r="H159" s="140" t="n">
        <x:v>0</x:v>
      </x:c>
      <x:c r="I159" s="140" t="n">
        <x:v>99.5</x:v>
      </x:c>
      <x:c r="J159" s="140" t="n">
        <x:v>4.97</x:v>
      </x:c>
      <x:c r="K159" s="140" t="n">
        <x:v>8.99</x:v>
      </x:c>
      <x:c r="L159" s="140" t="n">
        <x:v>8</x:v>
      </x:c>
      <x:c r="M159" s="140" t="n">
        <x:v>9</x:v>
      </x:c>
      <x:c r="N159" s="134" t="n">
        <x:v>0</x:v>
      </x:c>
      <x:c r="O159" s="134" t="str">
        <x:v>permanece</x:v>
      </x:c>
      <x:c r="P159" s="134" t="str">
        <x:v>train</x:v>
      </x:c>
      <x:c r="Q159" s="134" t="str">
        <x:v>synthetic_scientific</x:v>
      </x:c>
      <x:c r="R159" s="135" t="str">
        <x:v>BLENKIR_V6_SYNTH_20260924</x:v>
      </x:c>
    </x:row>
    <x:row r="160" ht="32" customHeight="1">
      <x:c r="A160" s="133" t="str">
        <x:v>EST-0088</x:v>
      </x:c>
      <x:c r="B160" s="134" t="str">
        <x:v>EST-0088-T2</x:v>
      </x:c>
      <x:c r="C160" s="134" t="str">
        <x:v>2026-09-21</x:v>
      </x:c>
      <x:c r="D160" s="134" t="str">
        <x:v>2026-12-15</x:v>
      </x:c>
      <x:c r="E160" s="134" t="n">
        <x:v>2</x:v>
      </x:c>
      <x:c r="F160" s="134" t="str">
        <x:v>2D</x:v>
      </x:c>
      <x:c r="G160" s="140" t="n">
        <x:v>17.01</x:v>
      </x:c>
      <x:c r="H160" s="140" t="n">
        <x:v>0</x:v>
      </x:c>
      <x:c r="I160" s="140" t="n">
        <x:v>99.23</x:v>
      </x:c>
      <x:c r="J160" s="140" t="n">
        <x:v>5.82</x:v>
      </x:c>
      <x:c r="K160" s="140" t="n">
        <x:v>11.38</x:v>
      </x:c>
      <x:c r="L160" s="140" t="n">
        <x:v>10</x:v>
      </x:c>
      <x:c r="M160" s="140" t="n">
        <x:v>8</x:v>
      </x:c>
      <x:c r="N160" s="134" t="n">
        <x:v>0</x:v>
      </x:c>
      <x:c r="O160" s="134" t="str">
        <x:v>permanece</x:v>
      </x:c>
      <x:c r="P160" s="134" t="str">
        <x:v>train</x:v>
      </x:c>
      <x:c r="Q160" s="134" t="str">
        <x:v>synthetic_scientific</x:v>
      </x:c>
      <x:c r="R160" s="135" t="str">
        <x:v>BLENKIR_V6_SYNTH_20260924</x:v>
      </x:c>
    </x:row>
    <x:row r="161" ht="32" customHeight="1">
      <x:c r="A161" s="133" t="str">
        <x:v>EST-0089</x:v>
      </x:c>
      <x:c r="B161" s="134" t="str">
        <x:v>EST-0089-T1</x:v>
      </x:c>
      <x:c r="C161" s="134" t="str">
        <x:v>2026-07-31</x:v>
      </x:c>
      <x:c r="D161" s="134" t="str">
        <x:v>2026-12-15</x:v>
      </x:c>
      <x:c r="E161" s="134" t="n">
        <x:v>2</x:v>
      </x:c>
      <x:c r="F161" s="134" t="str">
        <x:v>2D</x:v>
      </x:c>
      <x:c r="G161" s="140" t="n">
        <x:v>17.37</x:v>
      </x:c>
      <x:c r="H161" s="140" t="n">
        <x:v>0</x:v>
      </x:c>
      <x:c r="I161" s="140" t="n">
        <x:v>99.5</x:v>
      </x:c>
      <x:c r="J161" s="140" t="n">
        <x:v>7.4</x:v>
      </x:c>
      <x:c r="K161" s="140" t="n">
        <x:v>15.03</x:v>
      </x:c>
      <x:c r="L161" s="140" t="n">
        <x:v>13</x:v>
      </x:c>
      <x:c r="M161" s="140" t="n">
        <x:v>13</x:v>
      </x:c>
      <x:c r="N161" s="134" t="n">
        <x:v>0</x:v>
      </x:c>
      <x:c r="O161" s="134" t="str">
        <x:v>permanece</x:v>
      </x:c>
      <x:c r="P161" s="134" t="str">
        <x:v>train</x:v>
      </x:c>
      <x:c r="Q161" s="134" t="str">
        <x:v>synthetic_scientific</x:v>
      </x:c>
      <x:c r="R161" s="135" t="str">
        <x:v>BLENKIR_V6_SYNTH_20260924</x:v>
      </x:c>
    </x:row>
    <x:row r="162" ht="32" customHeight="1">
      <x:c r="A162" s="133" t="str">
        <x:v>EST-0089</x:v>
      </x:c>
      <x:c r="B162" s="134" t="str">
        <x:v>EST-0089-T2</x:v>
      </x:c>
      <x:c r="C162" s="134" t="str">
        <x:v>2026-09-21</x:v>
      </x:c>
      <x:c r="D162" s="134" t="str">
        <x:v>2026-12-15</x:v>
      </x:c>
      <x:c r="E162" s="134" t="n">
        <x:v>2</x:v>
      </x:c>
      <x:c r="F162" s="134" t="str">
        <x:v>2D</x:v>
      </x:c>
      <x:c r="G162" s="140" t="n">
        <x:v>17</x:v>
      </x:c>
      <x:c r="H162" s="140" t="n">
        <x:v>0</x:v>
      </x:c>
      <x:c r="I162" s="140" t="n">
        <x:v>99.5</x:v>
      </x:c>
      <x:c r="J162" s="140" t="n">
        <x:v>7.53</x:v>
      </x:c>
      <x:c r="K162" s="140" t="n">
        <x:v>15.64</x:v>
      </x:c>
      <x:c r="L162" s="140" t="n">
        <x:v>15</x:v>
      </x:c>
      <x:c r="M162" s="140" t="n">
        <x:v>13</x:v>
      </x:c>
      <x:c r="N162" s="134" t="n">
        <x:v>0</x:v>
      </x:c>
      <x:c r="O162" s="134" t="str">
        <x:v>permanece</x:v>
      </x:c>
      <x:c r="P162" s="134" t="str">
        <x:v>train</x:v>
      </x:c>
      <x:c r="Q162" s="134" t="str">
        <x:v>synthetic_scientific</x:v>
      </x:c>
      <x:c r="R162" s="135" t="str">
        <x:v>BLENKIR_V6_SYNTH_20260924</x:v>
      </x:c>
    </x:row>
    <x:row r="163" ht="32" customHeight="1">
      <x:c r="A163" s="133" t="str">
        <x:v>EST-0090</x:v>
      </x:c>
      <x:c r="B163" s="134" t="str">
        <x:v>EST-0090-T1</x:v>
      </x:c>
      <x:c r="C163" s="134" t="str">
        <x:v>2026-07-31</x:v>
      </x:c>
      <x:c r="D163" s="134" t="str">
        <x:v>2026-12-15</x:v>
      </x:c>
      <x:c r="E163" s="134" t="n">
        <x:v>2</x:v>
      </x:c>
      <x:c r="F163" s="134" t="str">
        <x:v>2D</x:v>
      </x:c>
      <x:c r="G163" s="140" t="n">
        <x:v>16.68</x:v>
      </x:c>
      <x:c r="H163" s="140" t="n">
        <x:v>0</x:v>
      </x:c>
      <x:c r="I163" s="140" t="n">
        <x:v>91.23</x:v>
      </x:c>
      <x:c r="J163" s="140" t="n">
        <x:v>5.58</x:v>
      </x:c>
      <x:c r="K163" s="140" t="n">
        <x:v>10.7</x:v>
      </x:c>
      <x:c r="L163" s="140" t="n">
        <x:v>14</x:v>
      </x:c>
      <x:c r="M163" s="140" t="n">
        <x:v>10</x:v>
      </x:c>
      <x:c r="N163" s="134" t="n">
        <x:v>0</x:v>
      </x:c>
      <x:c r="O163" s="134" t="str">
        <x:v>permanece</x:v>
      </x:c>
      <x:c r="P163" s="134" t="str">
        <x:v>train</x:v>
      </x:c>
      <x:c r="Q163" s="134" t="str">
        <x:v>synthetic_scientific</x:v>
      </x:c>
      <x:c r="R163" s="135" t="str">
        <x:v>BLENKIR_V6_SYNTH_20260924</x:v>
      </x:c>
    </x:row>
    <x:row r="164" ht="32" customHeight="1">
      <x:c r="A164" s="133" t="str">
        <x:v>EST-0090</x:v>
      </x:c>
      <x:c r="B164" s="134" t="str">
        <x:v>EST-0090-T2</x:v>
      </x:c>
      <x:c r="C164" s="134" t="str">
        <x:v>2026-09-21</x:v>
      </x:c>
      <x:c r="D164" s="134" t="str">
        <x:v>2026-12-15</x:v>
      </x:c>
      <x:c r="E164" s="134" t="n">
        <x:v>2</x:v>
      </x:c>
      <x:c r="F164" s="134" t="str">
        <x:v>2D</x:v>
      </x:c>
      <x:c r="G164" s="140" t="n">
        <x:v>16.28</x:v>
      </x:c>
      <x:c r="H164" s="140" t="n">
        <x:v>0</x:v>
      </x:c>
      <x:c r="I164" s="140" t="n">
        <x:v>93.98</x:v>
      </x:c>
      <x:c r="J164" s="140" t="n">
        <x:v>5.86</x:v>
      </x:c>
      <x:c r="K164" s="140" t="n">
        <x:v>12.73</x:v>
      </x:c>
      <x:c r="L164" s="140" t="n">
        <x:v>15</x:v>
      </x:c>
      <x:c r="M164" s="140" t="n">
        <x:v>8</x:v>
      </x:c>
      <x:c r="N164" s="134" t="n">
        <x:v>0</x:v>
      </x:c>
      <x:c r="O164" s="134" t="str">
        <x:v>permanece</x:v>
      </x:c>
      <x:c r="P164" s="134" t="str">
        <x:v>train</x:v>
      </x:c>
      <x:c r="Q164" s="134" t="str">
        <x:v>synthetic_scientific</x:v>
      </x:c>
      <x:c r="R164" s="135" t="str">
        <x:v>BLENKIR_V6_SYNTH_20260924</x:v>
      </x:c>
    </x:row>
    <x:row r="165" ht="32" customHeight="1">
      <x:c r="A165" s="133" t="str">
        <x:v>EST-0091</x:v>
      </x:c>
      <x:c r="B165" s="134" t="str">
        <x:v>EST-0091-T1</x:v>
      </x:c>
      <x:c r="C165" s="134" t="str">
        <x:v>2026-07-31</x:v>
      </x:c>
      <x:c r="D165" s="134" t="str">
        <x:v>2026-12-15</x:v>
      </x:c>
      <x:c r="E165" s="134" t="n">
        <x:v>2</x:v>
      </x:c>
      <x:c r="F165" s="134" t="str">
        <x:v>2D</x:v>
      </x:c>
      <x:c r="G165" s="140" t="n">
        <x:v>12.4</x:v>
      </x:c>
      <x:c r="H165" s="140" t="n">
        <x:v>0</x:v>
      </x:c>
      <x:c r="I165" s="140" t="n">
        <x:v>91.58</x:v>
      </x:c>
      <x:c r="J165" s="140" t="n">
        <x:v>9.88</x:v>
      </x:c>
      <x:c r="K165" s="140" t="n">
        <x:v>14.12</x:v>
      </x:c>
      <x:c r="L165" s="140" t="n">
        <x:v>18</x:v>
      </x:c>
      <x:c r="M165" s="140" t="n">
        <x:v>8</x:v>
      </x:c>
      <x:c r="N165" s="134" t="n">
        <x:v>1</x:v>
      </x:c>
      <x:c r="O165" s="134" t="str">
        <x:v>deserta</x:v>
      </x:c>
      <x:c r="P165" s="134" t="str">
        <x:v>train</x:v>
      </x:c>
      <x:c r="Q165" s="134" t="str">
        <x:v>synthetic_scientific</x:v>
      </x:c>
      <x:c r="R165" s="135" t="str">
        <x:v>BLENKIR_V6_SYNTH_20260924</x:v>
      </x:c>
    </x:row>
    <x:row r="166" ht="32" customHeight="1">
      <x:c r="A166" s="133" t="str">
        <x:v>EST-0091</x:v>
      </x:c>
      <x:c r="B166" s="134" t="str">
        <x:v>EST-0091-T2</x:v>
      </x:c>
      <x:c r="C166" s="134" t="str">
        <x:v>2026-09-21</x:v>
      </x:c>
      <x:c r="D166" s="134" t="str">
        <x:v>2026-12-15</x:v>
      </x:c>
      <x:c r="E166" s="134" t="n">
        <x:v>2</x:v>
      </x:c>
      <x:c r="F166" s="134" t="str">
        <x:v>2D</x:v>
      </x:c>
      <x:c r="G166" s="140" t="n">
        <x:v>11.86</x:v>
      </x:c>
      <x:c r="H166" s="140" t="n">
        <x:v>0</x:v>
      </x:c>
      <x:c r="I166" s="140" t="n">
        <x:v>89.95</x:v>
      </x:c>
      <x:c r="J166" s="140" t="n">
        <x:v>9.05</x:v>
      </x:c>
      <x:c r="K166" s="140" t="n">
        <x:v>17.81</x:v>
      </x:c>
      <x:c r="L166" s="140" t="n">
        <x:v>17</x:v>
      </x:c>
      <x:c r="M166" s="140" t="n">
        <x:v>10</x:v>
      </x:c>
      <x:c r="N166" s="134" t="n">
        <x:v>1</x:v>
      </x:c>
      <x:c r="O166" s="134" t="str">
        <x:v>deserta</x:v>
      </x:c>
      <x:c r="P166" s="134" t="str">
        <x:v>train</x:v>
      </x:c>
      <x:c r="Q166" s="134" t="str">
        <x:v>synthetic_scientific</x:v>
      </x:c>
      <x:c r="R166" s="135" t="str">
        <x:v>BLENKIR_V6_SYNTH_20260924</x:v>
      </x:c>
    </x:row>
    <x:row r="167" ht="32" customHeight="1">
      <x:c r="A167" s="133" t="str">
        <x:v>EST-0092</x:v>
      </x:c>
      <x:c r="B167" s="134" t="str">
        <x:v>EST-0092-T1</x:v>
      </x:c>
      <x:c r="C167" s="134" t="str">
        <x:v>2026-07-31</x:v>
      </x:c>
      <x:c r="D167" s="134" t="str">
        <x:v>2026-12-15</x:v>
      </x:c>
      <x:c r="E167" s="134" t="n">
        <x:v>2</x:v>
      </x:c>
      <x:c r="F167" s="134" t="str">
        <x:v>2D</x:v>
      </x:c>
      <x:c r="G167" s="140" t="n">
        <x:v>16.23</x:v>
      </x:c>
      <x:c r="H167" s="140" t="n">
        <x:v>1</x:v>
      </x:c>
      <x:c r="I167" s="140" t="n">
        <x:v>96.72</x:v>
      </x:c>
      <x:c r="J167" s="140" t="n">
        <x:v>7.97</x:v>
      </x:c>
      <x:c r="K167" s="140" t="n">
        <x:v>17.26</x:v>
      </x:c>
      <x:c r="L167" s="140" t="n">
        <x:v>17</x:v>
      </x:c>
      <x:c r="M167" s="140" t="n">
        <x:v>14</x:v>
      </x:c>
      <x:c r="N167" s="134" t="n">
        <x:v>0</x:v>
      </x:c>
      <x:c r="O167" s="134" t="str">
        <x:v>permanece</x:v>
      </x:c>
      <x:c r="P167" s="134" t="str">
        <x:v>holdout</x:v>
      </x:c>
      <x:c r="Q167" s="134" t="str">
        <x:v>synthetic_scientific</x:v>
      </x:c>
      <x:c r="R167" s="135" t="str">
        <x:v>BLENKIR_V6_SYNTH_20260924</x:v>
      </x:c>
    </x:row>
    <x:row r="168" ht="32" customHeight="1">
      <x:c r="A168" s="133" t="str">
        <x:v>EST-0092</x:v>
      </x:c>
      <x:c r="B168" s="134" t="str">
        <x:v>EST-0092-T2</x:v>
      </x:c>
      <x:c r="C168" s="134" t="str">
        <x:v>2026-09-21</x:v>
      </x:c>
      <x:c r="D168" s="134" t="str">
        <x:v>2026-12-15</x:v>
      </x:c>
      <x:c r="E168" s="134" t="n">
        <x:v>2</x:v>
      </x:c>
      <x:c r="F168" s="134" t="str">
        <x:v>2D</x:v>
      </x:c>
      <x:c r="G168" s="140" t="n">
        <x:v>17.15</x:v>
      </x:c>
      <x:c r="H168" s="140" t="n">
        <x:v>0</x:v>
      </x:c>
      <x:c r="I168" s="140" t="n">
        <x:v>93</x:v>
      </x:c>
      <x:c r="J168" s="140" t="n">
        <x:v>8.11</x:v>
      </x:c>
      <x:c r="K168" s="140" t="n">
        <x:v>14.29</x:v>
      </x:c>
      <x:c r="L168" s="140" t="n">
        <x:v>16</x:v>
      </x:c>
      <x:c r="M168" s="140" t="n">
        <x:v>13</x:v>
      </x:c>
      <x:c r="N168" s="134" t="n">
        <x:v>0</x:v>
      </x:c>
      <x:c r="O168" s="134" t="str">
        <x:v>permanece</x:v>
      </x:c>
      <x:c r="P168" s="134" t="str">
        <x:v>holdout</x:v>
      </x:c>
      <x:c r="Q168" s="134" t="str">
        <x:v>synthetic_scientific</x:v>
      </x:c>
      <x:c r="R168" s="135" t="str">
        <x:v>BLENKIR_V6_SYNTH_20260924</x:v>
      </x:c>
    </x:row>
    <x:row r="169" ht="32" customHeight="1">
      <x:c r="A169" s="133" t="str">
        <x:v>EST-0094</x:v>
      </x:c>
      <x:c r="B169" s="134" t="str">
        <x:v>EST-0094-T1</x:v>
      </x:c>
      <x:c r="C169" s="134" t="str">
        <x:v>2026-07-31</x:v>
      </x:c>
      <x:c r="D169" s="134" t="str">
        <x:v>2026-12-15</x:v>
      </x:c>
      <x:c r="E169" s="134" t="n">
        <x:v>3</x:v>
      </x:c>
      <x:c r="F169" s="134" t="str">
        <x:v>3A</x:v>
      </x:c>
      <x:c r="G169" s="140" t="n">
        <x:v>15.41</x:v>
      </x:c>
      <x:c r="H169" s="140" t="n">
        <x:v>0</x:v>
      </x:c>
      <x:c r="I169" s="140" t="n">
        <x:v>95.01</x:v>
      </x:c>
      <x:c r="J169" s="140" t="n">
        <x:v>10.83</x:v>
      </x:c>
      <x:c r="K169" s="140" t="n">
        <x:v>16.86</x:v>
      </x:c>
      <x:c r="L169" s="140" t="n">
        <x:v>14</x:v>
      </x:c>
      <x:c r="M169" s="140" t="n">
        <x:v>10</x:v>
      </x:c>
      <x:c r="N169" s="134" t="n">
        <x:v>0</x:v>
      </x:c>
      <x:c r="O169" s="134" t="str">
        <x:v>permanece</x:v>
      </x:c>
      <x:c r="P169" s="134" t="str">
        <x:v>train</x:v>
      </x:c>
      <x:c r="Q169" s="134" t="str">
        <x:v>synthetic_scientific</x:v>
      </x:c>
      <x:c r="R169" s="135" t="str">
        <x:v>BLENKIR_V6_SYNTH_20260924</x:v>
      </x:c>
    </x:row>
    <x:row r="170" ht="32" customHeight="1">
      <x:c r="A170" s="133" t="str">
        <x:v>EST-0094</x:v>
      </x:c>
      <x:c r="B170" s="134" t="str">
        <x:v>EST-0094-T2</x:v>
      </x:c>
      <x:c r="C170" s="134" t="str">
        <x:v>2026-09-21</x:v>
      </x:c>
      <x:c r="D170" s="134" t="str">
        <x:v>2026-12-15</x:v>
      </x:c>
      <x:c r="E170" s="134" t="n">
        <x:v>3</x:v>
      </x:c>
      <x:c r="F170" s="134" t="str">
        <x:v>3A</x:v>
      </x:c>
      <x:c r="G170" s="140" t="n">
        <x:v>14.82</x:v>
      </x:c>
      <x:c r="H170" s="140" t="n">
        <x:v>0</x:v>
      </x:c>
      <x:c r="I170" s="140" t="n">
        <x:v>92.66</x:v>
      </x:c>
      <x:c r="J170" s="140" t="n">
        <x:v>9.68</x:v>
      </x:c>
      <x:c r="K170" s="140" t="n">
        <x:v>16.04</x:v>
      </x:c>
      <x:c r="L170" s="140" t="n">
        <x:v>16</x:v>
      </x:c>
      <x:c r="M170" s="140" t="n">
        <x:v>11</x:v>
      </x:c>
      <x:c r="N170" s="134" t="n">
        <x:v>0</x:v>
      </x:c>
      <x:c r="O170" s="134" t="str">
        <x:v>permanece</x:v>
      </x:c>
      <x:c r="P170" s="134" t="str">
        <x:v>train</x:v>
      </x:c>
      <x:c r="Q170" s="134" t="str">
        <x:v>synthetic_scientific</x:v>
      </x:c>
      <x:c r="R170" s="135" t="str">
        <x:v>BLENKIR_V6_SYNTH_20260924</x:v>
      </x:c>
    </x:row>
    <x:row r="171" ht="32" customHeight="1">
      <x:c r="A171" s="133" t="str">
        <x:v>EST-0095</x:v>
      </x:c>
      <x:c r="B171" s="134" t="str">
        <x:v>EST-0095-T1</x:v>
      </x:c>
      <x:c r="C171" s="134" t="str">
        <x:v>2026-07-31</x:v>
      </x:c>
      <x:c r="D171" s="134" t="str">
        <x:v>2026-12-15</x:v>
      </x:c>
      <x:c r="E171" s="134" t="n">
        <x:v>3</x:v>
      </x:c>
      <x:c r="F171" s="134" t="str">
        <x:v>3A</x:v>
      </x:c>
      <x:c r="G171" s="140" t="n">
        <x:v>12.91</x:v>
      </x:c>
      <x:c r="H171" s="140" t="n">
        <x:v>0</x:v>
      </x:c>
      <x:c r="I171" s="140" t="n">
        <x:v>83.97</x:v>
      </x:c>
      <x:c r="J171" s="140" t="n">
        <x:v>9.19</x:v>
      </x:c>
      <x:c r="K171" s="140" t="n">
        <x:v>13.52</x:v>
      </x:c>
      <x:c r="L171" s="140" t="n">
        <x:v>14</x:v>
      </x:c>
      <x:c r="M171" s="140" t="n">
        <x:v>12</x:v>
      </x:c>
      <x:c r="N171" s="134" t="n">
        <x:v>0</x:v>
      </x:c>
      <x:c r="O171" s="134" t="str">
        <x:v>permanece</x:v>
      </x:c>
      <x:c r="P171" s="134" t="str">
        <x:v>holdout</x:v>
      </x:c>
      <x:c r="Q171" s="134" t="str">
        <x:v>synthetic_scientific</x:v>
      </x:c>
      <x:c r="R171" s="135" t="str">
        <x:v>BLENKIR_V6_SYNTH_20260924</x:v>
      </x:c>
    </x:row>
    <x:row r="172" ht="32" customHeight="1">
      <x:c r="A172" s="133" t="str">
        <x:v>EST-0095</x:v>
      </x:c>
      <x:c r="B172" s="134" t="str">
        <x:v>EST-0095-T2</x:v>
      </x:c>
      <x:c r="C172" s="134" t="str">
        <x:v>2026-09-21</x:v>
      </x:c>
      <x:c r="D172" s="134" t="str">
        <x:v>2026-12-15</x:v>
      </x:c>
      <x:c r="E172" s="134" t="n">
        <x:v>3</x:v>
      </x:c>
      <x:c r="F172" s="134" t="str">
        <x:v>3A</x:v>
      </x:c>
      <x:c r="G172" s="140" t="n">
        <x:v>12.75</x:v>
      </x:c>
      <x:c r="H172" s="140" t="n">
        <x:v>0</x:v>
      </x:c>
      <x:c r="I172" s="140" t="n">
        <x:v>83.85</x:v>
      </x:c>
      <x:c r="J172" s="140" t="n">
        <x:v>7.69</x:v>
      </x:c>
      <x:c r="K172" s="140" t="n">
        <x:v>16.71</x:v>
      </x:c>
      <x:c r="L172" s="140" t="n">
        <x:v>14</x:v>
      </x:c>
      <x:c r="M172" s="140" t="n">
        <x:v>12</x:v>
      </x:c>
      <x:c r="N172" s="134" t="n">
        <x:v>0</x:v>
      </x:c>
      <x:c r="O172" s="134" t="str">
        <x:v>permanece</x:v>
      </x:c>
      <x:c r="P172" s="134" t="str">
        <x:v>holdout</x:v>
      </x:c>
      <x:c r="Q172" s="134" t="str">
        <x:v>synthetic_scientific</x:v>
      </x:c>
      <x:c r="R172" s="135" t="str">
        <x:v>BLENKIR_V6_SYNTH_20260924</x:v>
      </x:c>
    </x:row>
    <x:row r="173" ht="32" customHeight="1">
      <x:c r="A173" s="133" t="str">
        <x:v>EST-0096</x:v>
      </x:c>
      <x:c r="B173" s="134" t="str">
        <x:v>EST-0096-T1</x:v>
      </x:c>
      <x:c r="C173" s="134" t="str">
        <x:v>2026-07-31</x:v>
      </x:c>
      <x:c r="D173" s="134" t="str">
        <x:v>2026-12-15</x:v>
      </x:c>
      <x:c r="E173" s="134" t="n">
        <x:v>3</x:v>
      </x:c>
      <x:c r="F173" s="134" t="str">
        <x:v>3A</x:v>
      </x:c>
      <x:c r="G173" s="140" t="n">
        <x:v>13.15</x:v>
      </x:c>
      <x:c r="H173" s="140" t="n">
        <x:v>0</x:v>
      </x:c>
      <x:c r="I173" s="140" t="n">
        <x:v>94.72</x:v>
      </x:c>
      <x:c r="J173" s="140" t="n">
        <x:v>7.83</x:v>
      </x:c>
      <x:c r="K173" s="140" t="n">
        <x:v>19.05</x:v>
      </x:c>
      <x:c r="L173" s="140" t="n">
        <x:v>19</x:v>
      </x:c>
      <x:c r="M173" s="140" t="n">
        <x:v>13</x:v>
      </x:c>
      <x:c r="N173" s="134" t="n">
        <x:v>0</x:v>
      </x:c>
      <x:c r="O173" s="134" t="str">
        <x:v>permanece</x:v>
      </x:c>
      <x:c r="P173" s="134" t="str">
        <x:v>holdout</x:v>
      </x:c>
      <x:c r="Q173" s="134" t="str">
        <x:v>synthetic_scientific</x:v>
      </x:c>
      <x:c r="R173" s="135" t="str">
        <x:v>BLENKIR_V6_SYNTH_20260924</x:v>
      </x:c>
    </x:row>
    <x:row r="174" ht="32" customHeight="1">
      <x:c r="A174" s="133" t="str">
        <x:v>EST-0096</x:v>
      </x:c>
      <x:c r="B174" s="134" t="str">
        <x:v>EST-0096-T2</x:v>
      </x:c>
      <x:c r="C174" s="134" t="str">
        <x:v>2026-09-21</x:v>
      </x:c>
      <x:c r="D174" s="134" t="str">
        <x:v>2026-12-15</x:v>
      </x:c>
      <x:c r="E174" s="134" t="n">
        <x:v>3</x:v>
      </x:c>
      <x:c r="F174" s="134" t="str">
        <x:v>3A</x:v>
      </x:c>
      <x:c r="G174" s="140" t="n">
        <x:v>13.96</x:v>
      </x:c>
      <x:c r="H174" s="140" t="n">
        <x:v>0</x:v>
      </x:c>
      <x:c r="I174" s="140" t="n">
        <x:v>95.41</x:v>
      </x:c>
      <x:c r="J174" s="140" t="n">
        <x:v>9.2</x:v>
      </x:c>
      <x:c r="K174" s="140" t="n">
        <x:v>18.75</x:v>
      </x:c>
      <x:c r="L174" s="140" t="n">
        <x:v>19</x:v>
      </x:c>
      <x:c r="M174" s="140" t="n">
        <x:v>13</x:v>
      </x:c>
      <x:c r="N174" s="134" t="n">
        <x:v>0</x:v>
      </x:c>
      <x:c r="O174" s="134" t="str">
        <x:v>permanece</x:v>
      </x:c>
      <x:c r="P174" s="134" t="str">
        <x:v>holdout</x:v>
      </x:c>
      <x:c r="Q174" s="134" t="str">
        <x:v>synthetic_scientific</x:v>
      </x:c>
      <x:c r="R174" s="135" t="str">
        <x:v>BLENKIR_V6_SYNTH_20260924</x:v>
      </x:c>
    </x:row>
    <x:row r="175" ht="32" customHeight="1">
      <x:c r="A175" s="133" t="str">
        <x:v>EST-0097</x:v>
      </x:c>
      <x:c r="B175" s="134" t="str">
        <x:v>EST-0097-T1</x:v>
      </x:c>
      <x:c r="C175" s="134" t="str">
        <x:v>2026-07-31</x:v>
      </x:c>
      <x:c r="D175" s="134" t="str">
        <x:v>2026-12-15</x:v>
      </x:c>
      <x:c r="E175" s="134" t="n">
        <x:v>3</x:v>
      </x:c>
      <x:c r="F175" s="134" t="str">
        <x:v>3A</x:v>
      </x:c>
      <x:c r="G175" s="140" t="n">
        <x:v>15.79</x:v>
      </x:c>
      <x:c r="H175" s="140" t="n">
        <x:v>0</x:v>
      </x:c>
      <x:c r="I175" s="140" t="n">
        <x:v>94.13</x:v>
      </x:c>
      <x:c r="J175" s="140" t="n">
        <x:v>5.89</x:v>
      </x:c>
      <x:c r="K175" s="140" t="n">
        <x:v>8.21</x:v>
      </x:c>
      <x:c r="L175" s="140" t="n">
        <x:v>13</x:v>
      </x:c>
      <x:c r="M175" s="140" t="n">
        <x:v>8</x:v>
      </x:c>
      <x:c r="N175" s="134" t="n">
        <x:v>0</x:v>
      </x:c>
      <x:c r="O175" s="134" t="str">
        <x:v>permanece</x:v>
      </x:c>
      <x:c r="P175" s="134" t="str">
        <x:v>validation</x:v>
      </x:c>
      <x:c r="Q175" s="134" t="str">
        <x:v>synthetic_scientific</x:v>
      </x:c>
      <x:c r="R175" s="135" t="str">
        <x:v>BLENKIR_V6_SYNTH_20260924</x:v>
      </x:c>
    </x:row>
    <x:row r="176" ht="32" customHeight="1">
      <x:c r="A176" s="133" t="str">
        <x:v>EST-0097</x:v>
      </x:c>
      <x:c r="B176" s="134" t="str">
        <x:v>EST-0097-T2</x:v>
      </x:c>
      <x:c r="C176" s="134" t="str">
        <x:v>2026-09-21</x:v>
      </x:c>
      <x:c r="D176" s="134" t="str">
        <x:v>2026-12-15</x:v>
      </x:c>
      <x:c r="E176" s="134" t="n">
        <x:v>3</x:v>
      </x:c>
      <x:c r="F176" s="134" t="str">
        <x:v>3A</x:v>
      </x:c>
      <x:c r="G176" s="140" t="n">
        <x:v>13.51</x:v>
      </x:c>
      <x:c r="H176" s="140" t="n">
        <x:v>0</x:v>
      </x:c>
      <x:c r="I176" s="140" t="n">
        <x:v>91.73</x:v>
      </x:c>
      <x:c r="J176" s="140" t="n">
        <x:v>4.83</x:v>
      </x:c>
      <x:c r="K176" s="140" t="n">
        <x:v>8.01</x:v>
      </x:c>
      <x:c r="L176" s="140" t="n">
        <x:v>9</x:v>
      </x:c>
      <x:c r="M176" s="140" t="n">
        <x:v>8</x:v>
      </x:c>
      <x:c r="N176" s="134" t="n">
        <x:v>0</x:v>
      </x:c>
      <x:c r="O176" s="134" t="str">
        <x:v>permanece</x:v>
      </x:c>
      <x:c r="P176" s="134" t="str">
        <x:v>validation</x:v>
      </x:c>
      <x:c r="Q176" s="134" t="str">
        <x:v>synthetic_scientific</x:v>
      </x:c>
      <x:c r="R176" s="135" t="str">
        <x:v>BLENKIR_V6_SYNTH_20260924</x:v>
      </x:c>
    </x:row>
    <x:row r="177" ht="32" customHeight="1">
      <x:c r="A177" s="133" t="str">
        <x:v>EST-0098</x:v>
      </x:c>
      <x:c r="B177" s="134" t="str">
        <x:v>EST-0098-T1</x:v>
      </x:c>
      <x:c r="C177" s="134" t="str">
        <x:v>2026-07-31</x:v>
      </x:c>
      <x:c r="D177" s="134" t="str">
        <x:v>2026-12-15</x:v>
      </x:c>
      <x:c r="E177" s="134" t="n">
        <x:v>3</x:v>
      </x:c>
      <x:c r="F177" s="134" t="str">
        <x:v>3A</x:v>
      </x:c>
      <x:c r="G177" s="140" t="n">
        <x:v>17.35</x:v>
      </x:c>
      <x:c r="H177" s="140" t="n">
        <x:v>0</x:v>
      </x:c>
      <x:c r="I177" s="140" t="n">
        <x:v>90.36</x:v>
      </x:c>
      <x:c r="J177" s="140" t="n">
        <x:v>5.9</x:v>
      </x:c>
      <x:c r="K177" s="140" t="n">
        <x:v>12.3</x:v>
      </x:c>
      <x:c r="L177" s="140" t="n">
        <x:v>10</x:v>
      </x:c>
      <x:c r="M177" s="140" t="n">
        <x:v>9</x:v>
      </x:c>
      <x:c r="N177" s="134" t="n">
        <x:v>0</x:v>
      </x:c>
      <x:c r="O177" s="134" t="str">
        <x:v>permanece</x:v>
      </x:c>
      <x:c r="P177" s="134" t="str">
        <x:v>train</x:v>
      </x:c>
      <x:c r="Q177" s="134" t="str">
        <x:v>synthetic_scientific</x:v>
      </x:c>
      <x:c r="R177" s="135" t="str">
        <x:v>BLENKIR_V6_SYNTH_20260924</x:v>
      </x:c>
    </x:row>
    <x:row r="178" ht="32" customHeight="1">
      <x:c r="A178" s="133" t="str">
        <x:v>EST-0098</x:v>
      </x:c>
      <x:c r="B178" s="134" t="str">
        <x:v>EST-0098-T2</x:v>
      </x:c>
      <x:c r="C178" s="134" t="str">
        <x:v>2026-09-21</x:v>
      </x:c>
      <x:c r="D178" s="134" t="str">
        <x:v>2026-12-15</x:v>
      </x:c>
      <x:c r="E178" s="134" t="n">
        <x:v>3</x:v>
      </x:c>
      <x:c r="F178" s="134" t="str">
        <x:v>3A</x:v>
      </x:c>
      <x:c r="G178" s="140" t="n">
        <x:v>16.15</x:v>
      </x:c>
      <x:c r="H178" s="140" t="n">
        <x:v>0</x:v>
      </x:c>
      <x:c r="I178" s="140" t="n">
        <x:v>89.19</x:v>
      </x:c>
      <x:c r="J178" s="140" t="n">
        <x:v>6.14</x:v>
      </x:c>
      <x:c r="K178" s="140" t="n">
        <x:v>9.39</x:v>
      </x:c>
      <x:c r="L178" s="140" t="n">
        <x:v>12</x:v>
      </x:c>
      <x:c r="M178" s="140" t="n">
        <x:v>9</x:v>
      </x:c>
      <x:c r="N178" s="134" t="n">
        <x:v>0</x:v>
      </x:c>
      <x:c r="O178" s="134" t="str">
        <x:v>permanece</x:v>
      </x:c>
      <x:c r="P178" s="134" t="str">
        <x:v>train</x:v>
      </x:c>
      <x:c r="Q178" s="134" t="str">
        <x:v>synthetic_scientific</x:v>
      </x:c>
      <x:c r="R178" s="135" t="str">
        <x:v>BLENKIR_V6_SYNTH_20260924</x:v>
      </x:c>
    </x:row>
    <x:row r="179" ht="32" customHeight="1">
      <x:c r="A179" s="133" t="str">
        <x:v>EST-0099</x:v>
      </x:c>
      <x:c r="B179" s="134" t="str">
        <x:v>EST-0099-T1</x:v>
      </x:c>
      <x:c r="C179" s="134" t="str">
        <x:v>2026-07-31</x:v>
      </x:c>
      <x:c r="D179" s="134" t="str">
        <x:v>2026-12-15</x:v>
      </x:c>
      <x:c r="E179" s="134" t="n">
        <x:v>3</x:v>
      </x:c>
      <x:c r="F179" s="134" t="str">
        <x:v>3A</x:v>
      </x:c>
      <x:c r="G179" s="140" t="n">
        <x:v>16.67</x:v>
      </x:c>
      <x:c r="H179" s="140" t="n">
        <x:v>0</x:v>
      </x:c>
      <x:c r="I179" s="140" t="n">
        <x:v>95.88</x:v>
      </x:c>
      <x:c r="J179" s="140" t="n">
        <x:v>9.92</x:v>
      </x:c>
      <x:c r="K179" s="140" t="n">
        <x:v>21.57</x:v>
      </x:c>
      <x:c r="L179" s="140" t="n">
        <x:v>19</x:v>
      </x:c>
      <x:c r="M179" s="140" t="n">
        <x:v>13</x:v>
      </x:c>
      <x:c r="N179" s="134" t="n">
        <x:v>0</x:v>
      </x:c>
      <x:c r="O179" s="134" t="str">
        <x:v>permanece</x:v>
      </x:c>
      <x:c r="P179" s="134" t="str">
        <x:v>train</x:v>
      </x:c>
      <x:c r="Q179" s="134" t="str">
        <x:v>synthetic_scientific</x:v>
      </x:c>
      <x:c r="R179" s="135" t="str">
        <x:v>BLENKIR_V6_SYNTH_20260924</x:v>
      </x:c>
    </x:row>
    <x:row r="180" ht="32" customHeight="1">
      <x:c r="A180" s="133" t="str">
        <x:v>EST-0099</x:v>
      </x:c>
      <x:c r="B180" s="134" t="str">
        <x:v>EST-0099-T2</x:v>
      </x:c>
      <x:c r="C180" s="134" t="str">
        <x:v>2026-09-21</x:v>
      </x:c>
      <x:c r="D180" s="134" t="str">
        <x:v>2026-12-15</x:v>
      </x:c>
      <x:c r="E180" s="134" t="n">
        <x:v>3</x:v>
      </x:c>
      <x:c r="F180" s="134" t="str">
        <x:v>3A</x:v>
      </x:c>
      <x:c r="G180" s="140" t="n">
        <x:v>16.18</x:v>
      </x:c>
      <x:c r="H180" s="140" t="n">
        <x:v>0</x:v>
      </x:c>
      <x:c r="I180" s="140" t="n">
        <x:v>95.29</x:v>
      </x:c>
      <x:c r="J180" s="140" t="n">
        <x:v>10.62</x:v>
      </x:c>
      <x:c r="K180" s="140" t="n">
        <x:v>20.23</x:v>
      </x:c>
      <x:c r="L180" s="140" t="n">
        <x:v>19</x:v>
      </x:c>
      <x:c r="M180" s="140" t="n">
        <x:v>13</x:v>
      </x:c>
      <x:c r="N180" s="134" t="n">
        <x:v>0</x:v>
      </x:c>
      <x:c r="O180" s="134" t="str">
        <x:v>permanece</x:v>
      </x:c>
      <x:c r="P180" s="134" t="str">
        <x:v>train</x:v>
      </x:c>
      <x:c r="Q180" s="134" t="str">
        <x:v>synthetic_scientific</x:v>
      </x:c>
      <x:c r="R180" s="135" t="str">
        <x:v>BLENKIR_V6_SYNTH_20260924</x:v>
      </x:c>
    </x:row>
    <x:row r="181" ht="32" customHeight="1">
      <x:c r="A181" s="133" t="str">
        <x:v>EST-0100</x:v>
      </x:c>
      <x:c r="B181" s="134" t="str">
        <x:v>EST-0100-T1</x:v>
      </x:c>
      <x:c r="C181" s="134" t="str">
        <x:v>2026-07-31</x:v>
      </x:c>
      <x:c r="D181" s="134" t="str">
        <x:v>2026-12-15</x:v>
      </x:c>
      <x:c r="E181" s="134" t="n">
        <x:v>3</x:v>
      </x:c>
      <x:c r="F181" s="134" t="str">
        <x:v>3A</x:v>
      </x:c>
      <x:c r="G181" s="140" t="n">
        <x:v>14.22</x:v>
      </x:c>
      <x:c r="H181" s="140" t="n">
        <x:v>0</x:v>
      </x:c>
      <x:c r="I181" s="140" t="n">
        <x:v>94.58</x:v>
      </x:c>
      <x:c r="J181" s="140" t="n">
        <x:v>6.02</x:v>
      </x:c>
      <x:c r="K181" s="140" t="n">
        <x:v>15.81</x:v>
      </x:c>
      <x:c r="L181" s="140" t="n">
        <x:v>13</x:v>
      </x:c>
      <x:c r="M181" s="140" t="n">
        <x:v>10</x:v>
      </x:c>
      <x:c r="N181" s="134" t="n">
        <x:v>1</x:v>
      </x:c>
      <x:c r="O181" s="134" t="str">
        <x:v>deserta</x:v>
      </x:c>
      <x:c r="P181" s="134" t="str">
        <x:v>train</x:v>
      </x:c>
      <x:c r="Q181" s="134" t="str">
        <x:v>synthetic_scientific</x:v>
      </x:c>
      <x:c r="R181" s="135" t="str">
        <x:v>BLENKIR_V6_SYNTH_20260924</x:v>
      </x:c>
    </x:row>
    <x:row r="182" ht="32" customHeight="1">
      <x:c r="A182" s="133" t="str">
        <x:v>EST-0100</x:v>
      </x:c>
      <x:c r="B182" s="134" t="str">
        <x:v>EST-0100-T2</x:v>
      </x:c>
      <x:c r="C182" s="134" t="str">
        <x:v>2026-09-21</x:v>
      </x:c>
      <x:c r="D182" s="134" t="str">
        <x:v>2026-12-15</x:v>
      </x:c>
      <x:c r="E182" s="134" t="n">
        <x:v>3</x:v>
      </x:c>
      <x:c r="F182" s="134" t="str">
        <x:v>3A</x:v>
      </x:c>
      <x:c r="G182" s="140" t="n">
        <x:v>14.24</x:v>
      </x:c>
      <x:c r="H182" s="140" t="n">
        <x:v>0</x:v>
      </x:c>
      <x:c r="I182" s="140" t="n">
        <x:v>95.75</x:v>
      </x:c>
      <x:c r="J182" s="140" t="n">
        <x:v>6.55</x:v>
      </x:c>
      <x:c r="K182" s="140" t="n">
        <x:v>12.37</x:v>
      </x:c>
      <x:c r="L182" s="140" t="n">
        <x:v>11</x:v>
      </x:c>
      <x:c r="M182" s="140" t="n">
        <x:v>11</x:v>
      </x:c>
      <x:c r="N182" s="134" t="n">
        <x:v>1</x:v>
      </x:c>
      <x:c r="O182" s="134" t="str">
        <x:v>deserta</x:v>
      </x:c>
      <x:c r="P182" s="134" t="str">
        <x:v>train</x:v>
      </x:c>
      <x:c r="Q182" s="134" t="str">
        <x:v>synthetic_scientific</x:v>
      </x:c>
      <x:c r="R182" s="135" t="str">
        <x:v>BLENKIR_V6_SYNTH_20260924</x:v>
      </x:c>
    </x:row>
    <x:row r="183" ht="32" customHeight="1">
      <x:c r="A183" s="133" t="str">
        <x:v>EST-0101</x:v>
      </x:c>
      <x:c r="B183" s="134" t="str">
        <x:v>EST-0101-T1</x:v>
      </x:c>
      <x:c r="C183" s="134" t="str">
        <x:v>2026-07-31</x:v>
      </x:c>
      <x:c r="D183" s="134" t="str">
        <x:v>2026-12-15</x:v>
      </x:c>
      <x:c r="E183" s="134" t="n">
        <x:v>3</x:v>
      </x:c>
      <x:c r="F183" s="134" t="str">
        <x:v>3A</x:v>
      </x:c>
      <x:c r="G183" s="140" t="n">
        <x:v>18.03</x:v>
      </x:c>
      <x:c r="H183" s="140" t="n">
        <x:v>0</x:v>
      </x:c>
      <x:c r="I183" s="140" t="n">
        <x:v>91.47</x:v>
      </x:c>
      <x:c r="J183" s="140" t="n">
        <x:v>9.2</x:v>
      </x:c>
      <x:c r="K183" s="140" t="n">
        <x:v>17.33</x:v>
      </x:c>
      <x:c r="L183" s="140" t="n">
        <x:v>13</x:v>
      </x:c>
      <x:c r="M183" s="140" t="n">
        <x:v>13</x:v>
      </x:c>
      <x:c r="N183" s="134" t="n">
        <x:v>0</x:v>
      </x:c>
      <x:c r="O183" s="134" t="str">
        <x:v>permanece</x:v>
      </x:c>
      <x:c r="P183" s="134" t="str">
        <x:v>train</x:v>
      </x:c>
      <x:c r="Q183" s="134" t="str">
        <x:v>synthetic_scientific</x:v>
      </x:c>
      <x:c r="R183" s="135" t="str">
        <x:v>BLENKIR_V6_SYNTH_20260924</x:v>
      </x:c>
    </x:row>
    <x:row r="184" ht="32" customHeight="1">
      <x:c r="A184" s="133" t="str">
        <x:v>EST-0101</x:v>
      </x:c>
      <x:c r="B184" s="134" t="str">
        <x:v>EST-0101-T2</x:v>
      </x:c>
      <x:c r="C184" s="134" t="str">
        <x:v>2026-09-21</x:v>
      </x:c>
      <x:c r="D184" s="134" t="str">
        <x:v>2026-12-15</x:v>
      </x:c>
      <x:c r="E184" s="134" t="n">
        <x:v>3</x:v>
      </x:c>
      <x:c r="F184" s="134" t="str">
        <x:v>3A</x:v>
      </x:c>
      <x:c r="G184" s="140" t="n">
        <x:v>17.35</x:v>
      </x:c>
      <x:c r="H184" s="140" t="n">
        <x:v>0</x:v>
      </x:c>
      <x:c r="I184" s="140" t="n">
        <x:v>92.9</x:v>
      </x:c>
      <x:c r="J184" s="140" t="n">
        <x:v>8.06</x:v>
      </x:c>
      <x:c r="K184" s="140" t="n">
        <x:v>15.88</x:v>
      </x:c>
      <x:c r="L184" s="140" t="n">
        <x:v>14</x:v>
      </x:c>
      <x:c r="M184" s="140" t="n">
        <x:v>13</x:v>
      </x:c>
      <x:c r="N184" s="134" t="n">
        <x:v>0</x:v>
      </x:c>
      <x:c r="O184" s="134" t="str">
        <x:v>permanece</x:v>
      </x:c>
      <x:c r="P184" s="134" t="str">
        <x:v>train</x:v>
      </x:c>
      <x:c r="Q184" s="134" t="str">
        <x:v>synthetic_scientific</x:v>
      </x:c>
      <x:c r="R184" s="135" t="str">
        <x:v>BLENKIR_V6_SYNTH_20260924</x:v>
      </x:c>
    </x:row>
    <x:row r="185" ht="32" customHeight="1">
      <x:c r="A185" s="133" t="str">
        <x:v>EST-0102</x:v>
      </x:c>
      <x:c r="B185" s="134" t="str">
        <x:v>EST-0102-T1</x:v>
      </x:c>
      <x:c r="C185" s="134" t="str">
        <x:v>2026-07-31</x:v>
      </x:c>
      <x:c r="D185" s="134" t="str">
        <x:v>2026-12-15</x:v>
      </x:c>
      <x:c r="E185" s="134" t="n">
        <x:v>3</x:v>
      </x:c>
      <x:c r="F185" s="134" t="str">
        <x:v>3A</x:v>
      </x:c>
      <x:c r="G185" s="140" t="n">
        <x:v>15.31</x:v>
      </x:c>
      <x:c r="H185" s="140" t="n">
        <x:v>0</x:v>
      </x:c>
      <x:c r="I185" s="140" t="n">
        <x:v>92.8</x:v>
      </x:c>
      <x:c r="J185" s="140" t="n">
        <x:v>8.88</x:v>
      </x:c>
      <x:c r="K185" s="140" t="n">
        <x:v>21.95</x:v>
      </x:c>
      <x:c r="L185" s="140" t="n">
        <x:v>15</x:v>
      </x:c>
      <x:c r="M185" s="140" t="n">
        <x:v>12</x:v>
      </x:c>
      <x:c r="N185" s="134" t="n">
        <x:v>0</x:v>
      </x:c>
      <x:c r="O185" s="134" t="str">
        <x:v>permanece</x:v>
      </x:c>
      <x:c r="P185" s="134" t="str">
        <x:v>train</x:v>
      </x:c>
      <x:c r="Q185" s="134" t="str">
        <x:v>synthetic_scientific</x:v>
      </x:c>
      <x:c r="R185" s="135" t="str">
        <x:v>BLENKIR_V6_SYNTH_20260924</x:v>
      </x:c>
    </x:row>
    <x:row r="186" ht="32" customHeight="1">
      <x:c r="A186" s="133" t="str">
        <x:v>EST-0102</x:v>
      </x:c>
      <x:c r="B186" s="134" t="str">
        <x:v>EST-0102-T2</x:v>
      </x:c>
      <x:c r="C186" s="134" t="str">
        <x:v>2026-09-21</x:v>
      </x:c>
      <x:c r="D186" s="134" t="str">
        <x:v>2026-12-15</x:v>
      </x:c>
      <x:c r="E186" s="134" t="n">
        <x:v>3</x:v>
      </x:c>
      <x:c r="F186" s="134" t="str">
        <x:v>3A</x:v>
      </x:c>
      <x:c r="G186" s="140" t="n">
        <x:v>15.49</x:v>
      </x:c>
      <x:c r="H186" s="140" t="n">
        <x:v>0</x:v>
      </x:c>
      <x:c r="I186" s="140" t="n">
        <x:v>93.8</x:v>
      </x:c>
      <x:c r="J186" s="140" t="n">
        <x:v>9.05</x:v>
      </x:c>
      <x:c r="K186" s="140" t="n">
        <x:v>17.38</x:v>
      </x:c>
      <x:c r="L186" s="140" t="n">
        <x:v>14</x:v>
      </x:c>
      <x:c r="M186" s="140" t="n">
        <x:v>15</x:v>
      </x:c>
      <x:c r="N186" s="134" t="n">
        <x:v>0</x:v>
      </x:c>
      <x:c r="O186" s="134" t="str">
        <x:v>permanece</x:v>
      </x:c>
      <x:c r="P186" s="134" t="str">
        <x:v>train</x:v>
      </x:c>
      <x:c r="Q186" s="134" t="str">
        <x:v>synthetic_scientific</x:v>
      </x:c>
      <x:c r="R186" s="135" t="str">
        <x:v>BLENKIR_V6_SYNTH_20260924</x:v>
      </x:c>
    </x:row>
    <x:row r="187" ht="32" customHeight="1">
      <x:c r="A187" s="133" t="str">
        <x:v>EST-0103</x:v>
      </x:c>
      <x:c r="B187" s="134" t="str">
        <x:v>EST-0103-T1</x:v>
      </x:c>
      <x:c r="C187" s="134" t="str">
        <x:v>2026-07-31</x:v>
      </x:c>
      <x:c r="D187" s="134" t="str">
        <x:v>2026-12-15</x:v>
      </x:c>
      <x:c r="E187" s="134" t="n">
        <x:v>3</x:v>
      </x:c>
      <x:c r="F187" s="134" t="str">
        <x:v>3A</x:v>
      </x:c>
      <x:c r="G187" s="140" t="n">
        <x:v>16.2</x:v>
      </x:c>
      <x:c r="H187" s="140" t="n">
        <x:v>0</x:v>
      </x:c>
      <x:c r="I187" s="140" t="n">
        <x:v>83.05</x:v>
      </x:c>
      <x:c r="J187" s="140" t="n">
        <x:v>7.64</x:v>
      </x:c>
      <x:c r="K187" s="140" t="n">
        <x:v>18.61</x:v>
      </x:c>
      <x:c r="L187" s="140" t="n">
        <x:v>14</x:v>
      </x:c>
      <x:c r="M187" s="140" t="n">
        <x:v>12</x:v>
      </x:c>
      <x:c r="N187" s="134" t="n">
        <x:v>0</x:v>
      </x:c>
      <x:c r="O187" s="134" t="str">
        <x:v>permanece</x:v>
      </x:c>
      <x:c r="P187" s="134" t="str">
        <x:v>train</x:v>
      </x:c>
      <x:c r="Q187" s="134" t="str">
        <x:v>synthetic_scientific</x:v>
      </x:c>
      <x:c r="R187" s="135" t="str">
        <x:v>BLENKIR_V6_SYNTH_20260924</x:v>
      </x:c>
    </x:row>
    <x:row r="188" ht="32" customHeight="1">
      <x:c r="A188" s="133" t="str">
        <x:v>EST-0103</x:v>
      </x:c>
      <x:c r="B188" s="134" t="str">
        <x:v>EST-0103-T2</x:v>
      </x:c>
      <x:c r="C188" s="134" t="str">
        <x:v>2026-09-21</x:v>
      </x:c>
      <x:c r="D188" s="134" t="str">
        <x:v>2026-12-15</x:v>
      </x:c>
      <x:c r="E188" s="134" t="n">
        <x:v>3</x:v>
      </x:c>
      <x:c r="F188" s="134" t="str">
        <x:v>3A</x:v>
      </x:c>
      <x:c r="G188" s="140" t="n">
        <x:v>16.74</x:v>
      </x:c>
      <x:c r="H188" s="140" t="n">
        <x:v>0</x:v>
      </x:c>
      <x:c r="I188" s="140" t="n">
        <x:v>82.48</x:v>
      </x:c>
      <x:c r="J188" s="140" t="n">
        <x:v>8.59</x:v>
      </x:c>
      <x:c r="K188" s="140" t="n">
        <x:v>15.38</x:v>
      </x:c>
      <x:c r="L188" s="140" t="n">
        <x:v>13</x:v>
      </x:c>
      <x:c r="M188" s="140" t="n">
        <x:v>12</x:v>
      </x:c>
      <x:c r="N188" s="134" t="n">
        <x:v>0</x:v>
      </x:c>
      <x:c r="O188" s="134" t="str">
        <x:v>permanece</x:v>
      </x:c>
      <x:c r="P188" s="134" t="str">
        <x:v>train</x:v>
      </x:c>
      <x:c r="Q188" s="134" t="str">
        <x:v>synthetic_scientific</x:v>
      </x:c>
      <x:c r="R188" s="135" t="str">
        <x:v>BLENKIR_V6_SYNTH_20260924</x:v>
      </x:c>
    </x:row>
    <x:row r="189" ht="32" customHeight="1">
      <x:c r="A189" s="133" t="str">
        <x:v>EST-0105</x:v>
      </x:c>
      <x:c r="B189" s="134" t="str">
        <x:v>EST-0105-T1</x:v>
      </x:c>
      <x:c r="C189" s="134" t="str">
        <x:v>2026-07-31</x:v>
      </x:c>
      <x:c r="D189" s="134" t="str">
        <x:v>2026-12-15</x:v>
      </x:c>
      <x:c r="E189" s="134" t="n">
        <x:v>3</x:v>
      </x:c>
      <x:c r="F189" s="134" t="str">
        <x:v>3B</x:v>
      </x:c>
      <x:c r="G189" s="140" t="n">
        <x:v>16.25</x:v>
      </x:c>
      <x:c r="H189" s="140" t="n">
        <x:v>0</x:v>
      </x:c>
      <x:c r="I189" s="140" t="n">
        <x:v>91.29</x:v>
      </x:c>
      <x:c r="J189" s="140" t="n">
        <x:v>9.48</x:v>
      </x:c>
      <x:c r="K189" s="140" t="n">
        <x:v>19.79</x:v>
      </x:c>
      <x:c r="L189" s="140" t="n">
        <x:v>16</x:v>
      </x:c>
      <x:c r="M189" s="140" t="n">
        <x:v>15</x:v>
      </x:c>
      <x:c r="N189" s="134" t="n">
        <x:v>0</x:v>
      </x:c>
      <x:c r="O189" s="134" t="str">
        <x:v>permanece</x:v>
      </x:c>
      <x:c r="P189" s="134" t="str">
        <x:v>train</x:v>
      </x:c>
      <x:c r="Q189" s="134" t="str">
        <x:v>synthetic_scientific</x:v>
      </x:c>
      <x:c r="R189" s="135" t="str">
        <x:v>BLENKIR_V6_SYNTH_20260924</x:v>
      </x:c>
    </x:row>
    <x:row r="190" ht="32" customHeight="1">
      <x:c r="A190" s="133" t="str">
        <x:v>EST-0105</x:v>
      </x:c>
      <x:c r="B190" s="134" t="str">
        <x:v>EST-0105-T2</x:v>
      </x:c>
      <x:c r="C190" s="134" t="str">
        <x:v>2026-09-21</x:v>
      </x:c>
      <x:c r="D190" s="134" t="str">
        <x:v>2026-12-15</x:v>
      </x:c>
      <x:c r="E190" s="134" t="n">
        <x:v>3</x:v>
      </x:c>
      <x:c r="F190" s="134" t="str">
        <x:v>3B</x:v>
      </x:c>
      <x:c r="G190" s="140" t="n">
        <x:v>15.45</x:v>
      </x:c>
      <x:c r="H190" s="140" t="n">
        <x:v>0</x:v>
      </x:c>
      <x:c r="I190" s="140" t="n">
        <x:v>92.12</x:v>
      </x:c>
      <x:c r="J190" s="140" t="n">
        <x:v>9.18</x:v>
      </x:c>
      <x:c r="K190" s="140" t="n">
        <x:v>17.92</x:v>
      </x:c>
      <x:c r="L190" s="140" t="n">
        <x:v>16</x:v>
      </x:c>
      <x:c r="M190" s="140" t="n">
        <x:v>14</x:v>
      </x:c>
      <x:c r="N190" s="134" t="n">
        <x:v>0</x:v>
      </x:c>
      <x:c r="O190" s="134" t="str">
        <x:v>permanece</x:v>
      </x:c>
      <x:c r="P190" s="134" t="str">
        <x:v>train</x:v>
      </x:c>
      <x:c r="Q190" s="134" t="str">
        <x:v>synthetic_scientific</x:v>
      </x:c>
      <x:c r="R190" s="135" t="str">
        <x:v>BLENKIR_V6_SYNTH_20260924</x:v>
      </x:c>
    </x:row>
    <x:row r="191" ht="32" customHeight="1">
      <x:c r="A191" s="133" t="str">
        <x:v>EST-0106</x:v>
      </x:c>
      <x:c r="B191" s="134" t="str">
        <x:v>EST-0106-T1</x:v>
      </x:c>
      <x:c r="C191" s="134" t="str">
        <x:v>2026-07-31</x:v>
      </x:c>
      <x:c r="D191" s="134" t="str">
        <x:v>2026-12-15</x:v>
      </x:c>
      <x:c r="E191" s="134" t="n">
        <x:v>3</x:v>
      </x:c>
      <x:c r="F191" s="134" t="str">
        <x:v>3B</x:v>
      </x:c>
      <x:c r="G191" s="140" t="n">
        <x:v>16.04</x:v>
      </x:c>
      <x:c r="H191" s="140" t="n">
        <x:v>0</x:v>
      </x:c>
      <x:c r="I191" s="140" t="n">
        <x:v>91.74</x:v>
      </x:c>
      <x:c r="J191" s="140" t="n">
        <x:v>8.97</x:v>
      </x:c>
      <x:c r="K191" s="140" t="n">
        <x:v>18.16</x:v>
      </x:c>
      <x:c r="L191" s="140" t="n">
        <x:v>15</x:v>
      </x:c>
      <x:c r="M191" s="140" t="n">
        <x:v>13</x:v>
      </x:c>
      <x:c r="N191" s="134" t="n">
        <x:v>0</x:v>
      </x:c>
      <x:c r="O191" s="134" t="str">
        <x:v>permanece</x:v>
      </x:c>
      <x:c r="P191" s="134" t="str">
        <x:v>train</x:v>
      </x:c>
      <x:c r="Q191" s="134" t="str">
        <x:v>synthetic_scientific</x:v>
      </x:c>
      <x:c r="R191" s="135" t="str">
        <x:v>BLENKIR_V6_SYNTH_20260924</x:v>
      </x:c>
    </x:row>
    <x:row r="192" ht="32" customHeight="1">
      <x:c r="A192" s="133" t="str">
        <x:v>EST-0106</x:v>
      </x:c>
      <x:c r="B192" s="134" t="str">
        <x:v>EST-0106-T2</x:v>
      </x:c>
      <x:c r="C192" s="134" t="str">
        <x:v>2026-09-21</x:v>
      </x:c>
      <x:c r="D192" s="134" t="str">
        <x:v>2026-12-15</x:v>
      </x:c>
      <x:c r="E192" s="134" t="n">
        <x:v>3</x:v>
      </x:c>
      <x:c r="F192" s="134" t="str">
        <x:v>3B</x:v>
      </x:c>
      <x:c r="G192" s="140" t="n">
        <x:v>16.22</x:v>
      </x:c>
      <x:c r="H192" s="140" t="n">
        <x:v>0</x:v>
      </x:c>
      <x:c r="I192" s="140" t="n">
        <x:v>91.52</x:v>
      </x:c>
      <x:c r="J192" s="140" t="n">
        <x:v>9.37</x:v>
      </x:c>
      <x:c r="K192" s="140" t="n">
        <x:v>17.74</x:v>
      </x:c>
      <x:c r="L192" s="140" t="n">
        <x:v>15</x:v>
      </x:c>
      <x:c r="M192" s="140" t="n">
        <x:v>14</x:v>
      </x:c>
      <x:c r="N192" s="134" t="n">
        <x:v>0</x:v>
      </x:c>
      <x:c r="O192" s="134" t="str">
        <x:v>permanece</x:v>
      </x:c>
      <x:c r="P192" s="134" t="str">
        <x:v>train</x:v>
      </x:c>
      <x:c r="Q192" s="134" t="str">
        <x:v>synthetic_scientific</x:v>
      </x:c>
      <x:c r="R192" s="135" t="str">
        <x:v>BLENKIR_V6_SYNTH_20260924</x:v>
      </x:c>
    </x:row>
    <x:row r="193" ht="32" customHeight="1">
      <x:c r="A193" s="133" t="str">
        <x:v>EST-0107</x:v>
      </x:c>
      <x:c r="B193" s="134" t="str">
        <x:v>EST-0107-T1</x:v>
      </x:c>
      <x:c r="C193" s="134" t="str">
        <x:v>2026-07-31</x:v>
      </x:c>
      <x:c r="D193" s="134" t="str">
        <x:v>2026-12-15</x:v>
      </x:c>
      <x:c r="E193" s="134" t="n">
        <x:v>3</x:v>
      </x:c>
      <x:c r="F193" s="134" t="str">
        <x:v>3B</x:v>
      </x:c>
      <x:c r="G193" s="140" t="n">
        <x:v>15.39</x:v>
      </x:c>
      <x:c r="H193" s="140" t="n">
        <x:v>0</x:v>
      </x:c>
      <x:c r="I193" s="140" t="n">
        <x:v>92.87</x:v>
      </x:c>
      <x:c r="J193" s="140" t="n">
        <x:v>6.53</x:v>
      </x:c>
      <x:c r="K193" s="140" t="n">
        <x:v>13.51</x:v>
      </x:c>
      <x:c r="L193" s="140" t="n">
        <x:v>12</x:v>
      </x:c>
      <x:c r="M193" s="140" t="n">
        <x:v>12</x:v>
      </x:c>
      <x:c r="N193" s="134" t="n">
        <x:v>0</x:v>
      </x:c>
      <x:c r="O193" s="134" t="str">
        <x:v>permanece</x:v>
      </x:c>
      <x:c r="P193" s="134" t="str">
        <x:v>train</x:v>
      </x:c>
      <x:c r="Q193" s="134" t="str">
        <x:v>synthetic_scientific</x:v>
      </x:c>
      <x:c r="R193" s="135" t="str">
        <x:v>BLENKIR_V6_SYNTH_20260924</x:v>
      </x:c>
    </x:row>
    <x:row r="194" ht="32" customHeight="1">
      <x:c r="A194" s="133" t="str">
        <x:v>EST-0107</x:v>
      </x:c>
      <x:c r="B194" s="134" t="str">
        <x:v>EST-0107-T2</x:v>
      </x:c>
      <x:c r="C194" s="134" t="str">
        <x:v>2026-09-21</x:v>
      </x:c>
      <x:c r="D194" s="134" t="str">
        <x:v>2026-12-15</x:v>
      </x:c>
      <x:c r="E194" s="134" t="n">
        <x:v>3</x:v>
      </x:c>
      <x:c r="F194" s="134" t="str">
        <x:v>3B</x:v>
      </x:c>
      <x:c r="G194" s="140" t="n">
        <x:v>15.88</x:v>
      </x:c>
      <x:c r="H194" s="140" t="n">
        <x:v>0</x:v>
      </x:c>
      <x:c r="I194" s="140" t="n">
        <x:v>94.64</x:v>
      </x:c>
      <x:c r="J194" s="140" t="n">
        <x:v>6.59</x:v>
      </x:c>
      <x:c r="K194" s="140" t="n">
        <x:v>14.92</x:v>
      </x:c>
      <x:c r="L194" s="140" t="n">
        <x:v>14</x:v>
      </x:c>
      <x:c r="M194" s="140" t="n">
        <x:v>11</x:v>
      </x:c>
      <x:c r="N194" s="134" t="n">
        <x:v>0</x:v>
      </x:c>
      <x:c r="O194" s="134" t="str">
        <x:v>permanece</x:v>
      </x:c>
      <x:c r="P194" s="134" t="str">
        <x:v>train</x:v>
      </x:c>
      <x:c r="Q194" s="134" t="str">
        <x:v>synthetic_scientific</x:v>
      </x:c>
      <x:c r="R194" s="135" t="str">
        <x:v>BLENKIR_V6_SYNTH_20260924</x:v>
      </x:c>
    </x:row>
    <x:row r="195" ht="32" customHeight="1">
      <x:c r="A195" s="133" t="str">
        <x:v>EST-0108</x:v>
      </x:c>
      <x:c r="B195" s="134" t="str">
        <x:v>EST-0108-T1</x:v>
      </x:c>
      <x:c r="C195" s="134" t="str">
        <x:v>2026-07-31</x:v>
      </x:c>
      <x:c r="D195" s="134" t="str">
        <x:v>2026-12-15</x:v>
      </x:c>
      <x:c r="E195" s="134" t="n">
        <x:v>3</x:v>
      </x:c>
      <x:c r="F195" s="134" t="str">
        <x:v>3B</x:v>
      </x:c>
      <x:c r="G195" s="140" t="n">
        <x:v>18.04</x:v>
      </x:c>
      <x:c r="H195" s="140" t="n">
        <x:v>0</x:v>
      </x:c>
      <x:c r="I195" s="140" t="n">
        <x:v>97.1</x:v>
      </x:c>
      <x:c r="J195" s="140" t="n">
        <x:v>7.68</x:v>
      </x:c>
      <x:c r="K195" s="140" t="n">
        <x:v>19.06</x:v>
      </x:c>
      <x:c r="L195" s="140" t="n">
        <x:v>15</x:v>
      </x:c>
      <x:c r="M195" s="140" t="n">
        <x:v>12</x:v>
      </x:c>
      <x:c r="N195" s="134" t="n">
        <x:v>0</x:v>
      </x:c>
      <x:c r="O195" s="134" t="str">
        <x:v>permanece</x:v>
      </x:c>
      <x:c r="P195" s="134" t="str">
        <x:v>train</x:v>
      </x:c>
      <x:c r="Q195" s="134" t="str">
        <x:v>synthetic_scientific</x:v>
      </x:c>
      <x:c r="R195" s="135" t="str">
        <x:v>BLENKIR_V6_SYNTH_20260924</x:v>
      </x:c>
    </x:row>
    <x:row r="196" ht="32" customHeight="1">
      <x:c r="A196" s="133" t="str">
        <x:v>EST-0108</x:v>
      </x:c>
      <x:c r="B196" s="134" t="str">
        <x:v>EST-0108-T2</x:v>
      </x:c>
      <x:c r="C196" s="134" t="str">
        <x:v>2026-09-21</x:v>
      </x:c>
      <x:c r="D196" s="134" t="str">
        <x:v>2026-12-15</x:v>
      </x:c>
      <x:c r="E196" s="134" t="n">
        <x:v>3</x:v>
      </x:c>
      <x:c r="F196" s="134" t="str">
        <x:v>3B</x:v>
      </x:c>
      <x:c r="G196" s="140" t="n">
        <x:v>17.89</x:v>
      </x:c>
      <x:c r="H196" s="140" t="n">
        <x:v>0</x:v>
      </x:c>
      <x:c r="I196" s="140" t="n">
        <x:v>93.36</x:v>
      </x:c>
      <x:c r="J196" s="140" t="n">
        <x:v>7.21</x:v>
      </x:c>
      <x:c r="K196" s="140" t="n">
        <x:v>15.08</x:v>
      </x:c>
      <x:c r="L196" s="140" t="n">
        <x:v>15</x:v>
      </x:c>
      <x:c r="M196" s="140" t="n">
        <x:v>12</x:v>
      </x:c>
      <x:c r="N196" s="134" t="n">
        <x:v>0</x:v>
      </x:c>
      <x:c r="O196" s="134" t="str">
        <x:v>permanece</x:v>
      </x:c>
      <x:c r="P196" s="134" t="str">
        <x:v>train</x:v>
      </x:c>
      <x:c r="Q196" s="134" t="str">
        <x:v>synthetic_scientific</x:v>
      </x:c>
      <x:c r="R196" s="135" t="str">
        <x:v>BLENKIR_V6_SYNTH_20260924</x:v>
      </x:c>
    </x:row>
    <x:row r="197" ht="32" customHeight="1">
      <x:c r="A197" s="133" t="str">
        <x:v>EST-0109</x:v>
      </x:c>
      <x:c r="B197" s="134" t="str">
        <x:v>EST-0109-T1</x:v>
      </x:c>
      <x:c r="C197" s="134" t="str">
        <x:v>2026-07-31</x:v>
      </x:c>
      <x:c r="D197" s="134" t="str">
        <x:v>2026-12-15</x:v>
      </x:c>
      <x:c r="E197" s="134" t="n">
        <x:v>3</x:v>
      </x:c>
      <x:c r="F197" s="134" t="str">
        <x:v>3B</x:v>
      </x:c>
      <x:c r="G197" s="140" t="n">
        <x:v>11.25</x:v>
      </x:c>
      <x:c r="H197" s="140" t="n">
        <x:v>0</x:v>
      </x:c>
      <x:c r="I197" s="140" t="n">
        <x:v>96.96</x:v>
      </x:c>
      <x:c r="J197" s="140" t="n">
        <x:v>5.61</x:v>
      </x:c>
      <x:c r="K197" s="140" t="n">
        <x:v>12.66</x:v>
      </x:c>
      <x:c r="L197" s="140" t="n">
        <x:v>13</x:v>
      </x:c>
      <x:c r="M197" s="140" t="n">
        <x:v>11</x:v>
      </x:c>
      <x:c r="N197" s="134" t="n">
        <x:v>1</x:v>
      </x:c>
      <x:c r="O197" s="134" t="str">
        <x:v>deserta</x:v>
      </x:c>
      <x:c r="P197" s="134" t="str">
        <x:v>holdout</x:v>
      </x:c>
      <x:c r="Q197" s="134" t="str">
        <x:v>synthetic_scientific</x:v>
      </x:c>
      <x:c r="R197" s="135" t="str">
        <x:v>BLENKIR_V6_SYNTH_20260924</x:v>
      </x:c>
    </x:row>
    <x:row r="198" ht="32" customHeight="1">
      <x:c r="A198" s="133" t="str">
        <x:v>EST-0109</x:v>
      </x:c>
      <x:c r="B198" s="134" t="str">
        <x:v>EST-0109-T2</x:v>
      </x:c>
      <x:c r="C198" s="134" t="str">
        <x:v>2026-09-21</x:v>
      </x:c>
      <x:c r="D198" s="134" t="str">
        <x:v>2026-12-15</x:v>
      </x:c>
      <x:c r="E198" s="134" t="n">
        <x:v>3</x:v>
      </x:c>
      <x:c r="F198" s="134" t="str">
        <x:v>3B</x:v>
      </x:c>
      <x:c r="G198" s="140" t="n">
        <x:v>11.34</x:v>
      </x:c>
      <x:c r="H198" s="140" t="n">
        <x:v>0</x:v>
      </x:c>
      <x:c r="I198" s="140" t="n">
        <x:v>93.39</x:v>
      </x:c>
      <x:c r="J198" s="140" t="n">
        <x:v>7.1</x:v>
      </x:c>
      <x:c r="K198" s="140" t="n">
        <x:v>10.56</x:v>
      </x:c>
      <x:c r="L198" s="140" t="n">
        <x:v>11</x:v>
      </x:c>
      <x:c r="M198" s="140" t="n">
        <x:v>10</x:v>
      </x:c>
      <x:c r="N198" s="134" t="n">
        <x:v>1</x:v>
      </x:c>
      <x:c r="O198" s="134" t="str">
        <x:v>deserta</x:v>
      </x:c>
      <x:c r="P198" s="134" t="str">
        <x:v>holdout</x:v>
      </x:c>
      <x:c r="Q198" s="134" t="str">
        <x:v>synthetic_scientific</x:v>
      </x:c>
      <x:c r="R198" s="135" t="str">
        <x:v>BLENKIR_V6_SYNTH_20260924</x:v>
      </x:c>
    </x:row>
    <x:row r="199" ht="32" customHeight="1">
      <x:c r="A199" s="133" t="str">
        <x:v>EST-0110</x:v>
      </x:c>
      <x:c r="B199" s="134" t="str">
        <x:v>EST-0110-T1</x:v>
      </x:c>
      <x:c r="C199" s="134" t="str">
        <x:v>2026-07-31</x:v>
      </x:c>
      <x:c r="D199" s="134" t="str">
        <x:v>2026-12-15</x:v>
      </x:c>
      <x:c r="E199" s="134" t="n">
        <x:v>3</x:v>
      </x:c>
      <x:c r="F199" s="134" t="str">
        <x:v>3B</x:v>
      </x:c>
      <x:c r="G199" s="140" t="n">
        <x:v>16.26</x:v>
      </x:c>
      <x:c r="H199" s="140" t="n">
        <x:v>0</x:v>
      </x:c>
      <x:c r="I199" s="140" t="n">
        <x:v>95.26</x:v>
      </x:c>
      <x:c r="J199" s="140" t="n">
        <x:v>8.03</x:v>
      </x:c>
      <x:c r="K199" s="140" t="n">
        <x:v>12.29</x:v>
      </x:c>
      <x:c r="L199" s="140" t="n">
        <x:v>17</x:v>
      </x:c>
      <x:c r="M199" s="140" t="n">
        <x:v>13</x:v>
      </x:c>
      <x:c r="N199" s="134" t="n">
        <x:v>1</x:v>
      </x:c>
      <x:c r="O199" s="134" t="str">
        <x:v>deserta</x:v>
      </x:c>
      <x:c r="P199" s="134" t="str">
        <x:v>train</x:v>
      </x:c>
      <x:c r="Q199" s="134" t="str">
        <x:v>synthetic_scientific</x:v>
      </x:c>
      <x:c r="R199" s="135" t="str">
        <x:v>BLENKIR_V6_SYNTH_20260924</x:v>
      </x:c>
    </x:row>
    <x:row r="200" ht="32" customHeight="1">
      <x:c r="A200" s="133" t="str">
        <x:v>EST-0110</x:v>
      </x:c>
      <x:c r="B200" s="134" t="str">
        <x:v>EST-0110-T2</x:v>
      </x:c>
      <x:c r="C200" s="134" t="str">
        <x:v>2026-09-21</x:v>
      </x:c>
      <x:c r="D200" s="134" t="str">
        <x:v>2026-12-15</x:v>
      </x:c>
      <x:c r="E200" s="134" t="n">
        <x:v>3</x:v>
      </x:c>
      <x:c r="F200" s="134" t="str">
        <x:v>3B</x:v>
      </x:c>
      <x:c r="G200" s="140" t="n">
        <x:v>16.67</x:v>
      </x:c>
      <x:c r="H200" s="140" t="n">
        <x:v>0</x:v>
      </x:c>
      <x:c r="I200" s="140" t="n">
        <x:v>92.55</x:v>
      </x:c>
      <x:c r="J200" s="140" t="n">
        <x:v>7.82</x:v>
      </x:c>
      <x:c r="K200" s="140" t="n">
        <x:v>14.13</x:v>
      </x:c>
      <x:c r="L200" s="140" t="n">
        <x:v>16</x:v>
      </x:c>
      <x:c r="M200" s="140" t="n">
        <x:v>10</x:v>
      </x:c>
      <x:c r="N200" s="134" t="n">
        <x:v>1</x:v>
      </x:c>
      <x:c r="O200" s="134" t="str">
        <x:v>deserta</x:v>
      </x:c>
      <x:c r="P200" s="134" t="str">
        <x:v>train</x:v>
      </x:c>
      <x:c r="Q200" s="134" t="str">
        <x:v>synthetic_scientific</x:v>
      </x:c>
      <x:c r="R200" s="135" t="str">
        <x:v>BLENKIR_V6_SYNTH_20260924</x:v>
      </x:c>
    </x:row>
    <x:row r="201" ht="32" customHeight="1">
      <x:c r="A201" s="133" t="str">
        <x:v>EST-0111</x:v>
      </x:c>
      <x:c r="B201" s="134" t="str">
        <x:v>EST-0111-T1</x:v>
      </x:c>
      <x:c r="C201" s="134" t="str">
        <x:v>2026-07-31</x:v>
      </x:c>
      <x:c r="D201" s="134" t="str">
        <x:v>2026-12-15</x:v>
      </x:c>
      <x:c r="E201" s="134" t="n">
        <x:v>3</x:v>
      </x:c>
      <x:c r="F201" s="134" t="str">
        <x:v>3B</x:v>
      </x:c>
      <x:c r="G201" s="140" t="n">
        <x:v>14.81</x:v>
      </x:c>
      <x:c r="H201" s="140" t="n">
        <x:v>0</x:v>
      </x:c>
      <x:c r="I201" s="140" t="n">
        <x:v>92.86</x:v>
      </x:c>
      <x:c r="J201" s="140" t="n">
        <x:v>7.67</x:v>
      </x:c>
      <x:c r="K201" s="140" t="n">
        <x:v>22.13</x:v>
      </x:c>
      <x:c r="L201" s="140" t="n">
        <x:v>14</x:v>
      </x:c>
      <x:c r="M201" s="140" t="n">
        <x:v>14</x:v>
      </x:c>
      <x:c r="N201" s="134" t="n">
        <x:v>0</x:v>
      </x:c>
      <x:c r="O201" s="134" t="str">
        <x:v>permanece</x:v>
      </x:c>
      <x:c r="P201" s="134" t="str">
        <x:v>train</x:v>
      </x:c>
      <x:c r="Q201" s="134" t="str">
        <x:v>synthetic_scientific</x:v>
      </x:c>
      <x:c r="R201" s="135" t="str">
        <x:v>BLENKIR_V6_SYNTH_20260924</x:v>
      </x:c>
    </x:row>
    <x:row r="202" ht="32" customHeight="1">
      <x:c r="A202" s="133" t="str">
        <x:v>EST-0111</x:v>
      </x:c>
      <x:c r="B202" s="134" t="str">
        <x:v>EST-0111-T2</x:v>
      </x:c>
      <x:c r="C202" s="134" t="str">
        <x:v>2026-09-21</x:v>
      </x:c>
      <x:c r="D202" s="134" t="str">
        <x:v>2026-12-15</x:v>
      </x:c>
      <x:c r="E202" s="134" t="n">
        <x:v>3</x:v>
      </x:c>
      <x:c r="F202" s="134" t="str">
        <x:v>3B</x:v>
      </x:c>
      <x:c r="G202" s="140" t="n">
        <x:v>15.68</x:v>
      </x:c>
      <x:c r="H202" s="140" t="n">
        <x:v>0</x:v>
      </x:c>
      <x:c r="I202" s="140" t="n">
        <x:v>92.62</x:v>
      </x:c>
      <x:c r="J202" s="140" t="n">
        <x:v>7.52</x:v>
      </x:c>
      <x:c r="K202" s="140" t="n">
        <x:v>18.42</x:v>
      </x:c>
      <x:c r="L202" s="140" t="n">
        <x:v>16</x:v>
      </x:c>
      <x:c r="M202" s="140" t="n">
        <x:v>12</x:v>
      </x:c>
      <x:c r="N202" s="134" t="n">
        <x:v>0</x:v>
      </x:c>
      <x:c r="O202" s="134" t="str">
        <x:v>permanece</x:v>
      </x:c>
      <x:c r="P202" s="134" t="str">
        <x:v>train</x:v>
      </x:c>
      <x:c r="Q202" s="134" t="str">
        <x:v>synthetic_scientific</x:v>
      </x:c>
      <x:c r="R202" s="135" t="str">
        <x:v>BLENKIR_V6_SYNTH_20260924</x:v>
      </x:c>
    </x:row>
    <x:row r="203" ht="32" customHeight="1">
      <x:c r="A203" s="133" t="str">
        <x:v>EST-0112</x:v>
      </x:c>
      <x:c r="B203" s="134" t="str">
        <x:v>EST-0112-T1</x:v>
      </x:c>
      <x:c r="C203" s="134" t="str">
        <x:v>2026-07-31</x:v>
      </x:c>
      <x:c r="D203" s="134" t="str">
        <x:v>2026-12-15</x:v>
      </x:c>
      <x:c r="E203" s="134" t="n">
        <x:v>3</x:v>
      </x:c>
      <x:c r="F203" s="134" t="str">
        <x:v>3B</x:v>
      </x:c>
      <x:c r="G203" s="140" t="n">
        <x:v>17.76</x:v>
      </x:c>
      <x:c r="H203" s="140" t="n">
        <x:v>0</x:v>
      </x:c>
      <x:c r="I203" s="140" t="n">
        <x:v>98.69</x:v>
      </x:c>
      <x:c r="J203" s="140" t="n">
        <x:v>6.07</x:v>
      </x:c>
      <x:c r="K203" s="140" t="n">
        <x:v>14.51</x:v>
      </x:c>
      <x:c r="L203" s="140" t="n">
        <x:v>15</x:v>
      </x:c>
      <x:c r="M203" s="140" t="n">
        <x:v>11</x:v>
      </x:c>
      <x:c r="N203" s="134" t="n">
        <x:v>1</x:v>
      </x:c>
      <x:c r="O203" s="134" t="str">
        <x:v>deserta</x:v>
      </x:c>
      <x:c r="P203" s="134" t="str">
        <x:v>holdout</x:v>
      </x:c>
      <x:c r="Q203" s="134" t="str">
        <x:v>synthetic_scientific</x:v>
      </x:c>
      <x:c r="R203" s="135" t="str">
        <x:v>BLENKIR_V6_SYNTH_20260924</x:v>
      </x:c>
    </x:row>
    <x:row r="204" ht="32" customHeight="1">
      <x:c r="A204" s="133" t="str">
        <x:v>EST-0112</x:v>
      </x:c>
      <x:c r="B204" s="134" t="str">
        <x:v>EST-0112-T2</x:v>
      </x:c>
      <x:c r="C204" s="134" t="str">
        <x:v>2026-09-21</x:v>
      </x:c>
      <x:c r="D204" s="134" t="str">
        <x:v>2026-12-15</x:v>
      </x:c>
      <x:c r="E204" s="134" t="n">
        <x:v>3</x:v>
      </x:c>
      <x:c r="F204" s="134" t="str">
        <x:v>3B</x:v>
      </x:c>
      <x:c r="G204" s="140" t="n">
        <x:v>15.91</x:v>
      </x:c>
      <x:c r="H204" s="140" t="n">
        <x:v>0</x:v>
      </x:c>
      <x:c r="I204" s="140" t="n">
        <x:v>98.01</x:v>
      </x:c>
      <x:c r="J204" s="140" t="n">
        <x:v>6.56</x:v>
      </x:c>
      <x:c r="K204" s="140" t="n">
        <x:v>14.31</x:v>
      </x:c>
      <x:c r="L204" s="140" t="n">
        <x:v>15</x:v>
      </x:c>
      <x:c r="M204" s="140" t="n">
        <x:v>12</x:v>
      </x:c>
      <x:c r="N204" s="134" t="n">
        <x:v>1</x:v>
      </x:c>
      <x:c r="O204" s="134" t="str">
        <x:v>deserta</x:v>
      </x:c>
      <x:c r="P204" s="134" t="str">
        <x:v>holdout</x:v>
      </x:c>
      <x:c r="Q204" s="134" t="str">
        <x:v>synthetic_scientific</x:v>
      </x:c>
      <x:c r="R204" s="135" t="str">
        <x:v>BLENKIR_V6_SYNTH_20260924</x:v>
      </x:c>
    </x:row>
    <x:row r="205" ht="32" customHeight="1">
      <x:c r="A205" s="133" t="str">
        <x:v>EST-0113</x:v>
      </x:c>
      <x:c r="B205" s="134" t="str">
        <x:v>EST-0113-T1</x:v>
      </x:c>
      <x:c r="C205" s="134" t="str">
        <x:v>2026-07-31</x:v>
      </x:c>
      <x:c r="D205" s="134" t="str">
        <x:v>2026-12-15</x:v>
      </x:c>
      <x:c r="E205" s="134" t="n">
        <x:v>3</x:v>
      </x:c>
      <x:c r="F205" s="134" t="str">
        <x:v>3B</x:v>
      </x:c>
      <x:c r="G205" s="140" t="n">
        <x:v>14.3</x:v>
      </x:c>
      <x:c r="H205" s="140" t="n">
        <x:v>0</x:v>
      </x:c>
      <x:c r="I205" s="140" t="n">
        <x:v>90.52</x:v>
      </x:c>
      <x:c r="J205" s="140" t="n">
        <x:v>4.63</x:v>
      </x:c>
      <x:c r="K205" s="140" t="n">
        <x:v>10.85</x:v>
      </x:c>
      <x:c r="L205" s="140" t="n">
        <x:v>12</x:v>
      </x:c>
      <x:c r="M205" s="140" t="n">
        <x:v>9</x:v>
      </x:c>
      <x:c r="N205" s="134" t="n">
        <x:v>1</x:v>
      </x:c>
      <x:c r="O205" s="134" t="str">
        <x:v>deserta</x:v>
      </x:c>
      <x:c r="P205" s="134" t="str">
        <x:v>train</x:v>
      </x:c>
      <x:c r="Q205" s="134" t="str">
        <x:v>synthetic_scientific</x:v>
      </x:c>
      <x:c r="R205" s="135" t="str">
        <x:v>BLENKIR_V6_SYNTH_20260924</x:v>
      </x:c>
    </x:row>
    <x:row r="206" ht="32" customHeight="1">
      <x:c r="A206" s="133" t="str">
        <x:v>EST-0113</x:v>
      </x:c>
      <x:c r="B206" s="134" t="str">
        <x:v>EST-0113-T2</x:v>
      </x:c>
      <x:c r="C206" s="134" t="str">
        <x:v>2026-09-21</x:v>
      </x:c>
      <x:c r="D206" s="134" t="str">
        <x:v>2026-12-15</x:v>
      </x:c>
      <x:c r="E206" s="134" t="n">
        <x:v>3</x:v>
      </x:c>
      <x:c r="F206" s="134" t="str">
        <x:v>3B</x:v>
      </x:c>
      <x:c r="G206" s="140" t="n">
        <x:v>13.77</x:v>
      </x:c>
      <x:c r="H206" s="140" t="n">
        <x:v>0</x:v>
      </x:c>
      <x:c r="I206" s="140" t="n">
        <x:v>88.29</x:v>
      </x:c>
      <x:c r="J206" s="140" t="n">
        <x:v>6.08</x:v>
      </x:c>
      <x:c r="K206" s="140" t="n">
        <x:v>9.98</x:v>
      </x:c>
      <x:c r="L206" s="140" t="n">
        <x:v>13</x:v>
      </x:c>
      <x:c r="M206" s="140" t="n">
        <x:v>9</x:v>
      </x:c>
      <x:c r="N206" s="134" t="n">
        <x:v>1</x:v>
      </x:c>
      <x:c r="O206" s="134" t="str">
        <x:v>deserta</x:v>
      </x:c>
      <x:c r="P206" s="134" t="str">
        <x:v>train</x:v>
      </x:c>
      <x:c r="Q206" s="134" t="str">
        <x:v>synthetic_scientific</x:v>
      </x:c>
      <x:c r="R206" s="135" t="str">
        <x:v>BLENKIR_V6_SYNTH_20260924</x:v>
      </x:c>
    </x:row>
    <x:row r="207" ht="32" customHeight="1">
      <x:c r="A207" s="133" t="str">
        <x:v>EST-0114</x:v>
      </x:c>
      <x:c r="B207" s="134" t="str">
        <x:v>EST-0114-T1</x:v>
      </x:c>
      <x:c r="C207" s="134" t="str">
        <x:v>2026-07-31</x:v>
      </x:c>
      <x:c r="D207" s="134" t="str">
        <x:v>2026-12-15</x:v>
      </x:c>
      <x:c r="E207" s="134" t="n">
        <x:v>3</x:v>
      </x:c>
      <x:c r="F207" s="134" t="str">
        <x:v>3B</x:v>
      </x:c>
      <x:c r="G207" s="140" t="n">
        <x:v>15.94</x:v>
      </x:c>
      <x:c r="H207" s="140" t="n">
        <x:v>0</x:v>
      </x:c>
      <x:c r="I207" s="140" t="n">
        <x:v>83.71</x:v>
      </x:c>
      <x:c r="J207" s="140" t="n">
        <x:v>7.9</x:v>
      </x:c>
      <x:c r="K207" s="140" t="n">
        <x:v>15.69</x:v>
      </x:c>
      <x:c r="L207" s="140" t="n">
        <x:v>18</x:v>
      </x:c>
      <x:c r="M207" s="140" t="n">
        <x:v>10</x:v>
      </x:c>
      <x:c r="N207" s="134" t="n">
        <x:v>0</x:v>
      </x:c>
      <x:c r="O207" s="134" t="str">
        <x:v>permanece</x:v>
      </x:c>
      <x:c r="P207" s="134" t="str">
        <x:v>train</x:v>
      </x:c>
      <x:c r="Q207" s="134" t="str">
        <x:v>synthetic_scientific</x:v>
      </x:c>
      <x:c r="R207" s="135" t="str">
        <x:v>BLENKIR_V6_SYNTH_20260924</x:v>
      </x:c>
    </x:row>
    <x:row r="208" ht="32" customHeight="1">
      <x:c r="A208" s="133" t="str">
        <x:v>EST-0114</x:v>
      </x:c>
      <x:c r="B208" s="134" t="str">
        <x:v>EST-0114-T2</x:v>
      </x:c>
      <x:c r="C208" s="134" t="str">
        <x:v>2026-09-21</x:v>
      </x:c>
      <x:c r="D208" s="134" t="str">
        <x:v>2026-12-15</x:v>
      </x:c>
      <x:c r="E208" s="134" t="n">
        <x:v>3</x:v>
      </x:c>
      <x:c r="F208" s="134" t="str">
        <x:v>3B</x:v>
      </x:c>
      <x:c r="G208" s="140" t="n">
        <x:v>15.42</x:v>
      </x:c>
      <x:c r="H208" s="140" t="n">
        <x:v>0</x:v>
      </x:c>
      <x:c r="I208" s="140" t="n">
        <x:v>83.01</x:v>
      </x:c>
      <x:c r="J208" s="140" t="n">
        <x:v>8.66</x:v>
      </x:c>
      <x:c r="K208" s="140" t="n">
        <x:v>14.54</x:v>
      </x:c>
      <x:c r="L208" s="140" t="n">
        <x:v>15</x:v>
      </x:c>
      <x:c r="M208" s="140" t="n">
        <x:v>9</x:v>
      </x:c>
      <x:c r="N208" s="134" t="n">
        <x:v>0</x:v>
      </x:c>
      <x:c r="O208" s="134" t="str">
        <x:v>permanece</x:v>
      </x:c>
      <x:c r="P208" s="134" t="str">
        <x:v>train</x:v>
      </x:c>
      <x:c r="Q208" s="134" t="str">
        <x:v>synthetic_scientific</x:v>
      </x:c>
      <x:c r="R208" s="135" t="str">
        <x:v>BLENKIR_V6_SYNTH_20260924</x:v>
      </x:c>
    </x:row>
    <x:row r="209" ht="32" customHeight="1">
      <x:c r="A209" s="133" t="str">
        <x:v>EST-0116</x:v>
      </x:c>
      <x:c r="B209" s="134" t="str">
        <x:v>EST-0116-T1</x:v>
      </x:c>
      <x:c r="C209" s="134" t="str">
        <x:v>2026-07-31</x:v>
      </x:c>
      <x:c r="D209" s="134" t="str">
        <x:v>2026-12-15</x:v>
      </x:c>
      <x:c r="E209" s="134" t="n">
        <x:v>3</x:v>
      </x:c>
      <x:c r="F209" s="134" t="str">
        <x:v>3B</x:v>
      </x:c>
      <x:c r="G209" s="140" t="n">
        <x:v>15.91</x:v>
      </x:c>
      <x:c r="H209" s="140" t="n">
        <x:v>0</x:v>
      </x:c>
      <x:c r="I209" s="140" t="n">
        <x:v>86.62</x:v>
      </x:c>
      <x:c r="J209" s="140" t="n">
        <x:v>6.83</x:v>
      </x:c>
      <x:c r="K209" s="140" t="n">
        <x:v>15.52</x:v>
      </x:c>
      <x:c r="L209" s="140" t="n">
        <x:v>17</x:v>
      </x:c>
      <x:c r="M209" s="140" t="n">
        <x:v>10</x:v>
      </x:c>
      <x:c r="N209" s="134" t="n">
        <x:v>1</x:v>
      </x:c>
      <x:c r="O209" s="134" t="str">
        <x:v>deserta</x:v>
      </x:c>
      <x:c r="P209" s="134" t="str">
        <x:v>train</x:v>
      </x:c>
      <x:c r="Q209" s="134" t="str">
        <x:v>synthetic_scientific</x:v>
      </x:c>
      <x:c r="R209" s="135" t="str">
        <x:v>BLENKIR_V6_SYNTH_20260924</x:v>
      </x:c>
    </x:row>
    <x:row r="210" ht="32" customHeight="1">
      <x:c r="A210" s="133" t="str">
        <x:v>EST-0116</x:v>
      </x:c>
      <x:c r="B210" s="134" t="str">
        <x:v>EST-0116-T2</x:v>
      </x:c>
      <x:c r="C210" s="134" t="str">
        <x:v>2026-09-21</x:v>
      </x:c>
      <x:c r="D210" s="134" t="str">
        <x:v>2026-12-15</x:v>
      </x:c>
      <x:c r="E210" s="134" t="n">
        <x:v>3</x:v>
      </x:c>
      <x:c r="F210" s="134" t="str">
        <x:v>3B</x:v>
      </x:c>
      <x:c r="G210" s="140" t="n">
        <x:v>15.07</x:v>
      </x:c>
      <x:c r="H210" s="140" t="n">
        <x:v>0</x:v>
      </x:c>
      <x:c r="I210" s="140" t="n">
        <x:v>85.67</x:v>
      </x:c>
      <x:c r="J210" s="140" t="n">
        <x:v>7.07</x:v>
      </x:c>
      <x:c r="K210" s="140" t="n">
        <x:v>13.41</x:v>
      </x:c>
      <x:c r="L210" s="140" t="n">
        <x:v>15</x:v>
      </x:c>
      <x:c r="M210" s="140" t="n">
        <x:v>11</x:v>
      </x:c>
      <x:c r="N210" s="134" t="n">
        <x:v>1</x:v>
      </x:c>
      <x:c r="O210" s="134" t="str">
        <x:v>deserta</x:v>
      </x:c>
      <x:c r="P210" s="134" t="str">
        <x:v>train</x:v>
      </x:c>
      <x:c r="Q210" s="134" t="str">
        <x:v>synthetic_scientific</x:v>
      </x:c>
      <x:c r="R210" s="135" t="str">
        <x:v>BLENKIR_V6_SYNTH_20260924</x:v>
      </x:c>
    </x:row>
    <x:row r="211" ht="32" customHeight="1">
      <x:c r="A211" s="133" t="str">
        <x:v>EST-0117</x:v>
      </x:c>
      <x:c r="B211" s="134" t="str">
        <x:v>EST-0117-T1</x:v>
      </x:c>
      <x:c r="C211" s="134" t="str">
        <x:v>2026-07-31</x:v>
      </x:c>
      <x:c r="D211" s="134" t="str">
        <x:v>2026-12-15</x:v>
      </x:c>
      <x:c r="E211" s="134" t="n">
        <x:v>3</x:v>
      </x:c>
      <x:c r="F211" s="134" t="str">
        <x:v>3C</x:v>
      </x:c>
      <x:c r="G211" s="140" t="n">
        <x:v>17.49</x:v>
      </x:c>
      <x:c r="H211" s="140" t="n">
        <x:v>0</x:v>
      </x:c>
      <x:c r="I211" s="140" t="n">
        <x:v>99.5</x:v>
      </x:c>
      <x:c r="J211" s="140" t="n">
        <x:v>11.45</x:v>
      </x:c>
      <x:c r="K211" s="140" t="n">
        <x:v>22.21</x:v>
      </x:c>
      <x:c r="L211" s="140" t="n">
        <x:v>19</x:v>
      </x:c>
      <x:c r="M211" s="140" t="n">
        <x:v>15</x:v>
      </x:c>
      <x:c r="N211" s="134" t="n">
        <x:v>0</x:v>
      </x:c>
      <x:c r="O211" s="134" t="str">
        <x:v>permanece</x:v>
      </x:c>
      <x:c r="P211" s="134" t="str">
        <x:v>train</x:v>
      </x:c>
      <x:c r="Q211" s="134" t="str">
        <x:v>synthetic_scientific</x:v>
      </x:c>
      <x:c r="R211" s="135" t="str">
        <x:v>BLENKIR_V6_SYNTH_20260924</x:v>
      </x:c>
    </x:row>
    <x:row r="212" ht="32" customHeight="1">
      <x:c r="A212" s="133" t="str">
        <x:v>EST-0117</x:v>
      </x:c>
      <x:c r="B212" s="134" t="str">
        <x:v>EST-0117-T2</x:v>
      </x:c>
      <x:c r="C212" s="134" t="str">
        <x:v>2026-09-21</x:v>
      </x:c>
      <x:c r="D212" s="134" t="str">
        <x:v>2026-12-15</x:v>
      </x:c>
      <x:c r="E212" s="134" t="n">
        <x:v>3</x:v>
      </x:c>
      <x:c r="F212" s="134" t="str">
        <x:v>3C</x:v>
      </x:c>
      <x:c r="G212" s="140" t="n">
        <x:v>15.94</x:v>
      </x:c>
      <x:c r="H212" s="140" t="n">
        <x:v>0</x:v>
      </x:c>
      <x:c r="I212" s="140" t="n">
        <x:v>99.23</x:v>
      </x:c>
      <x:c r="J212" s="140" t="n">
        <x:v>10.3</x:v>
      </x:c>
      <x:c r="K212" s="140" t="n">
        <x:v>19.7</x:v>
      </x:c>
      <x:c r="L212" s="140" t="n">
        <x:v>19</x:v>
      </x:c>
      <x:c r="M212" s="140" t="n">
        <x:v>15</x:v>
      </x:c>
      <x:c r="N212" s="134" t="n">
        <x:v>0</x:v>
      </x:c>
      <x:c r="O212" s="134" t="str">
        <x:v>permanece</x:v>
      </x:c>
      <x:c r="P212" s="134" t="str">
        <x:v>train</x:v>
      </x:c>
      <x:c r="Q212" s="134" t="str">
        <x:v>synthetic_scientific</x:v>
      </x:c>
      <x:c r="R212" s="135" t="str">
        <x:v>BLENKIR_V6_SYNTH_20260924</x:v>
      </x:c>
    </x:row>
    <x:row r="213" ht="32" customHeight="1">
      <x:c r="A213" s="133" t="str">
        <x:v>EST-0118</x:v>
      </x:c>
      <x:c r="B213" s="134" t="str">
        <x:v>EST-0118-T1</x:v>
      </x:c>
      <x:c r="C213" s="134" t="str">
        <x:v>2026-07-31</x:v>
      </x:c>
      <x:c r="D213" s="134" t="str">
        <x:v>2026-12-15</x:v>
      </x:c>
      <x:c r="E213" s="134" t="n">
        <x:v>3</x:v>
      </x:c>
      <x:c r="F213" s="134" t="str">
        <x:v>3C</x:v>
      </x:c>
      <x:c r="G213" s="140" t="n">
        <x:v>16.92</x:v>
      </x:c>
      <x:c r="H213" s="140" t="n">
        <x:v>0</x:v>
      </x:c>
      <x:c r="I213" s="140" t="n">
        <x:v>93.83</x:v>
      </x:c>
      <x:c r="J213" s="140" t="n">
        <x:v>9.33</x:v>
      </x:c>
      <x:c r="K213" s="140" t="n">
        <x:v>17.13</x:v>
      </x:c>
      <x:c r="L213" s="140" t="n">
        <x:v>18</x:v>
      </x:c>
      <x:c r="M213" s="140" t="n">
        <x:v>14</x:v>
      </x:c>
      <x:c r="N213" s="134" t="n">
        <x:v>0</x:v>
      </x:c>
      <x:c r="O213" s="134" t="str">
        <x:v>permanece</x:v>
      </x:c>
      <x:c r="P213" s="134" t="str">
        <x:v>train</x:v>
      </x:c>
      <x:c r="Q213" s="134" t="str">
        <x:v>synthetic_scientific</x:v>
      </x:c>
      <x:c r="R213" s="135" t="str">
        <x:v>BLENKIR_V6_SYNTH_20260924</x:v>
      </x:c>
    </x:row>
    <x:row r="214" ht="32" customHeight="1">
      <x:c r="A214" s="133" t="str">
        <x:v>EST-0118</x:v>
      </x:c>
      <x:c r="B214" s="134" t="str">
        <x:v>EST-0118-T2</x:v>
      </x:c>
      <x:c r="C214" s="134" t="str">
        <x:v>2026-09-21</x:v>
      </x:c>
      <x:c r="D214" s="134" t="str">
        <x:v>2026-12-15</x:v>
      </x:c>
      <x:c r="E214" s="134" t="n">
        <x:v>3</x:v>
      </x:c>
      <x:c r="F214" s="134" t="str">
        <x:v>3C</x:v>
      </x:c>
      <x:c r="G214" s="140" t="n">
        <x:v>16.56</x:v>
      </x:c>
      <x:c r="H214" s="140" t="n">
        <x:v>0</x:v>
      </x:c>
      <x:c r="I214" s="140" t="n">
        <x:v>95.84</x:v>
      </x:c>
      <x:c r="J214" s="140" t="n">
        <x:v>10.17</x:v>
      </x:c>
      <x:c r="K214" s="140" t="n">
        <x:v>19.72</x:v>
      </x:c>
      <x:c r="L214" s="140" t="n">
        <x:v>18</x:v>
      </x:c>
      <x:c r="M214" s="140" t="n">
        <x:v>14</x:v>
      </x:c>
      <x:c r="N214" s="134" t="n">
        <x:v>0</x:v>
      </x:c>
      <x:c r="O214" s="134" t="str">
        <x:v>permanece</x:v>
      </x:c>
      <x:c r="P214" s="134" t="str">
        <x:v>train</x:v>
      </x:c>
      <x:c r="Q214" s="134" t="str">
        <x:v>synthetic_scientific</x:v>
      </x:c>
      <x:c r="R214" s="135" t="str">
        <x:v>BLENKIR_V6_SYNTH_20260924</x:v>
      </x:c>
    </x:row>
    <x:row r="215" ht="32" customHeight="1">
      <x:c r="A215" s="133" t="str">
        <x:v>EST-0119</x:v>
      </x:c>
      <x:c r="B215" s="134" t="str">
        <x:v>EST-0119-T1</x:v>
      </x:c>
      <x:c r="C215" s="134" t="str">
        <x:v>2026-07-31</x:v>
      </x:c>
      <x:c r="D215" s="134" t="str">
        <x:v>2026-12-15</x:v>
      </x:c>
      <x:c r="E215" s="134" t="n">
        <x:v>3</x:v>
      </x:c>
      <x:c r="F215" s="134" t="str">
        <x:v>3C</x:v>
      </x:c>
      <x:c r="G215" s="140" t="n">
        <x:v>15.97</x:v>
      </x:c>
      <x:c r="H215" s="140" t="n">
        <x:v>0</x:v>
      </x:c>
      <x:c r="I215" s="140" t="n">
        <x:v>96.22</x:v>
      </x:c>
      <x:c r="J215" s="140" t="n">
        <x:v>8.72</x:v>
      </x:c>
      <x:c r="K215" s="140" t="n">
        <x:v>14.23</x:v>
      </x:c>
      <x:c r="L215" s="140" t="n">
        <x:v>13</x:v>
      </x:c>
      <x:c r="M215" s="140" t="n">
        <x:v>14</x:v>
      </x:c>
      <x:c r="N215" s="134" t="n">
        <x:v>0</x:v>
      </x:c>
      <x:c r="O215" s="134" t="str">
        <x:v>permanece</x:v>
      </x:c>
      <x:c r="P215" s="134" t="str">
        <x:v>train</x:v>
      </x:c>
      <x:c r="Q215" s="134" t="str">
        <x:v>synthetic_scientific</x:v>
      </x:c>
      <x:c r="R215" s="135" t="str">
        <x:v>BLENKIR_V6_SYNTH_20260924</x:v>
      </x:c>
    </x:row>
    <x:row r="216" ht="32" customHeight="1">
      <x:c r="A216" s="133" t="str">
        <x:v>EST-0119</x:v>
      </x:c>
      <x:c r="B216" s="134" t="str">
        <x:v>EST-0119-T2</x:v>
      </x:c>
      <x:c r="C216" s="134" t="str">
        <x:v>2026-09-21</x:v>
      </x:c>
      <x:c r="D216" s="134" t="str">
        <x:v>2026-12-15</x:v>
      </x:c>
      <x:c r="E216" s="134" t="n">
        <x:v>3</x:v>
      </x:c>
      <x:c r="F216" s="134" t="str">
        <x:v>3C</x:v>
      </x:c>
      <x:c r="G216" s="140" t="n">
        <x:v>15.2</x:v>
      </x:c>
      <x:c r="H216" s="140" t="n">
        <x:v>0</x:v>
      </x:c>
      <x:c r="I216" s="140" t="n">
        <x:v>97.32</x:v>
      </x:c>
      <x:c r="J216" s="140" t="n">
        <x:v>8.85</x:v>
      </x:c>
      <x:c r="K216" s="140" t="n">
        <x:v>16.02</x:v>
      </x:c>
      <x:c r="L216" s="140" t="n">
        <x:v>13</x:v>
      </x:c>
      <x:c r="M216" s="140" t="n">
        <x:v>12</x:v>
      </x:c>
      <x:c r="N216" s="134" t="n">
        <x:v>0</x:v>
      </x:c>
      <x:c r="O216" s="134" t="str">
        <x:v>permanece</x:v>
      </x:c>
      <x:c r="P216" s="134" t="str">
        <x:v>train</x:v>
      </x:c>
      <x:c r="Q216" s="134" t="str">
        <x:v>synthetic_scientific</x:v>
      </x:c>
      <x:c r="R216" s="135" t="str">
        <x:v>BLENKIR_V6_SYNTH_20260924</x:v>
      </x:c>
    </x:row>
    <x:row r="217" ht="32" customHeight="1">
      <x:c r="A217" s="133" t="str">
        <x:v>EST-0120</x:v>
      </x:c>
      <x:c r="B217" s="134" t="str">
        <x:v>EST-0120-T1</x:v>
      </x:c>
      <x:c r="C217" s="134" t="str">
        <x:v>2026-07-31</x:v>
      </x:c>
      <x:c r="D217" s="134" t="str">
        <x:v>2026-12-15</x:v>
      </x:c>
      <x:c r="E217" s="134" t="n">
        <x:v>3</x:v>
      </x:c>
      <x:c r="F217" s="134" t="str">
        <x:v>3C</x:v>
      </x:c>
      <x:c r="G217" s="140" t="n">
        <x:v>13.61</x:v>
      </x:c>
      <x:c r="H217" s="140" t="n">
        <x:v>0</x:v>
      </x:c>
      <x:c r="I217" s="140" t="n">
        <x:v>97.25</x:v>
      </x:c>
      <x:c r="J217" s="140" t="n">
        <x:v>8.54</x:v>
      </x:c>
      <x:c r="K217" s="140" t="n">
        <x:v>16.56</x:v>
      </x:c>
      <x:c r="L217" s="140" t="n">
        <x:v>17</x:v>
      </x:c>
      <x:c r="M217" s="140" t="n">
        <x:v>13</x:v>
      </x:c>
      <x:c r="N217" s="134" t="n">
        <x:v>0</x:v>
      </x:c>
      <x:c r="O217" s="134" t="str">
        <x:v>permanece</x:v>
      </x:c>
      <x:c r="P217" s="134" t="str">
        <x:v>train</x:v>
      </x:c>
      <x:c r="Q217" s="134" t="str">
        <x:v>synthetic_scientific</x:v>
      </x:c>
      <x:c r="R217" s="135" t="str">
        <x:v>BLENKIR_V6_SYNTH_20260924</x:v>
      </x:c>
    </x:row>
    <x:row r="218" ht="32" customHeight="1">
      <x:c r="A218" s="133" t="str">
        <x:v>EST-0120</x:v>
      </x:c>
      <x:c r="B218" s="134" t="str">
        <x:v>EST-0120-T2</x:v>
      </x:c>
      <x:c r="C218" s="134" t="str">
        <x:v>2026-09-21</x:v>
      </x:c>
      <x:c r="D218" s="134" t="str">
        <x:v>2026-12-15</x:v>
      </x:c>
      <x:c r="E218" s="134" t="n">
        <x:v>3</x:v>
      </x:c>
      <x:c r="F218" s="134" t="str">
        <x:v>3C</x:v>
      </x:c>
      <x:c r="G218" s="140" t="n">
        <x:v>12.86</x:v>
      </x:c>
      <x:c r="H218" s="140" t="n">
        <x:v>0</x:v>
      </x:c>
      <x:c r="I218" s="140" t="n">
        <x:v>97.9</x:v>
      </x:c>
      <x:c r="J218" s="140" t="n">
        <x:v>9.19</x:v>
      </x:c>
      <x:c r="K218" s="140" t="n">
        <x:v>16.65</x:v>
      </x:c>
      <x:c r="L218" s="140" t="n">
        <x:v>17</x:v>
      </x:c>
      <x:c r="M218" s="140" t="n">
        <x:v>13</x:v>
      </x:c>
      <x:c r="N218" s="134" t="n">
        <x:v>0</x:v>
      </x:c>
      <x:c r="O218" s="134" t="str">
        <x:v>permanece</x:v>
      </x:c>
      <x:c r="P218" s="134" t="str">
        <x:v>train</x:v>
      </x:c>
      <x:c r="Q218" s="134" t="str">
        <x:v>synthetic_scientific</x:v>
      </x:c>
      <x:c r="R218" s="135" t="str">
        <x:v>BLENKIR_V6_SYNTH_20260924</x:v>
      </x:c>
    </x:row>
    <x:row r="219" ht="32" customHeight="1">
      <x:c r="A219" s="133" t="str">
        <x:v>EST-0121</x:v>
      </x:c>
      <x:c r="B219" s="134" t="str">
        <x:v>EST-0121-T1</x:v>
      </x:c>
      <x:c r="C219" s="134" t="str">
        <x:v>2026-07-31</x:v>
      </x:c>
      <x:c r="D219" s="134" t="str">
        <x:v>2026-12-15</x:v>
      </x:c>
      <x:c r="E219" s="134" t="n">
        <x:v>3</x:v>
      </x:c>
      <x:c r="F219" s="134" t="str">
        <x:v>3C</x:v>
      </x:c>
      <x:c r="G219" s="140" t="n">
        <x:v>14.51</x:v>
      </x:c>
      <x:c r="H219" s="140" t="n">
        <x:v>0</x:v>
      </x:c>
      <x:c r="I219" s="140" t="n">
        <x:v>97.62</x:v>
      </x:c>
      <x:c r="J219" s="140" t="n">
        <x:v>10.29</x:v>
      </x:c>
      <x:c r="K219" s="140" t="n">
        <x:v>16.77</x:v>
      </x:c>
      <x:c r="L219" s="140" t="n">
        <x:v>16</x:v>
      </x:c>
      <x:c r="M219" s="140" t="n">
        <x:v>15</x:v>
      </x:c>
      <x:c r="N219" s="134" t="n">
        <x:v>1</x:v>
      </x:c>
      <x:c r="O219" s="134" t="str">
        <x:v>deserta</x:v>
      </x:c>
      <x:c r="P219" s="134" t="str">
        <x:v>holdout</x:v>
      </x:c>
      <x:c r="Q219" s="134" t="str">
        <x:v>synthetic_scientific</x:v>
      </x:c>
      <x:c r="R219" s="135" t="str">
        <x:v>BLENKIR_V6_SYNTH_20260924</x:v>
      </x:c>
    </x:row>
    <x:row r="220" ht="32" customHeight="1">
      <x:c r="A220" s="133" t="str">
        <x:v>EST-0121</x:v>
      </x:c>
      <x:c r="B220" s="134" t="str">
        <x:v>EST-0121-T2</x:v>
      </x:c>
      <x:c r="C220" s="134" t="str">
        <x:v>2026-09-21</x:v>
      </x:c>
      <x:c r="D220" s="134" t="str">
        <x:v>2026-12-15</x:v>
      </x:c>
      <x:c r="E220" s="134" t="n">
        <x:v>3</x:v>
      </x:c>
      <x:c r="F220" s="134" t="str">
        <x:v>3C</x:v>
      </x:c>
      <x:c r="G220" s="140" t="n">
        <x:v>13.34</x:v>
      </x:c>
      <x:c r="H220" s="140" t="n">
        <x:v>0</x:v>
      </x:c>
      <x:c r="I220" s="140" t="n">
        <x:v>95.23</x:v>
      </x:c>
      <x:c r="J220" s="140" t="n">
        <x:v>9.86</x:v>
      </x:c>
      <x:c r="K220" s="140" t="n">
        <x:v>17.28</x:v>
      </x:c>
      <x:c r="L220" s="140" t="n">
        <x:v>17</x:v>
      </x:c>
      <x:c r="M220" s="140" t="n">
        <x:v>15</x:v>
      </x:c>
      <x:c r="N220" s="134" t="n">
        <x:v>1</x:v>
      </x:c>
      <x:c r="O220" s="134" t="str">
        <x:v>deserta</x:v>
      </x:c>
      <x:c r="P220" s="134" t="str">
        <x:v>holdout</x:v>
      </x:c>
      <x:c r="Q220" s="134" t="str">
        <x:v>synthetic_scientific</x:v>
      </x:c>
      <x:c r="R220" s="135" t="str">
        <x:v>BLENKIR_V6_SYNTH_20260924</x:v>
      </x:c>
    </x:row>
    <x:row r="221" ht="32" customHeight="1">
      <x:c r="A221" s="133" t="str">
        <x:v>EST-0122</x:v>
      </x:c>
      <x:c r="B221" s="134" t="str">
        <x:v>EST-0122-T1</x:v>
      </x:c>
      <x:c r="C221" s="134" t="str">
        <x:v>2026-07-31</x:v>
      </x:c>
      <x:c r="D221" s="134" t="str">
        <x:v>2026-12-15</x:v>
      </x:c>
      <x:c r="E221" s="134" t="n">
        <x:v>3</x:v>
      </x:c>
      <x:c r="F221" s="134" t="str">
        <x:v>3C</x:v>
      </x:c>
      <x:c r="G221" s="140" t="n">
        <x:v>14.29</x:v>
      </x:c>
      <x:c r="H221" s="140" t="n">
        <x:v>0</x:v>
      </x:c>
      <x:c r="I221" s="140" t="n">
        <x:v>98.16</x:v>
      </x:c>
      <x:c r="J221" s="140" t="n">
        <x:v>10.59</x:v>
      </x:c>
      <x:c r="K221" s="140" t="n">
        <x:v>13.88</x:v>
      </x:c>
      <x:c r="L221" s="140" t="n">
        <x:v>14</x:v>
      </x:c>
      <x:c r="M221" s="140" t="n">
        <x:v>13</x:v>
      </x:c>
      <x:c r="N221" s="134" t="n">
        <x:v>1</x:v>
      </x:c>
      <x:c r="O221" s="134" t="str">
        <x:v>deserta</x:v>
      </x:c>
      <x:c r="P221" s="134" t="str">
        <x:v>train</x:v>
      </x:c>
      <x:c r="Q221" s="134" t="str">
        <x:v>synthetic_scientific</x:v>
      </x:c>
      <x:c r="R221" s="135" t="str">
        <x:v>BLENKIR_V6_SYNTH_20260924</x:v>
      </x:c>
    </x:row>
    <x:row r="222" ht="32" customHeight="1">
      <x:c r="A222" s="133" t="str">
        <x:v>EST-0122</x:v>
      </x:c>
      <x:c r="B222" s="134" t="str">
        <x:v>EST-0122-T2</x:v>
      </x:c>
      <x:c r="C222" s="134" t="str">
        <x:v>2026-09-21</x:v>
      </x:c>
      <x:c r="D222" s="134" t="str">
        <x:v>2026-12-15</x:v>
      </x:c>
      <x:c r="E222" s="134" t="n">
        <x:v>3</x:v>
      </x:c>
      <x:c r="F222" s="134" t="str">
        <x:v>3C</x:v>
      </x:c>
      <x:c r="G222" s="140" t="n">
        <x:v>13.36</x:v>
      </x:c>
      <x:c r="H222" s="140" t="n">
        <x:v>0</x:v>
      </x:c>
      <x:c r="I222" s="140" t="n">
        <x:v>92.01</x:v>
      </x:c>
      <x:c r="J222" s="140" t="n">
        <x:v>8.93</x:v>
      </x:c>
      <x:c r="K222" s="140" t="n">
        <x:v>15.67</x:v>
      </x:c>
      <x:c r="L222" s="140" t="n">
        <x:v>14</x:v>
      </x:c>
      <x:c r="M222" s="140" t="n">
        <x:v>12</x:v>
      </x:c>
      <x:c r="N222" s="134" t="n">
        <x:v>1</x:v>
      </x:c>
      <x:c r="O222" s="134" t="str">
        <x:v>deserta</x:v>
      </x:c>
      <x:c r="P222" s="134" t="str">
        <x:v>train</x:v>
      </x:c>
      <x:c r="Q222" s="134" t="str">
        <x:v>synthetic_scientific</x:v>
      </x:c>
      <x:c r="R222" s="135" t="str">
        <x:v>BLENKIR_V6_SYNTH_20260924</x:v>
      </x:c>
    </x:row>
    <x:row r="223" ht="32" customHeight="1">
      <x:c r="A223" s="133" t="str">
        <x:v>EST-0123</x:v>
      </x:c>
      <x:c r="B223" s="134" t="str">
        <x:v>EST-0123-T1</x:v>
      </x:c>
      <x:c r="C223" s="134" t="str">
        <x:v>2026-07-31</x:v>
      </x:c>
      <x:c r="D223" s="134" t="str">
        <x:v>2026-12-15</x:v>
      </x:c>
      <x:c r="E223" s="134" t="n">
        <x:v>3</x:v>
      </x:c>
      <x:c r="F223" s="134" t="str">
        <x:v>3C</x:v>
      </x:c>
      <x:c r="G223" s="140" t="n">
        <x:v>15.17</x:v>
      </x:c>
      <x:c r="H223" s="140" t="n">
        <x:v>0</x:v>
      </x:c>
      <x:c r="I223" s="140" t="n">
        <x:v>90.55</x:v>
      </x:c>
      <x:c r="J223" s="140" t="n">
        <x:v>6.71</x:v>
      </x:c>
      <x:c r="K223" s="140" t="n">
        <x:v>11.51</x:v>
      </x:c>
      <x:c r="L223" s="140" t="n">
        <x:v>18</x:v>
      </x:c>
      <x:c r="M223" s="140" t="n">
        <x:v>9</x:v>
      </x:c>
      <x:c r="N223" s="134" t="n">
        <x:v>1</x:v>
      </x:c>
      <x:c r="O223" s="134" t="str">
        <x:v>deserta</x:v>
      </x:c>
      <x:c r="P223" s="134" t="str">
        <x:v>train</x:v>
      </x:c>
      <x:c r="Q223" s="134" t="str">
        <x:v>synthetic_scientific</x:v>
      </x:c>
      <x:c r="R223" s="135" t="str">
        <x:v>BLENKIR_V6_SYNTH_20260924</x:v>
      </x:c>
    </x:row>
    <x:row r="224" ht="32" customHeight="1">
      <x:c r="A224" s="133" t="str">
        <x:v>EST-0123</x:v>
      </x:c>
      <x:c r="B224" s="134" t="str">
        <x:v>EST-0123-T2</x:v>
      </x:c>
      <x:c r="C224" s="134" t="str">
        <x:v>2026-09-21</x:v>
      </x:c>
      <x:c r="D224" s="134" t="str">
        <x:v>2026-12-15</x:v>
      </x:c>
      <x:c r="E224" s="134" t="n">
        <x:v>3</x:v>
      </x:c>
      <x:c r="F224" s="134" t="str">
        <x:v>3C</x:v>
      </x:c>
      <x:c r="G224" s="140" t="n">
        <x:v>14.19</x:v>
      </x:c>
      <x:c r="H224" s="140" t="n">
        <x:v>0</x:v>
      </x:c>
      <x:c r="I224" s="140" t="n">
        <x:v>87.16</x:v>
      </x:c>
      <x:c r="J224" s="140" t="n">
        <x:v>7.24</x:v>
      </x:c>
      <x:c r="K224" s="140" t="n">
        <x:v>13.18</x:v>
      </x:c>
      <x:c r="L224" s="140" t="n">
        <x:v>15</x:v>
      </x:c>
      <x:c r="M224" s="140" t="n">
        <x:v>10</x:v>
      </x:c>
      <x:c r="N224" s="134" t="n">
        <x:v>1</x:v>
      </x:c>
      <x:c r="O224" s="134" t="str">
        <x:v>deserta</x:v>
      </x:c>
      <x:c r="P224" s="134" t="str">
        <x:v>train</x:v>
      </x:c>
      <x:c r="Q224" s="134" t="str">
        <x:v>synthetic_scientific</x:v>
      </x:c>
      <x:c r="R224" s="135" t="str">
        <x:v>BLENKIR_V6_SYNTH_20260924</x:v>
      </x:c>
    </x:row>
    <x:row r="225" ht="32" customHeight="1">
      <x:c r="A225" s="133" t="str">
        <x:v>EST-0124</x:v>
      </x:c>
      <x:c r="B225" s="134" t="str">
        <x:v>EST-0124-T1</x:v>
      </x:c>
      <x:c r="C225" s="134" t="str">
        <x:v>2026-07-31</x:v>
      </x:c>
      <x:c r="D225" s="134" t="str">
        <x:v>2026-12-15</x:v>
      </x:c>
      <x:c r="E225" s="134" t="n">
        <x:v>3</x:v>
      </x:c>
      <x:c r="F225" s="134" t="str">
        <x:v>3C</x:v>
      </x:c>
      <x:c r="G225" s="140" t="n">
        <x:v>16.31</x:v>
      </x:c>
      <x:c r="H225" s="140" t="n">
        <x:v>0</x:v>
      </x:c>
      <x:c r="I225" s="140" t="n">
        <x:v>99.5</x:v>
      </x:c>
      <x:c r="J225" s="140" t="n">
        <x:v>7.75</x:v>
      </x:c>
      <x:c r="K225" s="140" t="n">
        <x:v>14.23</x:v>
      </x:c>
      <x:c r="L225" s="140" t="n">
        <x:v>18</x:v>
      </x:c>
      <x:c r="M225" s="140" t="n">
        <x:v>9</x:v>
      </x:c>
      <x:c r="N225" s="134" t="n">
        <x:v>0</x:v>
      </x:c>
      <x:c r="O225" s="134" t="str">
        <x:v>permanece</x:v>
      </x:c>
      <x:c r="P225" s="134" t="str">
        <x:v>train</x:v>
      </x:c>
      <x:c r="Q225" s="134" t="str">
        <x:v>synthetic_scientific</x:v>
      </x:c>
      <x:c r="R225" s="135" t="str">
        <x:v>BLENKIR_V6_SYNTH_20260924</x:v>
      </x:c>
    </x:row>
    <x:row r="226" ht="32" customHeight="1">
      <x:c r="A226" s="133" t="str">
        <x:v>EST-0124</x:v>
      </x:c>
      <x:c r="B226" s="134" t="str">
        <x:v>EST-0124-T2</x:v>
      </x:c>
      <x:c r="C226" s="134" t="str">
        <x:v>2026-09-21</x:v>
      </x:c>
      <x:c r="D226" s="134" t="str">
        <x:v>2026-12-15</x:v>
      </x:c>
      <x:c r="E226" s="134" t="n">
        <x:v>3</x:v>
      </x:c>
      <x:c r="F226" s="134" t="str">
        <x:v>3C</x:v>
      </x:c>
      <x:c r="G226" s="140" t="n">
        <x:v>15.95</x:v>
      </x:c>
      <x:c r="H226" s="140" t="n">
        <x:v>0</x:v>
      </x:c>
      <x:c r="I226" s="140" t="n">
        <x:v>96.32</x:v>
      </x:c>
      <x:c r="J226" s="140" t="n">
        <x:v>7.59</x:v>
      </x:c>
      <x:c r="K226" s="140" t="n">
        <x:v>15.42</x:v>
      </x:c>
      <x:c r="L226" s="140" t="n">
        <x:v>16</x:v>
      </x:c>
      <x:c r="M226" s="140" t="n">
        <x:v>9</x:v>
      </x:c>
      <x:c r="N226" s="134" t="n">
        <x:v>0</x:v>
      </x:c>
      <x:c r="O226" s="134" t="str">
        <x:v>permanece</x:v>
      </x:c>
      <x:c r="P226" s="134" t="str">
        <x:v>train</x:v>
      </x:c>
      <x:c r="Q226" s="134" t="str">
        <x:v>synthetic_scientific</x:v>
      </x:c>
      <x:c r="R226" s="135" t="str">
        <x:v>BLENKIR_V6_SYNTH_20260924</x:v>
      </x:c>
    </x:row>
    <x:row r="227" ht="32" customHeight="1">
      <x:c r="A227" s="133" t="str">
        <x:v>EST-0125</x:v>
      </x:c>
      <x:c r="B227" s="134" t="str">
        <x:v>EST-0125-T1</x:v>
      </x:c>
      <x:c r="C227" s="134" t="str">
        <x:v>2026-07-31</x:v>
      </x:c>
      <x:c r="D227" s="134" t="str">
        <x:v>2026-12-15</x:v>
      </x:c>
      <x:c r="E227" s="134" t="n">
        <x:v>3</x:v>
      </x:c>
      <x:c r="F227" s="134" t="str">
        <x:v>3C</x:v>
      </x:c>
      <x:c r="G227" s="140" t="n">
        <x:v>14.97</x:v>
      </x:c>
      <x:c r="H227" s="140" t="n">
        <x:v>0</x:v>
      </x:c>
      <x:c r="I227" s="140" t="n">
        <x:v>89.6</x:v>
      </x:c>
      <x:c r="J227" s="140" t="n">
        <x:v>9.26</x:v>
      </x:c>
      <x:c r="K227" s="140" t="n">
        <x:v>14.34</x:v>
      </x:c>
      <x:c r="L227" s="140" t="n">
        <x:v>13</x:v>
      </x:c>
      <x:c r="M227" s="140" t="n">
        <x:v>12</x:v>
      </x:c>
      <x:c r="N227" s="134" t="n">
        <x:v>0</x:v>
      </x:c>
      <x:c r="O227" s="134" t="str">
        <x:v>permanece</x:v>
      </x:c>
      <x:c r="P227" s="134" t="str">
        <x:v>validation</x:v>
      </x:c>
      <x:c r="Q227" s="134" t="str">
        <x:v>synthetic_scientific</x:v>
      </x:c>
      <x:c r="R227" s="135" t="str">
        <x:v>BLENKIR_V6_SYNTH_20260924</x:v>
      </x:c>
    </x:row>
    <x:row r="228" ht="32" customHeight="1">
      <x:c r="A228" s="133" t="str">
        <x:v>EST-0125</x:v>
      </x:c>
      <x:c r="B228" s="134" t="str">
        <x:v>EST-0125-T2</x:v>
      </x:c>
      <x:c r="C228" s="134" t="str">
        <x:v>2026-09-21</x:v>
      </x:c>
      <x:c r="D228" s="134" t="str">
        <x:v>2026-12-15</x:v>
      </x:c>
      <x:c r="E228" s="134" t="n">
        <x:v>3</x:v>
      </x:c>
      <x:c r="F228" s="134" t="str">
        <x:v>3C</x:v>
      </x:c>
      <x:c r="G228" s="140" t="n">
        <x:v>15.14</x:v>
      </x:c>
      <x:c r="H228" s="140" t="n">
        <x:v>0</x:v>
      </x:c>
      <x:c r="I228" s="140" t="n">
        <x:v>93.35</x:v>
      </x:c>
      <x:c r="J228" s="140" t="n">
        <x:v>7.98</x:v>
      </x:c>
      <x:c r="K228" s="140" t="n">
        <x:v>11.56</x:v>
      </x:c>
      <x:c r="L228" s="140" t="n">
        <x:v>13</x:v>
      </x:c>
      <x:c r="M228" s="140" t="n">
        <x:v>12</x:v>
      </x:c>
      <x:c r="N228" s="134" t="n">
        <x:v>0</x:v>
      </x:c>
      <x:c r="O228" s="134" t="str">
        <x:v>permanece</x:v>
      </x:c>
      <x:c r="P228" s="134" t="str">
        <x:v>validation</x:v>
      </x:c>
      <x:c r="Q228" s="134" t="str">
        <x:v>synthetic_scientific</x:v>
      </x:c>
      <x:c r="R228" s="135" t="str">
        <x:v>BLENKIR_V6_SYNTH_20260924</x:v>
      </x:c>
    </x:row>
    <x:row r="229" ht="32" customHeight="1">
      <x:c r="A229" s="133" t="str">
        <x:v>EST-0127</x:v>
      </x:c>
      <x:c r="B229" s="134" t="str">
        <x:v>EST-0127-T1</x:v>
      </x:c>
      <x:c r="C229" s="134" t="str">
        <x:v>2026-07-31</x:v>
      </x:c>
      <x:c r="D229" s="134" t="str">
        <x:v>2026-12-15</x:v>
      </x:c>
      <x:c r="E229" s="134" t="n">
        <x:v>3</x:v>
      </x:c>
      <x:c r="F229" s="134" t="str">
        <x:v>3C</x:v>
      </x:c>
      <x:c r="G229" s="140" t="n">
        <x:v>14.24</x:v>
      </x:c>
      <x:c r="H229" s="140" t="n">
        <x:v>0</x:v>
      </x:c>
      <x:c r="I229" s="140" t="n">
        <x:v>88.97</x:v>
      </x:c>
      <x:c r="J229" s="140" t="n">
        <x:v>10.7</x:v>
      </x:c>
      <x:c r="K229" s="140" t="n">
        <x:v>15.82</x:v>
      </x:c>
      <x:c r="L229" s="140" t="n">
        <x:v>12</x:v>
      </x:c>
      <x:c r="M229" s="140" t="n">
        <x:v>8</x:v>
      </x:c>
      <x:c r="N229" s="134" t="n">
        <x:v>1</x:v>
      </x:c>
      <x:c r="O229" s="134" t="str">
        <x:v>deserta</x:v>
      </x:c>
      <x:c r="P229" s="134" t="str">
        <x:v>train</x:v>
      </x:c>
      <x:c r="Q229" s="134" t="str">
        <x:v>synthetic_scientific</x:v>
      </x:c>
      <x:c r="R229" s="135" t="str">
        <x:v>BLENKIR_V6_SYNTH_20260924</x:v>
      </x:c>
    </x:row>
    <x:row r="230" ht="32" customHeight="1">
      <x:c r="A230" s="133" t="str">
        <x:v>EST-0127</x:v>
      </x:c>
      <x:c r="B230" s="134" t="str">
        <x:v>EST-0127-T2</x:v>
      </x:c>
      <x:c r="C230" s="134" t="str">
        <x:v>2026-09-21</x:v>
      </x:c>
      <x:c r="D230" s="134" t="str">
        <x:v>2026-12-15</x:v>
      </x:c>
      <x:c r="E230" s="134" t="n">
        <x:v>3</x:v>
      </x:c>
      <x:c r="F230" s="134" t="str">
        <x:v>3C</x:v>
      </x:c>
      <x:c r="G230" s="140" t="n">
        <x:v>14.41</x:v>
      </x:c>
      <x:c r="H230" s="140" t="n">
        <x:v>0</x:v>
      </x:c>
      <x:c r="I230" s="140" t="n">
        <x:v>89.53</x:v>
      </x:c>
      <x:c r="J230" s="140" t="n">
        <x:v>7.91</x:v>
      </x:c>
      <x:c r="K230" s="140" t="n">
        <x:v>16.12</x:v>
      </x:c>
      <x:c r="L230" s="140" t="n">
        <x:v>15</x:v>
      </x:c>
      <x:c r="M230" s="140" t="n">
        <x:v>10</x:v>
      </x:c>
      <x:c r="N230" s="134" t="n">
        <x:v>1</x:v>
      </x:c>
      <x:c r="O230" s="134" t="str">
        <x:v>deserta</x:v>
      </x:c>
      <x:c r="P230" s="134" t="str">
        <x:v>train</x:v>
      </x:c>
      <x:c r="Q230" s="134" t="str">
        <x:v>synthetic_scientific</x:v>
      </x:c>
      <x:c r="R230" s="135" t="str">
        <x:v>BLENKIR_V6_SYNTH_20260924</x:v>
      </x:c>
    </x:row>
    <x:row r="231" ht="32" customHeight="1">
      <x:c r="A231" s="133" t="str">
        <x:v>EST-0128</x:v>
      </x:c>
      <x:c r="B231" s="134" t="str">
        <x:v>EST-0128-T1</x:v>
      </x:c>
      <x:c r="C231" s="134" t="str">
        <x:v>2026-07-31</x:v>
      </x:c>
      <x:c r="D231" s="134" t="str">
        <x:v>2026-12-15</x:v>
      </x:c>
      <x:c r="E231" s="134" t="n">
        <x:v>3</x:v>
      </x:c>
      <x:c r="F231" s="134" t="str">
        <x:v>3D</x:v>
      </x:c>
      <x:c r="G231" s="140" t="n">
        <x:v>17.38</x:v>
      </x:c>
      <x:c r="H231" s="140" t="n">
        <x:v>0</x:v>
      </x:c>
      <x:c r="I231" s="140" t="n">
        <x:v>93.54</x:v>
      </x:c>
      <x:c r="J231" s="140" t="n">
        <x:v>6.87</x:v>
      </x:c>
      <x:c r="K231" s="140" t="n">
        <x:v>17.92</x:v>
      </x:c>
      <x:c r="L231" s="140" t="n">
        <x:v>17</x:v>
      </x:c>
      <x:c r="M231" s="140" t="n">
        <x:v>14</x:v>
      </x:c>
      <x:c r="N231" s="134" t="n">
        <x:v>0</x:v>
      </x:c>
      <x:c r="O231" s="134" t="str">
        <x:v>permanece</x:v>
      </x:c>
      <x:c r="P231" s="134" t="str">
        <x:v>train</x:v>
      </x:c>
      <x:c r="Q231" s="134" t="str">
        <x:v>synthetic_scientific</x:v>
      </x:c>
      <x:c r="R231" s="135" t="str">
        <x:v>BLENKIR_V6_SYNTH_20260924</x:v>
      </x:c>
    </x:row>
    <x:row r="232" ht="32" customHeight="1">
      <x:c r="A232" s="133" t="str">
        <x:v>EST-0128</x:v>
      </x:c>
      <x:c r="B232" s="134" t="str">
        <x:v>EST-0128-T2</x:v>
      </x:c>
      <x:c r="C232" s="134" t="str">
        <x:v>2026-09-21</x:v>
      </x:c>
      <x:c r="D232" s="134" t="str">
        <x:v>2026-12-15</x:v>
      </x:c>
      <x:c r="E232" s="134" t="n">
        <x:v>3</x:v>
      </x:c>
      <x:c r="F232" s="134" t="str">
        <x:v>3D</x:v>
      </x:c>
      <x:c r="G232" s="140" t="n">
        <x:v>16.99</x:v>
      </x:c>
      <x:c r="H232" s="140" t="n">
        <x:v>0</x:v>
      </x:c>
      <x:c r="I232" s="140" t="n">
        <x:v>97.14</x:v>
      </x:c>
      <x:c r="J232" s="140" t="n">
        <x:v>7.55</x:v>
      </x:c>
      <x:c r="K232" s="140" t="n">
        <x:v>17.19</x:v>
      </x:c>
      <x:c r="L232" s="140" t="n">
        <x:v>16</x:v>
      </x:c>
      <x:c r="M232" s="140" t="n">
        <x:v>14</x:v>
      </x:c>
      <x:c r="N232" s="134" t="n">
        <x:v>0</x:v>
      </x:c>
      <x:c r="O232" s="134" t="str">
        <x:v>permanece</x:v>
      </x:c>
      <x:c r="P232" s="134" t="str">
        <x:v>train</x:v>
      </x:c>
      <x:c r="Q232" s="134" t="str">
        <x:v>synthetic_scientific</x:v>
      </x:c>
      <x:c r="R232" s="135" t="str">
        <x:v>BLENKIR_V6_SYNTH_20260924</x:v>
      </x:c>
    </x:row>
    <x:row r="233" ht="32" customHeight="1">
      <x:c r="A233" s="133" t="str">
        <x:v>EST-0129</x:v>
      </x:c>
      <x:c r="B233" s="134" t="str">
        <x:v>EST-0129-T1</x:v>
      </x:c>
      <x:c r="C233" s="134" t="str">
        <x:v>2026-07-31</x:v>
      </x:c>
      <x:c r="D233" s="134" t="str">
        <x:v>2026-12-15</x:v>
      </x:c>
      <x:c r="E233" s="134" t="n">
        <x:v>3</x:v>
      </x:c>
      <x:c r="F233" s="134" t="str">
        <x:v>3D</x:v>
      </x:c>
      <x:c r="G233" s="140" t="n">
        <x:v>12.09</x:v>
      </x:c>
      <x:c r="H233" s="140" t="n">
        <x:v>0</x:v>
      </x:c>
      <x:c r="I233" s="140" t="n">
        <x:v>88.7</x:v>
      </x:c>
      <x:c r="J233" s="140" t="n">
        <x:v>9.57</x:v>
      </x:c>
      <x:c r="K233" s="140" t="n">
        <x:v>16.31</x:v>
      </x:c>
      <x:c r="L233" s="140" t="n">
        <x:v>14</x:v>
      </x:c>
      <x:c r="M233" s="140" t="n">
        <x:v>14</x:v>
      </x:c>
      <x:c r="N233" s="134" t="n">
        <x:v>0</x:v>
      </x:c>
      <x:c r="O233" s="134" t="str">
        <x:v>permanece</x:v>
      </x:c>
      <x:c r="P233" s="134" t="str">
        <x:v>train</x:v>
      </x:c>
      <x:c r="Q233" s="134" t="str">
        <x:v>synthetic_scientific</x:v>
      </x:c>
      <x:c r="R233" s="135" t="str">
        <x:v>BLENKIR_V6_SYNTH_20260924</x:v>
      </x:c>
    </x:row>
    <x:row r="234" ht="32" customHeight="1">
      <x:c r="A234" s="133" t="str">
        <x:v>EST-0129</x:v>
      </x:c>
      <x:c r="B234" s="134" t="str">
        <x:v>EST-0129-T2</x:v>
      </x:c>
      <x:c r="C234" s="134" t="str">
        <x:v>2026-09-21</x:v>
      </x:c>
      <x:c r="D234" s="134" t="str">
        <x:v>2026-12-15</x:v>
      </x:c>
      <x:c r="E234" s="134" t="n">
        <x:v>3</x:v>
      </x:c>
      <x:c r="F234" s="134" t="str">
        <x:v>3D</x:v>
      </x:c>
      <x:c r="G234" s="140" t="n">
        <x:v>11.46</x:v>
      </x:c>
      <x:c r="H234" s="140" t="n">
        <x:v>1</x:v>
      </x:c>
      <x:c r="I234" s="140" t="n">
        <x:v>87.46</x:v>
      </x:c>
      <x:c r="J234" s="140" t="n">
        <x:v>9.83</x:v>
      </x:c>
      <x:c r="K234" s="140" t="n">
        <x:v>18.25</x:v>
      </x:c>
      <x:c r="L234" s="140" t="n">
        <x:v>15</x:v>
      </x:c>
      <x:c r="M234" s="140" t="n">
        <x:v>13</x:v>
      </x:c>
      <x:c r="N234" s="134" t="n">
        <x:v>0</x:v>
      </x:c>
      <x:c r="O234" s="134" t="str">
        <x:v>permanece</x:v>
      </x:c>
      <x:c r="P234" s="134" t="str">
        <x:v>train</x:v>
      </x:c>
      <x:c r="Q234" s="134" t="str">
        <x:v>synthetic_scientific</x:v>
      </x:c>
      <x:c r="R234" s="135" t="str">
        <x:v>BLENKIR_V6_SYNTH_20260924</x:v>
      </x:c>
    </x:row>
    <x:row r="235" ht="32" customHeight="1">
      <x:c r="A235" s="133" t="str">
        <x:v>EST-0130</x:v>
      </x:c>
      <x:c r="B235" s="134" t="str">
        <x:v>EST-0130-T1</x:v>
      </x:c>
      <x:c r="C235" s="134" t="str">
        <x:v>2026-07-31</x:v>
      </x:c>
      <x:c r="D235" s="134" t="str">
        <x:v>2026-12-15</x:v>
      </x:c>
      <x:c r="E235" s="134" t="n">
        <x:v>3</x:v>
      </x:c>
      <x:c r="F235" s="134" t="str">
        <x:v>3D</x:v>
      </x:c>
      <x:c r="G235" s="140" t="n">
        <x:v>17.19</x:v>
      </x:c>
      <x:c r="H235" s="140" t="n">
        <x:v>0</x:v>
      </x:c>
      <x:c r="I235" s="140" t="n">
        <x:v>94.37</x:v>
      </x:c>
      <x:c r="J235" s="140" t="n">
        <x:v>8.01</x:v>
      </x:c>
      <x:c r="K235" s="140" t="n">
        <x:v>9.86</x:v>
      </x:c>
      <x:c r="L235" s="140" t="n">
        <x:v>14</x:v>
      </x:c>
      <x:c r="M235" s="140" t="n">
        <x:v>8</x:v>
      </x:c>
      <x:c r="N235" s="134" t="n">
        <x:v>0</x:v>
      </x:c>
      <x:c r="O235" s="134" t="str">
        <x:v>permanece</x:v>
      </x:c>
      <x:c r="P235" s="134" t="str">
        <x:v>holdout</x:v>
      </x:c>
      <x:c r="Q235" s="134" t="str">
        <x:v>synthetic_scientific</x:v>
      </x:c>
      <x:c r="R235" s="135" t="str">
        <x:v>BLENKIR_V6_SYNTH_20260924</x:v>
      </x:c>
    </x:row>
    <x:row r="236" ht="32" customHeight="1">
      <x:c r="A236" s="133" t="str">
        <x:v>EST-0130</x:v>
      </x:c>
      <x:c r="B236" s="134" t="str">
        <x:v>EST-0130-T2</x:v>
      </x:c>
      <x:c r="C236" s="134" t="str">
        <x:v>2026-09-21</x:v>
      </x:c>
      <x:c r="D236" s="134" t="str">
        <x:v>2026-12-15</x:v>
      </x:c>
      <x:c r="E236" s="134" t="n">
        <x:v>3</x:v>
      </x:c>
      <x:c r="F236" s="134" t="str">
        <x:v>3D</x:v>
      </x:c>
      <x:c r="G236" s="140" t="n">
        <x:v>17.28</x:v>
      </x:c>
      <x:c r="H236" s="140" t="n">
        <x:v>0</x:v>
      </x:c>
      <x:c r="I236" s="140" t="n">
        <x:v>91.43</x:v>
      </x:c>
      <x:c r="J236" s="140" t="n">
        <x:v>7.45</x:v>
      </x:c>
      <x:c r="K236" s="140" t="n">
        <x:v>12.98</x:v>
      </x:c>
      <x:c r="L236" s="140" t="n">
        <x:v>14</x:v>
      </x:c>
      <x:c r="M236" s="140" t="n">
        <x:v>8</x:v>
      </x:c>
      <x:c r="N236" s="134" t="n">
        <x:v>0</x:v>
      </x:c>
      <x:c r="O236" s="134" t="str">
        <x:v>permanece</x:v>
      </x:c>
      <x:c r="P236" s="134" t="str">
        <x:v>holdout</x:v>
      </x:c>
      <x:c r="Q236" s="134" t="str">
        <x:v>synthetic_scientific</x:v>
      </x:c>
      <x:c r="R236" s="135" t="str">
        <x:v>BLENKIR_V6_SYNTH_20260924</x:v>
      </x:c>
    </x:row>
    <x:row r="237" ht="32" customHeight="1">
      <x:c r="A237" s="133" t="str">
        <x:v>EST-0131</x:v>
      </x:c>
      <x:c r="B237" s="134" t="str">
        <x:v>EST-0131-T1</x:v>
      </x:c>
      <x:c r="C237" s="134" t="str">
        <x:v>2026-07-31</x:v>
      </x:c>
      <x:c r="D237" s="134" t="str">
        <x:v>2026-12-15</x:v>
      </x:c>
      <x:c r="E237" s="134" t="n">
        <x:v>3</x:v>
      </x:c>
      <x:c r="F237" s="134" t="str">
        <x:v>3D</x:v>
      </x:c>
      <x:c r="G237" s="140" t="n">
        <x:v>17.38</x:v>
      </x:c>
      <x:c r="H237" s="140" t="n">
        <x:v>0</x:v>
      </x:c>
      <x:c r="I237" s="140" t="n">
        <x:v>88.59</x:v>
      </x:c>
      <x:c r="J237" s="140" t="n">
        <x:v>8.54</x:v>
      </x:c>
      <x:c r="K237" s="140" t="n">
        <x:v>14.92</x:v>
      </x:c>
      <x:c r="L237" s="140" t="n">
        <x:v>10</x:v>
      </x:c>
      <x:c r="M237" s="140" t="n">
        <x:v>16</x:v>
      </x:c>
      <x:c r="N237" s="134" t="n">
        <x:v>0</x:v>
      </x:c>
      <x:c r="O237" s="134" t="str">
        <x:v>permanece</x:v>
      </x:c>
      <x:c r="P237" s="134" t="str">
        <x:v>train</x:v>
      </x:c>
      <x:c r="Q237" s="134" t="str">
        <x:v>synthetic_scientific</x:v>
      </x:c>
      <x:c r="R237" s="135" t="str">
        <x:v>BLENKIR_V6_SYNTH_20260924</x:v>
      </x:c>
    </x:row>
    <x:row r="238" ht="32" customHeight="1">
      <x:c r="A238" s="133" t="str">
        <x:v>EST-0131</x:v>
      </x:c>
      <x:c r="B238" s="134" t="str">
        <x:v>EST-0131-T2</x:v>
      </x:c>
      <x:c r="C238" s="134" t="str">
        <x:v>2026-09-21</x:v>
      </x:c>
      <x:c r="D238" s="134" t="str">
        <x:v>2026-12-15</x:v>
      </x:c>
      <x:c r="E238" s="134" t="n">
        <x:v>3</x:v>
      </x:c>
      <x:c r="F238" s="134" t="str">
        <x:v>3D</x:v>
      </x:c>
      <x:c r="G238" s="140" t="n">
        <x:v>16.92</x:v>
      </x:c>
      <x:c r="H238" s="140" t="n">
        <x:v>0</x:v>
      </x:c>
      <x:c r="I238" s="140" t="n">
        <x:v>88.01</x:v>
      </x:c>
      <x:c r="J238" s="140" t="n">
        <x:v>7.08</x:v>
      </x:c>
      <x:c r="K238" s="140" t="n">
        <x:v>14.29</x:v>
      </x:c>
      <x:c r="L238" s="140" t="n">
        <x:v>12</x:v>
      </x:c>
      <x:c r="M238" s="140" t="n">
        <x:v>13</x:v>
      </x:c>
      <x:c r="N238" s="134" t="n">
        <x:v>0</x:v>
      </x:c>
      <x:c r="O238" s="134" t="str">
        <x:v>permanece</x:v>
      </x:c>
      <x:c r="P238" s="134" t="str">
        <x:v>train</x:v>
      </x:c>
      <x:c r="Q238" s="134" t="str">
        <x:v>synthetic_scientific</x:v>
      </x:c>
      <x:c r="R238" s="135" t="str">
        <x:v>BLENKIR_V6_SYNTH_20260924</x:v>
      </x:c>
    </x:row>
    <x:row r="239" ht="32" customHeight="1">
      <x:c r="A239" s="133" t="str">
        <x:v>EST-0132</x:v>
      </x:c>
      <x:c r="B239" s="134" t="str">
        <x:v>EST-0132-T1</x:v>
      </x:c>
      <x:c r="C239" s="134" t="str">
        <x:v>2026-07-31</x:v>
      </x:c>
      <x:c r="D239" s="134" t="str">
        <x:v>2026-12-15</x:v>
      </x:c>
      <x:c r="E239" s="134" t="n">
        <x:v>3</x:v>
      </x:c>
      <x:c r="F239" s="134" t="str">
        <x:v>3D</x:v>
      </x:c>
      <x:c r="G239" s="140" t="n">
        <x:v>13.94</x:v>
      </x:c>
      <x:c r="H239" s="140" t="n">
        <x:v>0</x:v>
      </x:c>
      <x:c r="I239" s="140" t="n">
        <x:v>79.69</x:v>
      </x:c>
      <x:c r="J239" s="140" t="n">
        <x:v>5.47</x:v>
      </x:c>
      <x:c r="K239" s="140" t="n">
        <x:v>13.68</x:v>
      </x:c>
      <x:c r="L239" s="140" t="n">
        <x:v>14</x:v>
      </x:c>
      <x:c r="M239" s="140" t="n">
        <x:v>11</x:v>
      </x:c>
      <x:c r="N239" s="134" t="n">
        <x:v>1</x:v>
      </x:c>
      <x:c r="O239" s="134" t="str">
        <x:v>deserta</x:v>
      </x:c>
      <x:c r="P239" s="134" t="str">
        <x:v>train</x:v>
      </x:c>
      <x:c r="Q239" s="134" t="str">
        <x:v>synthetic_scientific</x:v>
      </x:c>
      <x:c r="R239" s="135" t="str">
        <x:v>BLENKIR_V6_SYNTH_20260924</x:v>
      </x:c>
    </x:row>
    <x:row r="240" ht="32" customHeight="1">
      <x:c r="A240" s="133" t="str">
        <x:v>EST-0132</x:v>
      </x:c>
      <x:c r="B240" s="134" t="str">
        <x:v>EST-0132-T2</x:v>
      </x:c>
      <x:c r="C240" s="134" t="str">
        <x:v>2026-09-21</x:v>
      </x:c>
      <x:c r="D240" s="134" t="str">
        <x:v>2026-12-15</x:v>
      </x:c>
      <x:c r="E240" s="134" t="n">
        <x:v>3</x:v>
      </x:c>
      <x:c r="F240" s="134" t="str">
        <x:v>3D</x:v>
      </x:c>
      <x:c r="G240" s="140" t="n">
        <x:v>14.12</x:v>
      </x:c>
      <x:c r="H240" s="140" t="n">
        <x:v>0</x:v>
      </x:c>
      <x:c r="I240" s="140" t="n">
        <x:v>76.85</x:v>
      </x:c>
      <x:c r="J240" s="140" t="n">
        <x:v>6.25</x:v>
      </x:c>
      <x:c r="K240" s="140" t="n">
        <x:v>12.52</x:v>
      </x:c>
      <x:c r="L240" s="140" t="n">
        <x:v>13</x:v>
      </x:c>
      <x:c r="M240" s="140" t="n">
        <x:v>10</x:v>
      </x:c>
      <x:c r="N240" s="134" t="n">
        <x:v>1</x:v>
      </x:c>
      <x:c r="O240" s="134" t="str">
        <x:v>deserta</x:v>
      </x:c>
      <x:c r="P240" s="134" t="str">
        <x:v>train</x:v>
      </x:c>
      <x:c r="Q240" s="134" t="str">
        <x:v>synthetic_scientific</x:v>
      </x:c>
      <x:c r="R240" s="135" t="str">
        <x:v>BLENKIR_V6_SYNTH_20260924</x:v>
      </x:c>
    </x:row>
    <x:row r="241" ht="32" customHeight="1">
      <x:c r="A241" s="133" t="str">
        <x:v>EST-0133</x:v>
      </x:c>
      <x:c r="B241" s="134" t="str">
        <x:v>EST-0133-T1</x:v>
      </x:c>
      <x:c r="C241" s="134" t="str">
        <x:v>2026-07-31</x:v>
      </x:c>
      <x:c r="D241" s="134" t="str">
        <x:v>2026-12-15</x:v>
      </x:c>
      <x:c r="E241" s="134" t="n">
        <x:v>3</x:v>
      </x:c>
      <x:c r="F241" s="134" t="str">
        <x:v>3D</x:v>
      </x:c>
      <x:c r="G241" s="140" t="n">
        <x:v>16.04</x:v>
      </x:c>
      <x:c r="H241" s="140" t="n">
        <x:v>0</x:v>
      </x:c>
      <x:c r="I241" s="140" t="n">
        <x:v>86.87</x:v>
      </x:c>
      <x:c r="J241" s="140" t="n">
        <x:v>8.62</x:v>
      </x:c>
      <x:c r="K241" s="140" t="n">
        <x:v>18.17</x:v>
      </x:c>
      <x:c r="L241" s="140" t="n">
        <x:v>15</x:v>
      </x:c>
      <x:c r="M241" s="140" t="n">
        <x:v>13</x:v>
      </x:c>
      <x:c r="N241" s="134" t="n">
        <x:v>0</x:v>
      </x:c>
      <x:c r="O241" s="134" t="str">
        <x:v>permanece</x:v>
      </x:c>
      <x:c r="P241" s="134" t="str">
        <x:v>train</x:v>
      </x:c>
      <x:c r="Q241" s="134" t="str">
        <x:v>synthetic_scientific</x:v>
      </x:c>
      <x:c r="R241" s="135" t="str">
        <x:v>BLENKIR_V6_SYNTH_20260924</x:v>
      </x:c>
    </x:row>
    <x:row r="242" ht="32" customHeight="1">
      <x:c r="A242" s="133" t="str">
        <x:v>EST-0133</x:v>
      </x:c>
      <x:c r="B242" s="134" t="str">
        <x:v>EST-0133-T2</x:v>
      </x:c>
      <x:c r="C242" s="134" t="str">
        <x:v>2026-09-21</x:v>
      </x:c>
      <x:c r="D242" s="134" t="str">
        <x:v>2026-12-15</x:v>
      </x:c>
      <x:c r="E242" s="134" t="n">
        <x:v>3</x:v>
      </x:c>
      <x:c r="F242" s="134" t="str">
        <x:v>3D</x:v>
      </x:c>
      <x:c r="G242" s="140" t="n">
        <x:v>15.46</x:v>
      </x:c>
      <x:c r="H242" s="140" t="n">
        <x:v>0</x:v>
      </x:c>
      <x:c r="I242" s="140" t="n">
        <x:v>86.99</x:v>
      </x:c>
      <x:c r="J242" s="140" t="n">
        <x:v>9.16</x:v>
      </x:c>
      <x:c r="K242" s="140" t="n">
        <x:v>17.2</x:v>
      </x:c>
      <x:c r="L242" s="140" t="n">
        <x:v>16</x:v>
      </x:c>
      <x:c r="M242" s="140" t="n">
        <x:v>13</x:v>
      </x:c>
      <x:c r="N242" s="134" t="n">
        <x:v>0</x:v>
      </x:c>
      <x:c r="O242" s="134" t="str">
        <x:v>permanece</x:v>
      </x:c>
      <x:c r="P242" s="134" t="str">
        <x:v>train</x:v>
      </x:c>
      <x:c r="Q242" s="134" t="str">
        <x:v>synthetic_scientific</x:v>
      </x:c>
      <x:c r="R242" s="135" t="str">
        <x:v>BLENKIR_V6_SYNTH_20260924</x:v>
      </x:c>
    </x:row>
    <x:row r="243" ht="32" customHeight="1">
      <x:c r="A243" s="133" t="str">
        <x:v>EST-0134</x:v>
      </x:c>
      <x:c r="B243" s="134" t="str">
        <x:v>EST-0134-T1</x:v>
      </x:c>
      <x:c r="C243" s="134" t="str">
        <x:v>2026-07-31</x:v>
      </x:c>
      <x:c r="D243" s="134" t="str">
        <x:v>2026-12-15</x:v>
      </x:c>
      <x:c r="E243" s="134" t="n">
        <x:v>3</x:v>
      </x:c>
      <x:c r="F243" s="134" t="str">
        <x:v>3D</x:v>
      </x:c>
      <x:c r="G243" s="140" t="n">
        <x:v>13.62</x:v>
      </x:c>
      <x:c r="H243" s="140" t="n">
        <x:v>0</x:v>
      </x:c>
      <x:c r="I243" s="140" t="n">
        <x:v>93.12</x:v>
      </x:c>
      <x:c r="J243" s="140" t="n">
        <x:v>5.06</x:v>
      </x:c>
      <x:c r="K243" s="140" t="n">
        <x:v>5.79</x:v>
      </x:c>
      <x:c r="L243" s="140" t="n">
        <x:v>8</x:v>
      </x:c>
      <x:c r="M243" s="140" t="n">
        <x:v>6</x:v>
      </x:c>
      <x:c r="N243" s="134" t="n">
        <x:v>0</x:v>
      </x:c>
      <x:c r="O243" s="134" t="str">
        <x:v>permanece</x:v>
      </x:c>
      <x:c r="P243" s="134" t="str">
        <x:v>validation</x:v>
      </x:c>
      <x:c r="Q243" s="134" t="str">
        <x:v>synthetic_scientific</x:v>
      </x:c>
      <x:c r="R243" s="135" t="str">
        <x:v>BLENKIR_V6_SYNTH_20260924</x:v>
      </x:c>
    </x:row>
    <x:row r="244" ht="32" customHeight="1">
      <x:c r="A244" s="133" t="str">
        <x:v>EST-0134</x:v>
      </x:c>
      <x:c r="B244" s="134" t="str">
        <x:v>EST-0134-T2</x:v>
      </x:c>
      <x:c r="C244" s="134" t="str">
        <x:v>2026-09-21</x:v>
      </x:c>
      <x:c r="D244" s="134" t="str">
        <x:v>2026-12-15</x:v>
      </x:c>
      <x:c r="E244" s="134" t="n">
        <x:v>3</x:v>
      </x:c>
      <x:c r="F244" s="134" t="str">
        <x:v>3D</x:v>
      </x:c>
      <x:c r="G244" s="140" t="n">
        <x:v>13.47</x:v>
      </x:c>
      <x:c r="H244" s="140" t="n">
        <x:v>0</x:v>
      </x:c>
      <x:c r="I244" s="140" t="n">
        <x:v>89.4</x:v>
      </x:c>
      <x:c r="J244" s="140" t="n">
        <x:v>3.68</x:v>
      </x:c>
      <x:c r="K244" s="140" t="n">
        <x:v>6.4</x:v>
      </x:c>
      <x:c r="L244" s="140" t="n">
        <x:v>9</x:v>
      </x:c>
      <x:c r="M244" s="140" t="n">
        <x:v>5</x:v>
      </x:c>
      <x:c r="N244" s="134" t="n">
        <x:v>0</x:v>
      </x:c>
      <x:c r="O244" s="134" t="str">
        <x:v>permanece</x:v>
      </x:c>
      <x:c r="P244" s="134" t="str">
        <x:v>validation</x:v>
      </x:c>
      <x:c r="Q244" s="134" t="str">
        <x:v>synthetic_scientific</x:v>
      </x:c>
      <x:c r="R244" s="135" t="str">
        <x:v>BLENKIR_V6_SYNTH_20260924</x:v>
      </x:c>
    </x:row>
    <x:row r="245" ht="32" customHeight="1">
      <x:c r="A245" s="133" t="str">
        <x:v>EST-0135</x:v>
      </x:c>
      <x:c r="B245" s="134" t="str">
        <x:v>EST-0135-T1</x:v>
      </x:c>
      <x:c r="C245" s="134" t="str">
        <x:v>2026-07-31</x:v>
      </x:c>
      <x:c r="D245" s="134" t="str">
        <x:v>2026-12-15</x:v>
      </x:c>
      <x:c r="E245" s="134" t="n">
        <x:v>3</x:v>
      </x:c>
      <x:c r="F245" s="134" t="str">
        <x:v>3D</x:v>
      </x:c>
      <x:c r="G245" s="140" t="n">
        <x:v>15.9</x:v>
      </x:c>
      <x:c r="H245" s="140" t="n">
        <x:v>1</x:v>
      </x:c>
      <x:c r="I245" s="140" t="n">
        <x:v>92.58</x:v>
      </x:c>
      <x:c r="J245" s="140" t="n">
        <x:v>9.94</x:v>
      </x:c>
      <x:c r="K245" s="140" t="n">
        <x:v>16.91</x:v>
      </x:c>
      <x:c r="L245" s="140" t="n">
        <x:v>16</x:v>
      </x:c>
      <x:c r="M245" s="140" t="n">
        <x:v>12</x:v>
      </x:c>
      <x:c r="N245" s="134" t="n">
        <x:v>0</x:v>
      </x:c>
      <x:c r="O245" s="134" t="str">
        <x:v>permanece</x:v>
      </x:c>
      <x:c r="P245" s="134" t="str">
        <x:v>train</x:v>
      </x:c>
      <x:c r="Q245" s="134" t="str">
        <x:v>synthetic_scientific</x:v>
      </x:c>
      <x:c r="R245" s="135" t="str">
        <x:v>BLENKIR_V6_SYNTH_20260924</x:v>
      </x:c>
    </x:row>
    <x:row r="246" ht="32" customHeight="1">
      <x:c r="A246" s="133" t="str">
        <x:v>EST-0135</x:v>
      </x:c>
      <x:c r="B246" s="134" t="str">
        <x:v>EST-0135-T2</x:v>
      </x:c>
      <x:c r="C246" s="134" t="str">
        <x:v>2026-09-21</x:v>
      </x:c>
      <x:c r="D246" s="134" t="str">
        <x:v>2026-12-15</x:v>
      </x:c>
      <x:c r="E246" s="134" t="n">
        <x:v>3</x:v>
      </x:c>
      <x:c r="F246" s="134" t="str">
        <x:v>3D</x:v>
      </x:c>
      <x:c r="G246" s="140" t="n">
        <x:v>15.99</x:v>
      </x:c>
      <x:c r="H246" s="140" t="n">
        <x:v>0</x:v>
      </x:c>
      <x:c r="I246" s="140" t="n">
        <x:v>91.67</x:v>
      </x:c>
      <x:c r="J246" s="140" t="n">
        <x:v>7.6</x:v>
      </x:c>
      <x:c r="K246" s="140" t="n">
        <x:v>13.61</x:v>
      </x:c>
      <x:c r="L246" s="140" t="n">
        <x:v>15</x:v>
      </x:c>
      <x:c r="M246" s="140" t="n">
        <x:v>12</x:v>
      </x:c>
      <x:c r="N246" s="134" t="n">
        <x:v>0</x:v>
      </x:c>
      <x:c r="O246" s="134" t="str">
        <x:v>permanece</x:v>
      </x:c>
      <x:c r="P246" s="134" t="str">
        <x:v>train</x:v>
      </x:c>
      <x:c r="Q246" s="134" t="str">
        <x:v>synthetic_scientific</x:v>
      </x:c>
      <x:c r="R246" s="135" t="str">
        <x:v>BLENKIR_V6_SYNTH_20260924</x:v>
      </x:c>
    </x:row>
    <x:row r="247" ht="32" customHeight="1">
      <x:c r="A247" s="133" t="str">
        <x:v>EST-0136</x:v>
      </x:c>
      <x:c r="B247" s="134" t="str">
        <x:v>EST-0136-T1</x:v>
      </x:c>
      <x:c r="C247" s="134" t="str">
        <x:v>2026-07-31</x:v>
      </x:c>
      <x:c r="D247" s="134" t="str">
        <x:v>2026-12-15</x:v>
      </x:c>
      <x:c r="E247" s="134" t="n">
        <x:v>3</x:v>
      </x:c>
      <x:c r="F247" s="134" t="str">
        <x:v>3D</x:v>
      </x:c>
      <x:c r="G247" s="140" t="n">
        <x:v>15.48</x:v>
      </x:c>
      <x:c r="H247" s="140" t="n">
        <x:v>0</x:v>
      </x:c>
      <x:c r="I247" s="140" t="n">
        <x:v>91.51</x:v>
      </x:c>
      <x:c r="J247" s="140" t="n">
        <x:v>7.89</x:v>
      </x:c>
      <x:c r="K247" s="140" t="n">
        <x:v>20.45</x:v>
      </x:c>
      <x:c r="L247" s="140" t="n">
        <x:v>14</x:v>
      </x:c>
      <x:c r="M247" s="140" t="n">
        <x:v>11</x:v>
      </x:c>
      <x:c r="N247" s="134" t="n">
        <x:v>0</x:v>
      </x:c>
      <x:c r="O247" s="134" t="str">
        <x:v>permanece</x:v>
      </x:c>
      <x:c r="P247" s="134" t="str">
        <x:v>validation</x:v>
      </x:c>
      <x:c r="Q247" s="134" t="str">
        <x:v>synthetic_scientific</x:v>
      </x:c>
      <x:c r="R247" s="135" t="str">
        <x:v>BLENKIR_V6_SYNTH_20260924</x:v>
      </x:c>
    </x:row>
    <x:row r="248" ht="32" customHeight="1">
      <x:c r="A248" s="133" t="str">
        <x:v>EST-0136</x:v>
      </x:c>
      <x:c r="B248" s="134" t="str">
        <x:v>EST-0136-T2</x:v>
      </x:c>
      <x:c r="C248" s="134" t="str">
        <x:v>2026-09-21</x:v>
      </x:c>
      <x:c r="D248" s="134" t="str">
        <x:v>2026-12-15</x:v>
      </x:c>
      <x:c r="E248" s="134" t="n">
        <x:v>3</x:v>
      </x:c>
      <x:c r="F248" s="134" t="str">
        <x:v>3D</x:v>
      </x:c>
      <x:c r="G248" s="140" t="n">
        <x:v>14.78</x:v>
      </x:c>
      <x:c r="H248" s="140" t="n">
        <x:v>0</x:v>
      </x:c>
      <x:c r="I248" s="140" t="n">
        <x:v>91.57</x:v>
      </x:c>
      <x:c r="J248" s="140" t="n">
        <x:v>8.21</x:v>
      </x:c>
      <x:c r="K248" s="140" t="n">
        <x:v>17.78</x:v>
      </x:c>
      <x:c r="L248" s="140" t="n">
        <x:v>14</x:v>
      </x:c>
      <x:c r="M248" s="140" t="n">
        <x:v>11</x:v>
      </x:c>
      <x:c r="N248" s="134" t="n">
        <x:v>0</x:v>
      </x:c>
      <x:c r="O248" s="134" t="str">
        <x:v>permanece</x:v>
      </x:c>
      <x:c r="P248" s="134" t="str">
        <x:v>validation</x:v>
      </x:c>
      <x:c r="Q248" s="134" t="str">
        <x:v>synthetic_scientific</x:v>
      </x:c>
      <x:c r="R248" s="135" t="str">
        <x:v>BLENKIR_V6_SYNTH_20260924</x:v>
      </x:c>
    </x:row>
    <x:row r="249" ht="32" customHeight="1">
      <x:c r="A249" s="133" t="str">
        <x:v>EST-0138</x:v>
      </x:c>
      <x:c r="B249" s="134" t="str">
        <x:v>EST-0138-T1</x:v>
      </x:c>
      <x:c r="C249" s="134" t="str">
        <x:v>2026-07-31</x:v>
      </x:c>
      <x:c r="D249" s="134" t="str">
        <x:v>2026-12-15</x:v>
      </x:c>
      <x:c r="E249" s="134" t="n">
        <x:v>3</x:v>
      </x:c>
      <x:c r="F249" s="134" t="str">
        <x:v>3D</x:v>
      </x:c>
      <x:c r="G249" s="140" t="n">
        <x:v>13.92</x:v>
      </x:c>
      <x:c r="H249" s="140" t="n">
        <x:v>0</x:v>
      </x:c>
      <x:c r="I249" s="140" t="n">
        <x:v>93.79</x:v>
      </x:c>
      <x:c r="J249" s="140" t="n">
        <x:v>7.07</x:v>
      </x:c>
      <x:c r="K249" s="140" t="n">
        <x:v>17.65</x:v>
      </x:c>
      <x:c r="L249" s="140" t="n">
        <x:v>16</x:v>
      </x:c>
      <x:c r="M249" s="140" t="n">
        <x:v>11</x:v>
      </x:c>
      <x:c r="N249" s="134" t="n">
        <x:v>0</x:v>
      </x:c>
      <x:c r="O249" s="134" t="str">
        <x:v>permanece</x:v>
      </x:c>
      <x:c r="P249" s="134" t="str">
        <x:v>train</x:v>
      </x:c>
      <x:c r="Q249" s="134" t="str">
        <x:v>synthetic_scientific</x:v>
      </x:c>
      <x:c r="R249" s="135" t="str">
        <x:v>BLENKIR_V6_SYNTH_20260924</x:v>
      </x:c>
    </x:row>
    <x:row r="250" ht="32" customHeight="1">
      <x:c r="A250" s="133" t="str">
        <x:v>EST-0138</x:v>
      </x:c>
      <x:c r="B250" s="134" t="str">
        <x:v>EST-0138-T2</x:v>
      </x:c>
      <x:c r="C250" s="134" t="str">
        <x:v>2026-09-21</x:v>
      </x:c>
      <x:c r="D250" s="134" t="str">
        <x:v>2026-12-15</x:v>
      </x:c>
      <x:c r="E250" s="134" t="n">
        <x:v>3</x:v>
      </x:c>
      <x:c r="F250" s="134" t="str">
        <x:v>3D</x:v>
      </x:c>
      <x:c r="G250" s="140" t="n">
        <x:v>13.2</x:v>
      </x:c>
      <x:c r="H250" s="140" t="n">
        <x:v>0</x:v>
      </x:c>
      <x:c r="I250" s="140" t="n">
        <x:v>91.92</x:v>
      </x:c>
      <x:c r="J250" s="140" t="n">
        <x:v>7.79</x:v>
      </x:c>
      <x:c r="K250" s="140" t="n">
        <x:v>17.15</x:v>
      </x:c>
      <x:c r="L250" s="140" t="n">
        <x:v>17</x:v>
      </x:c>
      <x:c r="M250" s="140" t="n">
        <x:v>10</x:v>
      </x:c>
      <x:c r="N250" s="134" t="n">
        <x:v>0</x:v>
      </x:c>
      <x:c r="O250" s="134" t="str">
        <x:v>permanece</x:v>
      </x:c>
      <x:c r="P250" s="134" t="str">
        <x:v>train</x:v>
      </x:c>
      <x:c r="Q250" s="134" t="str">
        <x:v>synthetic_scientific</x:v>
      </x:c>
      <x:c r="R250" s="135" t="str">
        <x:v>BLENKIR_V6_SYNTH_20260924</x:v>
      </x:c>
    </x:row>
    <x:row r="251" ht="32" customHeight="1">
      <x:c r="A251" s="133" t="str">
        <x:v>EST-0139</x:v>
      </x:c>
      <x:c r="B251" s="134" t="str">
        <x:v>EST-0139-T1</x:v>
      </x:c>
      <x:c r="C251" s="134" t="str">
        <x:v>2026-07-31</x:v>
      </x:c>
      <x:c r="D251" s="134" t="str">
        <x:v>2026-12-15</x:v>
      </x:c>
      <x:c r="E251" s="134" t="n">
        <x:v>4</x:v>
      </x:c>
      <x:c r="F251" s="134" t="str">
        <x:v>4A</x:v>
      </x:c>
      <x:c r="G251" s="140" t="n">
        <x:v>14.17</x:v>
      </x:c>
      <x:c r="H251" s="140" t="n">
        <x:v>0</x:v>
      </x:c>
      <x:c r="I251" s="140" t="n">
        <x:v>92.74</x:v>
      </x:c>
      <x:c r="J251" s="140" t="n">
        <x:v>8.82</x:v>
      </x:c>
      <x:c r="K251" s="140" t="n">
        <x:v>20.29</x:v>
      </x:c>
      <x:c r="L251" s="140" t="n">
        <x:v>20</x:v>
      </x:c>
      <x:c r="M251" s="140" t="n">
        <x:v>9</x:v>
      </x:c>
      <x:c r="N251" s="134" t="n">
        <x:v>0</x:v>
      </x:c>
      <x:c r="O251" s="134" t="str">
        <x:v>permanece</x:v>
      </x:c>
      <x:c r="P251" s="134" t="str">
        <x:v>holdout</x:v>
      </x:c>
      <x:c r="Q251" s="134" t="str">
        <x:v>synthetic_scientific</x:v>
      </x:c>
      <x:c r="R251" s="135" t="str">
        <x:v>BLENKIR_V6_SYNTH_20260924</x:v>
      </x:c>
    </x:row>
    <x:row r="252" ht="32" customHeight="1">
      <x:c r="A252" s="133" t="str">
        <x:v>EST-0139</x:v>
      </x:c>
      <x:c r="B252" s="134" t="str">
        <x:v>EST-0139-T2</x:v>
      </x:c>
      <x:c r="C252" s="134" t="str">
        <x:v>2026-09-21</x:v>
      </x:c>
      <x:c r="D252" s="134" t="str">
        <x:v>2026-12-15</x:v>
      </x:c>
      <x:c r="E252" s="134" t="n">
        <x:v>4</x:v>
      </x:c>
      <x:c r="F252" s="134" t="str">
        <x:v>4A</x:v>
      </x:c>
      <x:c r="G252" s="140" t="n">
        <x:v>14.12</x:v>
      </x:c>
      <x:c r="H252" s="140" t="n">
        <x:v>0</x:v>
      </x:c>
      <x:c r="I252" s="140" t="n">
        <x:v>94.93</x:v>
      </x:c>
      <x:c r="J252" s="140" t="n">
        <x:v>7.99</x:v>
      </x:c>
      <x:c r="K252" s="140" t="n">
        <x:v>15.16</x:v>
      </x:c>
      <x:c r="L252" s="140" t="n">
        <x:v>16</x:v>
      </x:c>
      <x:c r="M252" s="140" t="n">
        <x:v>10</x:v>
      </x:c>
      <x:c r="N252" s="134" t="n">
        <x:v>0</x:v>
      </x:c>
      <x:c r="O252" s="134" t="str">
        <x:v>permanece</x:v>
      </x:c>
      <x:c r="P252" s="134" t="str">
        <x:v>holdout</x:v>
      </x:c>
      <x:c r="Q252" s="134" t="str">
        <x:v>synthetic_scientific</x:v>
      </x:c>
      <x:c r="R252" s="135" t="str">
        <x:v>BLENKIR_V6_SYNTH_20260924</x:v>
      </x:c>
    </x:row>
    <x:row r="253" ht="32" customHeight="1">
      <x:c r="A253" s="133" t="str">
        <x:v>EST-0140</x:v>
      </x:c>
      <x:c r="B253" s="134" t="str">
        <x:v>EST-0140-T1</x:v>
      </x:c>
      <x:c r="C253" s="134" t="str">
        <x:v>2026-07-31</x:v>
      </x:c>
      <x:c r="D253" s="134" t="str">
        <x:v>2026-12-15</x:v>
      </x:c>
      <x:c r="E253" s="134" t="n">
        <x:v>4</x:v>
      </x:c>
      <x:c r="F253" s="134" t="str">
        <x:v>4A</x:v>
      </x:c>
      <x:c r="G253" s="140" t="n">
        <x:v>14.56</x:v>
      </x:c>
      <x:c r="H253" s="140" t="n">
        <x:v>0</x:v>
      </x:c>
      <x:c r="I253" s="140" t="n">
        <x:v>93.84</x:v>
      </x:c>
      <x:c r="J253" s="140" t="n">
        <x:v>6.58</x:v>
      </x:c>
      <x:c r="K253" s="140" t="n">
        <x:v>14.14</x:v>
      </x:c>
      <x:c r="L253" s="140" t="n">
        <x:v>15</x:v>
      </x:c>
      <x:c r="M253" s="140" t="n">
        <x:v>8</x:v>
      </x:c>
      <x:c r="N253" s="134" t="n">
        <x:v>0</x:v>
      </x:c>
      <x:c r="O253" s="134" t="str">
        <x:v>permanece</x:v>
      </x:c>
      <x:c r="P253" s="134" t="str">
        <x:v>validation</x:v>
      </x:c>
      <x:c r="Q253" s="134" t="str">
        <x:v>synthetic_scientific</x:v>
      </x:c>
      <x:c r="R253" s="135" t="str">
        <x:v>BLENKIR_V6_SYNTH_20260924</x:v>
      </x:c>
    </x:row>
    <x:row r="254" ht="32" customHeight="1">
      <x:c r="A254" s="133" t="str">
        <x:v>EST-0140</x:v>
      </x:c>
      <x:c r="B254" s="134" t="str">
        <x:v>EST-0140-T2</x:v>
      </x:c>
      <x:c r="C254" s="134" t="str">
        <x:v>2026-09-21</x:v>
      </x:c>
      <x:c r="D254" s="134" t="str">
        <x:v>2026-12-15</x:v>
      </x:c>
      <x:c r="E254" s="134" t="n">
        <x:v>4</x:v>
      </x:c>
      <x:c r="F254" s="134" t="str">
        <x:v>4A</x:v>
      </x:c>
      <x:c r="G254" s="140" t="n">
        <x:v>15.79</x:v>
      </x:c>
      <x:c r="H254" s="140" t="n">
        <x:v>0</x:v>
      </x:c>
      <x:c r="I254" s="140" t="n">
        <x:v>96.79</x:v>
      </x:c>
      <x:c r="J254" s="140" t="n">
        <x:v>7.27</x:v>
      </x:c>
      <x:c r="K254" s="140" t="n">
        <x:v>13.09</x:v>
      </x:c>
      <x:c r="L254" s="140" t="n">
        <x:v>16</x:v>
      </x:c>
      <x:c r="M254" s="140" t="n">
        <x:v>9</x:v>
      </x:c>
      <x:c r="N254" s="134" t="n">
        <x:v>0</x:v>
      </x:c>
      <x:c r="O254" s="134" t="str">
        <x:v>permanece</x:v>
      </x:c>
      <x:c r="P254" s="134" t="str">
        <x:v>validation</x:v>
      </x:c>
      <x:c r="Q254" s="134" t="str">
        <x:v>synthetic_scientific</x:v>
      </x:c>
      <x:c r="R254" s="135" t="str">
        <x:v>BLENKIR_V6_SYNTH_20260924</x:v>
      </x:c>
    </x:row>
    <x:row r="255" ht="32" customHeight="1">
      <x:c r="A255" s="133" t="str">
        <x:v>EST-0141</x:v>
      </x:c>
      <x:c r="B255" s="134" t="str">
        <x:v>EST-0141-T1</x:v>
      </x:c>
      <x:c r="C255" s="134" t="str">
        <x:v>2026-07-31</x:v>
      </x:c>
      <x:c r="D255" s="134" t="str">
        <x:v>2026-12-15</x:v>
      </x:c>
      <x:c r="E255" s="134" t="n">
        <x:v>4</x:v>
      </x:c>
      <x:c r="F255" s="134" t="str">
        <x:v>4A</x:v>
      </x:c>
      <x:c r="G255" s="140" t="n">
        <x:v>17.69</x:v>
      </x:c>
      <x:c r="H255" s="140" t="n">
        <x:v>0</x:v>
      </x:c>
      <x:c r="I255" s="140" t="n">
        <x:v>96.7</x:v>
      </x:c>
      <x:c r="J255" s="140" t="n">
        <x:v>5.87</x:v>
      </x:c>
      <x:c r="K255" s="140" t="n">
        <x:v>17.22</x:v>
      </x:c>
      <x:c r="L255" s="140" t="n">
        <x:v>18</x:v>
      </x:c>
      <x:c r="M255" s="140" t="n">
        <x:v>9</x:v>
      </x:c>
      <x:c r="N255" s="134" t="n">
        <x:v>0</x:v>
      </x:c>
      <x:c r="O255" s="134" t="str">
        <x:v>permanece</x:v>
      </x:c>
      <x:c r="P255" s="134" t="str">
        <x:v>train</x:v>
      </x:c>
      <x:c r="Q255" s="134" t="str">
        <x:v>synthetic_scientific</x:v>
      </x:c>
      <x:c r="R255" s="135" t="str">
        <x:v>BLENKIR_V6_SYNTH_20260924</x:v>
      </x:c>
    </x:row>
    <x:row r="256" ht="32" customHeight="1">
      <x:c r="A256" s="133" t="str">
        <x:v>EST-0141</x:v>
      </x:c>
      <x:c r="B256" s="134" t="str">
        <x:v>EST-0141-T2</x:v>
      </x:c>
      <x:c r="C256" s="134" t="str">
        <x:v>2026-09-21</x:v>
      </x:c>
      <x:c r="D256" s="134" t="str">
        <x:v>2026-12-15</x:v>
      </x:c>
      <x:c r="E256" s="134" t="n">
        <x:v>4</x:v>
      </x:c>
      <x:c r="F256" s="134" t="str">
        <x:v>4A</x:v>
      </x:c>
      <x:c r="G256" s="140" t="n">
        <x:v>17.68</x:v>
      </x:c>
      <x:c r="H256" s="140" t="n">
        <x:v>0</x:v>
      </x:c>
      <x:c r="I256" s="140" t="n">
        <x:v>98.8</x:v>
      </x:c>
      <x:c r="J256" s="140" t="n">
        <x:v>6.39</x:v>
      </x:c>
      <x:c r="K256" s="140" t="n">
        <x:v>13.28</x:v>
      </x:c>
      <x:c r="L256" s="140" t="n">
        <x:v>15</x:v>
      </x:c>
      <x:c r="M256" s="140" t="n">
        <x:v>10</x:v>
      </x:c>
      <x:c r="N256" s="134" t="n">
        <x:v>0</x:v>
      </x:c>
      <x:c r="O256" s="134" t="str">
        <x:v>permanece</x:v>
      </x:c>
      <x:c r="P256" s="134" t="str">
        <x:v>train</x:v>
      </x:c>
      <x:c r="Q256" s="134" t="str">
        <x:v>synthetic_scientific</x:v>
      </x:c>
      <x:c r="R256" s="135" t="str">
        <x:v>BLENKIR_V6_SYNTH_20260924</x:v>
      </x:c>
    </x:row>
    <x:row r="257" ht="32" customHeight="1">
      <x:c r="A257" s="133" t="str">
        <x:v>EST-0142</x:v>
      </x:c>
      <x:c r="B257" s="134" t="str">
        <x:v>EST-0142-T1</x:v>
      </x:c>
      <x:c r="C257" s="134" t="str">
        <x:v>2026-07-31</x:v>
      </x:c>
      <x:c r="D257" s="134" t="str">
        <x:v>2026-12-15</x:v>
      </x:c>
      <x:c r="E257" s="134" t="n">
        <x:v>4</x:v>
      </x:c>
      <x:c r="F257" s="134" t="str">
        <x:v>4A</x:v>
      </x:c>
      <x:c r="G257" s="140" t="n">
        <x:v>15.7</x:v>
      </x:c>
      <x:c r="H257" s="140" t="n">
        <x:v>0</x:v>
      </x:c>
      <x:c r="I257" s="140" t="n">
        <x:v>91.88</x:v>
      </x:c>
      <x:c r="J257" s="140" t="n">
        <x:v>8.14</x:v>
      </x:c>
      <x:c r="K257" s="140" t="n">
        <x:v>17.58</x:v>
      </x:c>
      <x:c r="L257" s="140" t="n">
        <x:v>14</x:v>
      </x:c>
      <x:c r="M257" s="140" t="n">
        <x:v>12</x:v>
      </x:c>
      <x:c r="N257" s="134" t="n">
        <x:v>1</x:v>
      </x:c>
      <x:c r="O257" s="134" t="str">
        <x:v>deserta</x:v>
      </x:c>
      <x:c r="P257" s="134" t="str">
        <x:v>validation</x:v>
      </x:c>
      <x:c r="Q257" s="134" t="str">
        <x:v>synthetic_scientific</x:v>
      </x:c>
      <x:c r="R257" s="135" t="str">
        <x:v>BLENKIR_V6_SYNTH_20260924</x:v>
      </x:c>
    </x:row>
    <x:row r="258" ht="32" customHeight="1">
      <x:c r="A258" s="133" t="str">
        <x:v>EST-0142</x:v>
      </x:c>
      <x:c r="B258" s="134" t="str">
        <x:v>EST-0142-T2</x:v>
      </x:c>
      <x:c r="C258" s="134" t="str">
        <x:v>2026-09-21</x:v>
      </x:c>
      <x:c r="D258" s="134" t="str">
        <x:v>2026-12-15</x:v>
      </x:c>
      <x:c r="E258" s="134" t="n">
        <x:v>4</x:v>
      </x:c>
      <x:c r="F258" s="134" t="str">
        <x:v>4A</x:v>
      </x:c>
      <x:c r="G258" s="140" t="n">
        <x:v>14.48</x:v>
      </x:c>
      <x:c r="H258" s="140" t="n">
        <x:v>0</x:v>
      </x:c>
      <x:c r="I258" s="140" t="n">
        <x:v>92.79</x:v>
      </x:c>
      <x:c r="J258" s="140" t="n">
        <x:v>8.37</x:v>
      </x:c>
      <x:c r="K258" s="140" t="n">
        <x:v>16.26</x:v>
      </x:c>
      <x:c r="L258" s="140" t="n">
        <x:v>15</x:v>
      </x:c>
      <x:c r="M258" s="140" t="n">
        <x:v>13</x:v>
      </x:c>
      <x:c r="N258" s="134" t="n">
        <x:v>1</x:v>
      </x:c>
      <x:c r="O258" s="134" t="str">
        <x:v>deserta</x:v>
      </x:c>
      <x:c r="P258" s="134" t="str">
        <x:v>validation</x:v>
      </x:c>
      <x:c r="Q258" s="134" t="str">
        <x:v>synthetic_scientific</x:v>
      </x:c>
      <x:c r="R258" s="135" t="str">
        <x:v>BLENKIR_V6_SYNTH_20260924</x:v>
      </x:c>
    </x:row>
    <x:row r="259" ht="32" customHeight="1">
      <x:c r="A259" s="133" t="str">
        <x:v>EST-0143</x:v>
      </x:c>
      <x:c r="B259" s="134" t="str">
        <x:v>EST-0143-T1</x:v>
      </x:c>
      <x:c r="C259" s="134" t="str">
        <x:v>2026-07-31</x:v>
      </x:c>
      <x:c r="D259" s="134" t="str">
        <x:v>2026-12-15</x:v>
      </x:c>
      <x:c r="E259" s="134" t="n">
        <x:v>4</x:v>
      </x:c>
      <x:c r="F259" s="134" t="str">
        <x:v>4A</x:v>
      </x:c>
      <x:c r="G259" s="140" t="n">
        <x:v>15.24</x:v>
      </x:c>
      <x:c r="H259" s="140" t="n">
        <x:v>0</x:v>
      </x:c>
      <x:c r="I259" s="140" t="n">
        <x:v>98.16</x:v>
      </x:c>
      <x:c r="J259" s="140" t="n">
        <x:v>9.76</x:v>
      </x:c>
      <x:c r="K259" s="140" t="n">
        <x:v>22.46</x:v>
      </x:c>
      <x:c r="L259" s="140" t="n">
        <x:v>19</x:v>
      </x:c>
      <x:c r="M259" s="140" t="n">
        <x:v>15</x:v>
      </x:c>
      <x:c r="N259" s="134" t="n">
        <x:v>0</x:v>
      </x:c>
      <x:c r="O259" s="134" t="str">
        <x:v>permanece</x:v>
      </x:c>
      <x:c r="P259" s="134" t="str">
        <x:v>train</x:v>
      </x:c>
      <x:c r="Q259" s="134" t="str">
        <x:v>synthetic_scientific</x:v>
      </x:c>
      <x:c r="R259" s="135" t="str">
        <x:v>BLENKIR_V6_SYNTH_20260924</x:v>
      </x:c>
    </x:row>
    <x:row r="260" ht="32" customHeight="1">
      <x:c r="A260" s="133" t="str">
        <x:v>EST-0143</x:v>
      </x:c>
      <x:c r="B260" s="134" t="str">
        <x:v>EST-0143-T2</x:v>
      </x:c>
      <x:c r="C260" s="134" t="str">
        <x:v>2026-09-21</x:v>
      </x:c>
      <x:c r="D260" s="134" t="str">
        <x:v>2026-12-15</x:v>
      </x:c>
      <x:c r="E260" s="134" t="n">
        <x:v>4</x:v>
      </x:c>
      <x:c r="F260" s="134" t="str">
        <x:v>4A</x:v>
      </x:c>
      <x:c r="G260" s="140" t="n">
        <x:v>14.63</x:v>
      </x:c>
      <x:c r="H260" s="140" t="n">
        <x:v>0</x:v>
      </x:c>
      <x:c r="I260" s="140" t="n">
        <x:v>99.5</x:v>
      </x:c>
      <x:c r="J260" s="140" t="n">
        <x:v>10.19</x:v>
      </x:c>
      <x:c r="K260" s="140" t="n">
        <x:v>20.75</x:v>
      </x:c>
      <x:c r="L260" s="140" t="n">
        <x:v>16</x:v>
      </x:c>
      <x:c r="M260" s="140" t="n">
        <x:v>15</x:v>
      </x:c>
      <x:c r="N260" s="134" t="n">
        <x:v>0</x:v>
      </x:c>
      <x:c r="O260" s="134" t="str">
        <x:v>permanece</x:v>
      </x:c>
      <x:c r="P260" s="134" t="str">
        <x:v>train</x:v>
      </x:c>
      <x:c r="Q260" s="134" t="str">
        <x:v>synthetic_scientific</x:v>
      </x:c>
      <x:c r="R260" s="135" t="str">
        <x:v>BLENKIR_V6_SYNTH_20260924</x:v>
      </x:c>
    </x:row>
    <x:row r="261" ht="32" customHeight="1">
      <x:c r="A261" s="133" t="str">
        <x:v>EST-0144</x:v>
      </x:c>
      <x:c r="B261" s="134" t="str">
        <x:v>EST-0144-T1</x:v>
      </x:c>
      <x:c r="C261" s="134" t="str">
        <x:v>2026-07-31</x:v>
      </x:c>
      <x:c r="D261" s="134" t="str">
        <x:v>2026-12-15</x:v>
      </x:c>
      <x:c r="E261" s="134" t="n">
        <x:v>4</x:v>
      </x:c>
      <x:c r="F261" s="134" t="str">
        <x:v>4A</x:v>
      </x:c>
      <x:c r="G261" s="140" t="n">
        <x:v>14.29</x:v>
      </x:c>
      <x:c r="H261" s="140" t="n">
        <x:v>0</x:v>
      </x:c>
      <x:c r="I261" s="140" t="n">
        <x:v>96.85</x:v>
      </x:c>
      <x:c r="J261" s="140" t="n">
        <x:v>6.8</x:v>
      </x:c>
      <x:c r="K261" s="140" t="n">
        <x:v>12.01</x:v>
      </x:c>
      <x:c r="L261" s="140" t="n">
        <x:v>17</x:v>
      </x:c>
      <x:c r="M261" s="140" t="n">
        <x:v>9</x:v>
      </x:c>
      <x:c r="N261" s="134" t="n">
        <x:v>0</x:v>
      </x:c>
      <x:c r="O261" s="134" t="str">
        <x:v>permanece</x:v>
      </x:c>
      <x:c r="P261" s="134" t="str">
        <x:v>train</x:v>
      </x:c>
      <x:c r="Q261" s="134" t="str">
        <x:v>synthetic_scientific</x:v>
      </x:c>
      <x:c r="R261" s="135" t="str">
        <x:v>BLENKIR_V6_SYNTH_20260924</x:v>
      </x:c>
    </x:row>
    <x:row r="262" ht="32" customHeight="1">
      <x:c r="A262" s="133" t="str">
        <x:v>EST-0144</x:v>
      </x:c>
      <x:c r="B262" s="134" t="str">
        <x:v>EST-0144-T2</x:v>
      </x:c>
      <x:c r="C262" s="134" t="str">
        <x:v>2026-09-21</x:v>
      </x:c>
      <x:c r="D262" s="134" t="str">
        <x:v>2026-12-15</x:v>
      </x:c>
      <x:c r="E262" s="134" t="n">
        <x:v>4</x:v>
      </x:c>
      <x:c r="F262" s="134" t="str">
        <x:v>4A</x:v>
      </x:c>
      <x:c r="G262" s="140" t="n">
        <x:v>13.59</x:v>
      </x:c>
      <x:c r="H262" s="140" t="n">
        <x:v>0</x:v>
      </x:c>
      <x:c r="I262" s="140" t="n">
        <x:v>92.74</x:v>
      </x:c>
      <x:c r="J262" s="140" t="n">
        <x:v>6.27</x:v>
      </x:c>
      <x:c r="K262" s="140" t="n">
        <x:v>13.2</x:v>
      </x:c>
      <x:c r="L262" s="140" t="n">
        <x:v>15</x:v>
      </x:c>
      <x:c r="M262" s="140" t="n">
        <x:v>10</x:v>
      </x:c>
      <x:c r="N262" s="134" t="n">
        <x:v>0</x:v>
      </x:c>
      <x:c r="O262" s="134" t="str">
        <x:v>permanece</x:v>
      </x:c>
      <x:c r="P262" s="134" t="str">
        <x:v>train</x:v>
      </x:c>
      <x:c r="Q262" s="134" t="str">
        <x:v>synthetic_scientific</x:v>
      </x:c>
      <x:c r="R262" s="135" t="str">
        <x:v>BLENKIR_V6_SYNTH_20260924</x:v>
      </x:c>
    </x:row>
    <x:row r="263" ht="32" customHeight="1">
      <x:c r="A263" s="133" t="str">
        <x:v>EST-0145</x:v>
      </x:c>
      <x:c r="B263" s="134" t="str">
        <x:v>EST-0145-T1</x:v>
      </x:c>
      <x:c r="C263" s="134" t="str">
        <x:v>2026-07-31</x:v>
      </x:c>
      <x:c r="D263" s="134" t="str">
        <x:v>2026-12-15</x:v>
      </x:c>
      <x:c r="E263" s="134" t="n">
        <x:v>4</x:v>
      </x:c>
      <x:c r="F263" s="134" t="str">
        <x:v>4A</x:v>
      </x:c>
      <x:c r="G263" s="140" t="n">
        <x:v>13.68</x:v>
      </x:c>
      <x:c r="H263" s="140" t="n">
        <x:v>0</x:v>
      </x:c>
      <x:c r="I263" s="140" t="n">
        <x:v>91.69</x:v>
      </x:c>
      <x:c r="J263" s="140" t="n">
        <x:v>8.37</x:v>
      </x:c>
      <x:c r="K263" s="140" t="n">
        <x:v>19.9</x:v>
      </x:c>
      <x:c r="L263" s="140" t="n">
        <x:v>17</x:v>
      </x:c>
      <x:c r="M263" s="140" t="n">
        <x:v>11</x:v>
      </x:c>
      <x:c r="N263" s="134" t="n">
        <x:v>0</x:v>
      </x:c>
      <x:c r="O263" s="134" t="str">
        <x:v>permanece</x:v>
      </x:c>
      <x:c r="P263" s="134" t="str">
        <x:v>validation</x:v>
      </x:c>
      <x:c r="Q263" s="134" t="str">
        <x:v>synthetic_scientific</x:v>
      </x:c>
      <x:c r="R263" s="135" t="str">
        <x:v>BLENKIR_V6_SYNTH_20260924</x:v>
      </x:c>
    </x:row>
    <x:row r="264" ht="32" customHeight="1">
      <x:c r="A264" s="133" t="str">
        <x:v>EST-0145</x:v>
      </x:c>
      <x:c r="B264" s="134" t="str">
        <x:v>EST-0145-T2</x:v>
      </x:c>
      <x:c r="C264" s="134" t="str">
        <x:v>2026-09-21</x:v>
      </x:c>
      <x:c r="D264" s="134" t="str">
        <x:v>2026-12-15</x:v>
      </x:c>
      <x:c r="E264" s="134" t="n">
        <x:v>4</x:v>
      </x:c>
      <x:c r="F264" s="134" t="str">
        <x:v>4A</x:v>
      </x:c>
      <x:c r="G264" s="140" t="n">
        <x:v>14.08</x:v>
      </x:c>
      <x:c r="H264" s="140" t="n">
        <x:v>0</x:v>
      </x:c>
      <x:c r="I264" s="140" t="n">
        <x:v>90.77</x:v>
      </x:c>
      <x:c r="J264" s="140" t="n">
        <x:v>8.75</x:v>
      </x:c>
      <x:c r="K264" s="140" t="n">
        <x:v>19.79</x:v>
      </x:c>
      <x:c r="L264" s="140" t="n">
        <x:v>15</x:v>
      </x:c>
      <x:c r="M264" s="140" t="n">
        <x:v>13</x:v>
      </x:c>
      <x:c r="N264" s="134" t="n">
        <x:v>0</x:v>
      </x:c>
      <x:c r="O264" s="134" t="str">
        <x:v>permanece</x:v>
      </x:c>
      <x:c r="P264" s="134" t="str">
        <x:v>validation</x:v>
      </x:c>
      <x:c r="Q264" s="134" t="str">
        <x:v>synthetic_scientific</x:v>
      </x:c>
      <x:c r="R264" s="135" t="str">
        <x:v>BLENKIR_V6_SYNTH_20260924</x:v>
      </x:c>
    </x:row>
    <x:row r="265" ht="32" customHeight="1">
      <x:c r="A265" s="133" t="str">
        <x:v>EST-0146</x:v>
      </x:c>
      <x:c r="B265" s="134" t="str">
        <x:v>EST-0146-T1</x:v>
      </x:c>
      <x:c r="C265" s="134" t="str">
        <x:v>2026-07-31</x:v>
      </x:c>
      <x:c r="D265" s="134" t="str">
        <x:v>2026-12-15</x:v>
      </x:c>
      <x:c r="E265" s="134" t="n">
        <x:v>4</x:v>
      </x:c>
      <x:c r="F265" s="134" t="str">
        <x:v>4A</x:v>
      </x:c>
      <x:c r="G265" s="140" t="n">
        <x:v>17.41</x:v>
      </x:c>
      <x:c r="H265" s="140" t="n">
        <x:v>0</x:v>
      </x:c>
      <x:c r="I265" s="140" t="n">
        <x:v>95.17</x:v>
      </x:c>
      <x:c r="J265" s="140" t="n">
        <x:v>8.55</x:v>
      </x:c>
      <x:c r="K265" s="140" t="n">
        <x:v>12.48</x:v>
      </x:c>
      <x:c r="L265" s="140" t="n">
        <x:v>12</x:v>
      </x:c>
      <x:c r="M265" s="140" t="n">
        <x:v>9</x:v>
      </x:c>
      <x:c r="N265" s="134" t="n">
        <x:v>0</x:v>
      </x:c>
      <x:c r="O265" s="134" t="str">
        <x:v>permanece</x:v>
      </x:c>
      <x:c r="P265" s="134" t="str">
        <x:v>holdout</x:v>
      </x:c>
      <x:c r="Q265" s="134" t="str">
        <x:v>synthetic_scientific</x:v>
      </x:c>
      <x:c r="R265" s="135" t="str">
        <x:v>BLENKIR_V6_SYNTH_20260924</x:v>
      </x:c>
    </x:row>
    <x:row r="266" ht="32" customHeight="1">
      <x:c r="A266" s="133" t="str">
        <x:v>EST-0146</x:v>
      </x:c>
      <x:c r="B266" s="134" t="str">
        <x:v>EST-0146-T2</x:v>
      </x:c>
      <x:c r="C266" s="134" t="str">
        <x:v>2026-09-21</x:v>
      </x:c>
      <x:c r="D266" s="134" t="str">
        <x:v>2026-12-15</x:v>
      </x:c>
      <x:c r="E266" s="134" t="n">
        <x:v>4</x:v>
      </x:c>
      <x:c r="F266" s="134" t="str">
        <x:v>4A</x:v>
      </x:c>
      <x:c r="G266" s="140" t="n">
        <x:v>17.48</x:v>
      </x:c>
      <x:c r="H266" s="140" t="n">
        <x:v>0</x:v>
      </x:c>
      <x:c r="I266" s="140" t="n">
        <x:v>96.41</x:v>
      </x:c>
      <x:c r="J266" s="140" t="n">
        <x:v>7.7</x:v>
      </x:c>
      <x:c r="K266" s="140" t="n">
        <x:v>12.6</x:v>
      </x:c>
      <x:c r="L266" s="140" t="n">
        <x:v>13</x:v>
      </x:c>
      <x:c r="M266" s="140" t="n">
        <x:v>10</x:v>
      </x:c>
      <x:c r="N266" s="134" t="n">
        <x:v>0</x:v>
      </x:c>
      <x:c r="O266" s="134" t="str">
        <x:v>permanece</x:v>
      </x:c>
      <x:c r="P266" s="134" t="str">
        <x:v>holdout</x:v>
      </x:c>
      <x:c r="Q266" s="134" t="str">
        <x:v>synthetic_scientific</x:v>
      </x:c>
      <x:c r="R266" s="135" t="str">
        <x:v>BLENKIR_V6_SYNTH_20260924</x:v>
      </x:c>
    </x:row>
    <x:row r="267" ht="32" customHeight="1">
      <x:c r="A267" s="133" t="str">
        <x:v>EST-0147</x:v>
      </x:c>
      <x:c r="B267" s="134" t="str">
        <x:v>EST-0147-T1</x:v>
      </x:c>
      <x:c r="C267" s="134" t="str">
        <x:v>2026-07-31</x:v>
      </x:c>
      <x:c r="D267" s="134" t="str">
        <x:v>2026-12-15</x:v>
      </x:c>
      <x:c r="E267" s="134" t="n">
        <x:v>4</x:v>
      </x:c>
      <x:c r="F267" s="134" t="str">
        <x:v>4A</x:v>
      </x:c>
      <x:c r="G267" s="140" t="n">
        <x:v>16.82</x:v>
      </x:c>
      <x:c r="H267" s="140" t="n">
        <x:v>0</x:v>
      </x:c>
      <x:c r="I267" s="140" t="n">
        <x:v>91.08</x:v>
      </x:c>
      <x:c r="J267" s="140" t="n">
        <x:v>6.7</x:v>
      </x:c>
      <x:c r="K267" s="140" t="n">
        <x:v>12.69</x:v>
      </x:c>
      <x:c r="L267" s="140" t="n">
        <x:v>13</x:v>
      </x:c>
      <x:c r="M267" s="140" t="n">
        <x:v>11</x:v>
      </x:c>
      <x:c r="N267" s="134" t="n">
        <x:v>1</x:v>
      </x:c>
      <x:c r="O267" s="134" t="str">
        <x:v>deserta</x:v>
      </x:c>
      <x:c r="P267" s="134" t="str">
        <x:v>validation</x:v>
      </x:c>
      <x:c r="Q267" s="134" t="str">
        <x:v>synthetic_scientific</x:v>
      </x:c>
      <x:c r="R267" s="135" t="str">
        <x:v>BLENKIR_V6_SYNTH_20260924</x:v>
      </x:c>
    </x:row>
    <x:row r="268" ht="32" customHeight="1">
      <x:c r="A268" s="133" t="str">
        <x:v>EST-0147</x:v>
      </x:c>
      <x:c r="B268" s="134" t="str">
        <x:v>EST-0147-T2</x:v>
      </x:c>
      <x:c r="C268" s="134" t="str">
        <x:v>2026-09-21</x:v>
      </x:c>
      <x:c r="D268" s="134" t="str">
        <x:v>2026-12-15</x:v>
      </x:c>
      <x:c r="E268" s="134" t="n">
        <x:v>4</x:v>
      </x:c>
      <x:c r="F268" s="134" t="str">
        <x:v>4A</x:v>
      </x:c>
      <x:c r="G268" s="140" t="n">
        <x:v>16.59</x:v>
      </x:c>
      <x:c r="H268" s="140" t="n">
        <x:v>0</x:v>
      </x:c>
      <x:c r="I268" s="140" t="n">
        <x:v>86.01</x:v>
      </x:c>
      <x:c r="J268" s="140" t="n">
        <x:v>7.04</x:v>
      </x:c>
      <x:c r="K268" s="140" t="n">
        <x:v>13.3</x:v>
      </x:c>
      <x:c r="L268" s="140" t="n">
        <x:v>14</x:v>
      </x:c>
      <x:c r="M268" s="140" t="n">
        <x:v>9</x:v>
      </x:c>
      <x:c r="N268" s="134" t="n">
        <x:v>1</x:v>
      </x:c>
      <x:c r="O268" s="134" t="str">
        <x:v>deserta</x:v>
      </x:c>
      <x:c r="P268" s="134" t="str">
        <x:v>validation</x:v>
      </x:c>
      <x:c r="Q268" s="134" t="str">
        <x:v>synthetic_scientific</x:v>
      </x:c>
      <x:c r="R268" s="135" t="str">
        <x:v>BLENKIR_V6_SYNTH_20260924</x:v>
      </x:c>
    </x:row>
    <x:row r="269" ht="32" customHeight="1">
      <x:c r="A269" s="133" t="str">
        <x:v>EST-0149</x:v>
      </x:c>
      <x:c r="B269" s="134" t="str">
        <x:v>EST-0149-T1</x:v>
      </x:c>
      <x:c r="C269" s="134" t="str">
        <x:v>2026-07-31</x:v>
      </x:c>
      <x:c r="D269" s="134" t="str">
        <x:v>2026-12-15</x:v>
      </x:c>
      <x:c r="E269" s="134" t="n">
        <x:v>4</x:v>
      </x:c>
      <x:c r="F269" s="134" t="str">
        <x:v>4A</x:v>
      </x:c>
      <x:c r="G269" s="140" t="n">
        <x:v>15.03</x:v>
      </x:c>
      <x:c r="H269" s="140" t="n">
        <x:v>0</x:v>
      </x:c>
      <x:c r="I269" s="140" t="n">
        <x:v>96.89</x:v>
      </x:c>
      <x:c r="J269" s="140" t="n">
        <x:v>9.89</x:v>
      </x:c>
      <x:c r="K269" s="140" t="n">
        <x:v>18.21</x:v>
      </x:c>
      <x:c r="L269" s="140" t="n">
        <x:v>20</x:v>
      </x:c>
      <x:c r="M269" s="140" t="n">
        <x:v>12</x:v>
      </x:c>
      <x:c r="N269" s="134" t="n">
        <x:v>0</x:v>
      </x:c>
      <x:c r="O269" s="134" t="str">
        <x:v>permanece</x:v>
      </x:c>
      <x:c r="P269" s="134" t="str">
        <x:v>train</x:v>
      </x:c>
      <x:c r="Q269" s="134" t="str">
        <x:v>synthetic_scientific</x:v>
      </x:c>
      <x:c r="R269" s="135" t="str">
        <x:v>BLENKIR_V6_SYNTH_20260924</x:v>
      </x:c>
    </x:row>
    <x:row r="270" ht="32" customHeight="1">
      <x:c r="A270" s="133" t="str">
        <x:v>EST-0149</x:v>
      </x:c>
      <x:c r="B270" s="134" t="str">
        <x:v>EST-0149-T2</x:v>
      </x:c>
      <x:c r="C270" s="134" t="str">
        <x:v>2026-09-21</x:v>
      </x:c>
      <x:c r="D270" s="134" t="str">
        <x:v>2026-12-15</x:v>
      </x:c>
      <x:c r="E270" s="134" t="n">
        <x:v>4</x:v>
      </x:c>
      <x:c r="F270" s="134" t="str">
        <x:v>4A</x:v>
      </x:c>
      <x:c r="G270" s="140" t="n">
        <x:v>14.62</x:v>
      </x:c>
      <x:c r="H270" s="140" t="n">
        <x:v>0</x:v>
      </x:c>
      <x:c r="I270" s="140" t="n">
        <x:v>93.57</x:v>
      </x:c>
      <x:c r="J270" s="140" t="n">
        <x:v>10.11</x:v>
      </x:c>
      <x:c r="K270" s="140" t="n">
        <x:v>20.83</x:v>
      </x:c>
      <x:c r="L270" s="140" t="n">
        <x:v>19</x:v>
      </x:c>
      <x:c r="M270" s="140" t="n">
        <x:v>13</x:v>
      </x:c>
      <x:c r="N270" s="134" t="n">
        <x:v>0</x:v>
      </x:c>
      <x:c r="O270" s="134" t="str">
        <x:v>permanece</x:v>
      </x:c>
      <x:c r="P270" s="134" t="str">
        <x:v>train</x:v>
      </x:c>
      <x:c r="Q270" s="134" t="str">
        <x:v>synthetic_scientific</x:v>
      </x:c>
      <x:c r="R270" s="135" t="str">
        <x:v>BLENKIR_V6_SYNTH_20260924</x:v>
      </x:c>
    </x:row>
    <x:row r="271" ht="32" customHeight="1">
      <x:c r="A271" s="133" t="str">
        <x:v>EST-0150</x:v>
      </x:c>
      <x:c r="B271" s="134" t="str">
        <x:v>EST-0150-T1</x:v>
      </x:c>
      <x:c r="C271" s="134" t="str">
        <x:v>2026-07-31</x:v>
      </x:c>
      <x:c r="D271" s="134" t="str">
        <x:v>2026-12-15</x:v>
      </x:c>
      <x:c r="E271" s="134" t="n">
        <x:v>4</x:v>
      </x:c>
      <x:c r="F271" s="134" t="str">
        <x:v>4A</x:v>
      </x:c>
      <x:c r="G271" s="140" t="n">
        <x:v>15.77</x:v>
      </x:c>
      <x:c r="H271" s="140" t="n">
        <x:v>0</x:v>
      </x:c>
      <x:c r="I271" s="140" t="n">
        <x:v>90.28</x:v>
      </x:c>
      <x:c r="J271" s="140" t="n">
        <x:v>6.64</x:v>
      </x:c>
      <x:c r="K271" s="140" t="n">
        <x:v>12.96</x:v>
      </x:c>
      <x:c r="L271" s="140" t="n">
        <x:v>14</x:v>
      </x:c>
      <x:c r="M271" s="140" t="n">
        <x:v>9</x:v>
      </x:c>
      <x:c r="N271" s="134" t="n">
        <x:v>0</x:v>
      </x:c>
      <x:c r="O271" s="134" t="str">
        <x:v>permanece</x:v>
      </x:c>
      <x:c r="P271" s="134" t="str">
        <x:v>validation</x:v>
      </x:c>
      <x:c r="Q271" s="134" t="str">
        <x:v>synthetic_scientific</x:v>
      </x:c>
      <x:c r="R271" s="135" t="str">
        <x:v>BLENKIR_V6_SYNTH_20260924</x:v>
      </x:c>
    </x:row>
    <x:row r="272" ht="32" customHeight="1">
      <x:c r="A272" s="133" t="str">
        <x:v>EST-0150</x:v>
      </x:c>
      <x:c r="B272" s="134" t="str">
        <x:v>EST-0150-T2</x:v>
      </x:c>
      <x:c r="C272" s="134" t="str">
        <x:v>2026-09-21</x:v>
      </x:c>
      <x:c r="D272" s="134" t="str">
        <x:v>2026-12-15</x:v>
      </x:c>
      <x:c r="E272" s="134" t="n">
        <x:v>4</x:v>
      </x:c>
      <x:c r="F272" s="134" t="str">
        <x:v>4A</x:v>
      </x:c>
      <x:c r="G272" s="140" t="n">
        <x:v>14.81</x:v>
      </x:c>
      <x:c r="H272" s="140" t="n">
        <x:v>0</x:v>
      </x:c>
      <x:c r="I272" s="140" t="n">
        <x:v>91.25</x:v>
      </x:c>
      <x:c r="J272" s="140" t="n">
        <x:v>6.75</x:v>
      </x:c>
      <x:c r="K272" s="140" t="n">
        <x:v>12.43</x:v>
      </x:c>
      <x:c r="L272" s="140" t="n">
        <x:v>13</x:v>
      </x:c>
      <x:c r="M272" s="140" t="n">
        <x:v>9</x:v>
      </x:c>
      <x:c r="N272" s="134" t="n">
        <x:v>0</x:v>
      </x:c>
      <x:c r="O272" s="134" t="str">
        <x:v>permanece</x:v>
      </x:c>
      <x:c r="P272" s="134" t="str">
        <x:v>validation</x:v>
      </x:c>
      <x:c r="Q272" s="134" t="str">
        <x:v>synthetic_scientific</x:v>
      </x:c>
      <x:c r="R272" s="135" t="str">
        <x:v>BLENKIR_V6_SYNTH_20260924</x:v>
      </x:c>
    </x:row>
    <x:row r="273" ht="32" customHeight="1">
      <x:c r="A273" s="133" t="str">
        <x:v>EST-0151</x:v>
      </x:c>
      <x:c r="B273" s="134" t="str">
        <x:v>EST-0151-T1</x:v>
      </x:c>
      <x:c r="C273" s="134" t="str">
        <x:v>2026-07-31</x:v>
      </x:c>
      <x:c r="D273" s="134" t="str">
        <x:v>2026-12-15</x:v>
      </x:c>
      <x:c r="E273" s="134" t="n">
        <x:v>4</x:v>
      </x:c>
      <x:c r="F273" s="134" t="str">
        <x:v>4B</x:v>
      </x:c>
      <x:c r="G273" s="140" t="n">
        <x:v>18.5</x:v>
      </x:c>
      <x:c r="H273" s="140" t="n">
        <x:v>0</x:v>
      </x:c>
      <x:c r="I273" s="140" t="n">
        <x:v>93.4</x:v>
      </x:c>
      <x:c r="J273" s="140" t="n">
        <x:v>9.11</x:v>
      </x:c>
      <x:c r="K273" s="140" t="n">
        <x:v>23.57</x:v>
      </x:c>
      <x:c r="L273" s="140" t="n">
        <x:v>18</x:v>
      </x:c>
      <x:c r="M273" s="140" t="n">
        <x:v>16</x:v>
      </x:c>
      <x:c r="N273" s="134" t="n">
        <x:v>0</x:v>
      </x:c>
      <x:c r="O273" s="134" t="str">
        <x:v>permanece</x:v>
      </x:c>
      <x:c r="P273" s="134" t="str">
        <x:v>train</x:v>
      </x:c>
      <x:c r="Q273" s="134" t="str">
        <x:v>synthetic_scientific</x:v>
      </x:c>
      <x:c r="R273" s="135" t="str">
        <x:v>BLENKIR_V6_SYNTH_20260924</x:v>
      </x:c>
    </x:row>
    <x:row r="274" ht="32" customHeight="1">
      <x:c r="A274" s="133" t="str">
        <x:v>EST-0151</x:v>
      </x:c>
      <x:c r="B274" s="134" t="str">
        <x:v>EST-0151-T2</x:v>
      </x:c>
      <x:c r="C274" s="134" t="str">
        <x:v>2026-09-21</x:v>
      </x:c>
      <x:c r="D274" s="134" t="str">
        <x:v>2026-12-15</x:v>
      </x:c>
      <x:c r="E274" s="134" t="n">
        <x:v>4</x:v>
      </x:c>
      <x:c r="F274" s="134" t="str">
        <x:v>4B</x:v>
      </x:c>
      <x:c r="G274" s="140" t="n">
        <x:v>17.86</x:v>
      </x:c>
      <x:c r="H274" s="140" t="n">
        <x:v>0</x:v>
      </x:c>
      <x:c r="I274" s="140" t="n">
        <x:v>91.71</x:v>
      </x:c>
      <x:c r="J274" s="140" t="n">
        <x:v>9.87</x:v>
      </x:c>
      <x:c r="K274" s="140" t="n">
        <x:v>21.19</x:v>
      </x:c>
      <x:c r="L274" s="140" t="n">
        <x:v>16</x:v>
      </x:c>
      <x:c r="M274" s="140" t="n">
        <x:v>15</x:v>
      </x:c>
      <x:c r="N274" s="134" t="n">
        <x:v>0</x:v>
      </x:c>
      <x:c r="O274" s="134" t="str">
        <x:v>permanece</x:v>
      </x:c>
      <x:c r="P274" s="134" t="str">
        <x:v>train</x:v>
      </x:c>
      <x:c r="Q274" s="134" t="str">
        <x:v>synthetic_scientific</x:v>
      </x:c>
      <x:c r="R274" s="135" t="str">
        <x:v>BLENKIR_V6_SYNTH_20260924</x:v>
      </x:c>
    </x:row>
    <x:row r="275" ht="32" customHeight="1">
      <x:c r="A275" s="133" t="str">
        <x:v>EST-0152</x:v>
      </x:c>
      <x:c r="B275" s="134" t="str">
        <x:v>EST-0152-T1</x:v>
      </x:c>
      <x:c r="C275" s="134" t="str">
        <x:v>2026-07-31</x:v>
      </x:c>
      <x:c r="D275" s="134" t="str">
        <x:v>2026-12-15</x:v>
      </x:c>
      <x:c r="E275" s="134" t="n">
        <x:v>4</x:v>
      </x:c>
      <x:c r="F275" s="134" t="str">
        <x:v>4B</x:v>
      </x:c>
      <x:c r="G275" s="140" t="n">
        <x:v>16.3</x:v>
      </x:c>
      <x:c r="H275" s="140" t="n">
        <x:v>0</x:v>
      </x:c>
      <x:c r="I275" s="140" t="n">
        <x:v>95.04</x:v>
      </x:c>
      <x:c r="J275" s="140" t="n">
        <x:v>10.26</x:v>
      </x:c>
      <x:c r="K275" s="140" t="n">
        <x:v>17.61</x:v>
      </x:c>
      <x:c r="L275" s="140" t="n">
        <x:v>18</x:v>
      </x:c>
      <x:c r="M275" s="140" t="n">
        <x:v>14</x:v>
      </x:c>
      <x:c r="N275" s="134" t="n">
        <x:v>0</x:v>
      </x:c>
      <x:c r="O275" s="134" t="str">
        <x:v>permanece</x:v>
      </x:c>
      <x:c r="P275" s="134" t="str">
        <x:v>train</x:v>
      </x:c>
      <x:c r="Q275" s="134" t="str">
        <x:v>synthetic_scientific</x:v>
      </x:c>
      <x:c r="R275" s="135" t="str">
        <x:v>BLENKIR_V6_SYNTH_20260924</x:v>
      </x:c>
    </x:row>
    <x:row r="276" ht="32" customHeight="1">
      <x:c r="A276" s="133" t="str">
        <x:v>EST-0152</x:v>
      </x:c>
      <x:c r="B276" s="134" t="str">
        <x:v>EST-0152-T2</x:v>
      </x:c>
      <x:c r="C276" s="134" t="str">
        <x:v>2026-09-21</x:v>
      </x:c>
      <x:c r="D276" s="134" t="str">
        <x:v>2026-12-15</x:v>
      </x:c>
      <x:c r="E276" s="134" t="n">
        <x:v>4</x:v>
      </x:c>
      <x:c r="F276" s="134" t="str">
        <x:v>4B</x:v>
      </x:c>
      <x:c r="G276" s="140" t="n">
        <x:v>16.39</x:v>
      </x:c>
      <x:c r="H276" s="140" t="n">
        <x:v>0</x:v>
      </x:c>
      <x:c r="I276" s="140" t="n">
        <x:v>94.73</x:v>
      </x:c>
      <x:c r="J276" s="140" t="n">
        <x:v>9.68</x:v>
      </x:c>
      <x:c r="K276" s="140" t="n">
        <x:v>17.51</x:v>
      </x:c>
      <x:c r="L276" s="140" t="n">
        <x:v>16</x:v>
      </x:c>
      <x:c r="M276" s="140" t="n">
        <x:v>14</x:v>
      </x:c>
      <x:c r="N276" s="134" t="n">
        <x:v>0</x:v>
      </x:c>
      <x:c r="O276" s="134" t="str">
        <x:v>permanece</x:v>
      </x:c>
      <x:c r="P276" s="134" t="str">
        <x:v>train</x:v>
      </x:c>
      <x:c r="Q276" s="134" t="str">
        <x:v>synthetic_scientific</x:v>
      </x:c>
      <x:c r="R276" s="135" t="str">
        <x:v>BLENKIR_V6_SYNTH_20260924</x:v>
      </x:c>
    </x:row>
    <x:row r="277" ht="32" customHeight="1">
      <x:c r="A277" s="133" t="str">
        <x:v>EST-0153</x:v>
      </x:c>
      <x:c r="B277" s="134" t="str">
        <x:v>EST-0153-T1</x:v>
      </x:c>
      <x:c r="C277" s="134" t="str">
        <x:v>2026-07-31</x:v>
      </x:c>
      <x:c r="D277" s="134" t="str">
        <x:v>2026-12-15</x:v>
      </x:c>
      <x:c r="E277" s="134" t="n">
        <x:v>4</x:v>
      </x:c>
      <x:c r="F277" s="134" t="str">
        <x:v>4B</x:v>
      </x:c>
      <x:c r="G277" s="140" t="n">
        <x:v>16.75</x:v>
      </x:c>
      <x:c r="H277" s="140" t="n">
        <x:v>0</x:v>
      </x:c>
      <x:c r="I277" s="140" t="n">
        <x:v>98.91</x:v>
      </x:c>
      <x:c r="J277" s="140" t="n">
        <x:v>7.95</x:v>
      </x:c>
      <x:c r="K277" s="140" t="n">
        <x:v>14.68</x:v>
      </x:c>
      <x:c r="L277" s="140" t="n">
        <x:v>14</x:v>
      </x:c>
      <x:c r="M277" s="140" t="n">
        <x:v>14</x:v>
      </x:c>
      <x:c r="N277" s="134" t="n">
        <x:v>0</x:v>
      </x:c>
      <x:c r="O277" s="134" t="str">
        <x:v>permanece</x:v>
      </x:c>
      <x:c r="P277" s="134" t="str">
        <x:v>validation</x:v>
      </x:c>
      <x:c r="Q277" s="134" t="str">
        <x:v>synthetic_scientific</x:v>
      </x:c>
      <x:c r="R277" s="135" t="str">
        <x:v>BLENKIR_V6_SYNTH_20260924</x:v>
      </x:c>
    </x:row>
    <x:row r="278" ht="32" customHeight="1">
      <x:c r="A278" s="133" t="str">
        <x:v>EST-0153</x:v>
      </x:c>
      <x:c r="B278" s="134" t="str">
        <x:v>EST-0153-T2</x:v>
      </x:c>
      <x:c r="C278" s="134" t="str">
        <x:v>2026-09-21</x:v>
      </x:c>
      <x:c r="D278" s="134" t="str">
        <x:v>2026-12-15</x:v>
      </x:c>
      <x:c r="E278" s="134" t="n">
        <x:v>4</x:v>
      </x:c>
      <x:c r="F278" s="134" t="str">
        <x:v>4B</x:v>
      </x:c>
      <x:c r="G278" s="140" t="n">
        <x:v>16.68</x:v>
      </x:c>
      <x:c r="H278" s="140" t="n">
        <x:v>0</x:v>
      </x:c>
      <x:c r="I278" s="140" t="n">
        <x:v>99.5</x:v>
      </x:c>
      <x:c r="J278" s="140" t="n">
        <x:v>8.01</x:v>
      </x:c>
      <x:c r="K278" s="140" t="n">
        <x:v>14.23</x:v>
      </x:c>
      <x:c r="L278" s="140" t="n">
        <x:v>13</x:v>
      </x:c>
      <x:c r="M278" s="140" t="n">
        <x:v>13</x:v>
      </x:c>
      <x:c r="N278" s="134" t="n">
        <x:v>0</x:v>
      </x:c>
      <x:c r="O278" s="134" t="str">
        <x:v>permanece</x:v>
      </x:c>
      <x:c r="P278" s="134" t="str">
        <x:v>validation</x:v>
      </x:c>
      <x:c r="Q278" s="134" t="str">
        <x:v>synthetic_scientific</x:v>
      </x:c>
      <x:c r="R278" s="135" t="str">
        <x:v>BLENKIR_V6_SYNTH_20260924</x:v>
      </x:c>
    </x:row>
    <x:row r="279" ht="32" customHeight="1">
      <x:c r="A279" s="133" t="str">
        <x:v>EST-0154</x:v>
      </x:c>
      <x:c r="B279" s="134" t="str">
        <x:v>EST-0154-T1</x:v>
      </x:c>
      <x:c r="C279" s="134" t="str">
        <x:v>2026-07-31</x:v>
      </x:c>
      <x:c r="D279" s="134" t="str">
        <x:v>2026-12-15</x:v>
      </x:c>
      <x:c r="E279" s="134" t="n">
        <x:v>4</x:v>
      </x:c>
      <x:c r="F279" s="134" t="str">
        <x:v>4B</x:v>
      </x:c>
      <x:c r="G279" s="140" t="n">
        <x:v>15.73</x:v>
      </x:c>
      <x:c r="H279" s="140" t="n">
        <x:v>0</x:v>
      </x:c>
      <x:c r="I279" s="140" t="n">
        <x:v>98.95</x:v>
      </x:c>
      <x:c r="J279" s="140" t="n">
        <x:v>9.11</x:v>
      </x:c>
      <x:c r="K279" s="140" t="n">
        <x:v>19.57</x:v>
      </x:c>
      <x:c r="L279" s="140" t="n">
        <x:v>16</x:v>
      </x:c>
      <x:c r="M279" s="140" t="n">
        <x:v>13</x:v>
      </x:c>
      <x:c r="N279" s="134" t="n">
        <x:v>0</x:v>
      </x:c>
      <x:c r="O279" s="134" t="str">
        <x:v>permanece</x:v>
      </x:c>
      <x:c r="P279" s="134" t="str">
        <x:v>holdout</x:v>
      </x:c>
      <x:c r="Q279" s="134" t="str">
        <x:v>synthetic_scientific</x:v>
      </x:c>
      <x:c r="R279" s="135" t="str">
        <x:v>BLENKIR_V6_SYNTH_20260924</x:v>
      </x:c>
    </x:row>
    <x:row r="280" ht="32" customHeight="1">
      <x:c r="A280" s="133" t="str">
        <x:v>EST-0154</x:v>
      </x:c>
      <x:c r="B280" s="134" t="str">
        <x:v>EST-0154-T2</x:v>
      </x:c>
      <x:c r="C280" s="134" t="str">
        <x:v>2026-09-21</x:v>
      </x:c>
      <x:c r="D280" s="134" t="str">
        <x:v>2026-12-15</x:v>
      </x:c>
      <x:c r="E280" s="134" t="n">
        <x:v>4</x:v>
      </x:c>
      <x:c r="F280" s="134" t="str">
        <x:v>4B</x:v>
      </x:c>
      <x:c r="G280" s="140" t="n">
        <x:v>16.11</x:v>
      </x:c>
      <x:c r="H280" s="140" t="n">
        <x:v>0</x:v>
      </x:c>
      <x:c r="I280" s="140" t="n">
        <x:v>97.51</x:v>
      </x:c>
      <x:c r="J280" s="140" t="n">
        <x:v>8.89</x:v>
      </x:c>
      <x:c r="K280" s="140" t="n">
        <x:v>19.21</x:v>
      </x:c>
      <x:c r="L280" s="140" t="n">
        <x:v>16</x:v>
      </x:c>
      <x:c r="M280" s="140" t="n">
        <x:v>12</x:v>
      </x:c>
      <x:c r="N280" s="134" t="n">
        <x:v>0</x:v>
      </x:c>
      <x:c r="O280" s="134" t="str">
        <x:v>permanece</x:v>
      </x:c>
      <x:c r="P280" s="134" t="str">
        <x:v>holdout</x:v>
      </x:c>
      <x:c r="Q280" s="134" t="str">
        <x:v>synthetic_scientific</x:v>
      </x:c>
      <x:c r="R280" s="135" t="str">
        <x:v>BLENKIR_V6_SYNTH_20260924</x:v>
      </x:c>
    </x:row>
    <x:row r="281" ht="32" customHeight="1">
      <x:c r="A281" s="133" t="str">
        <x:v>EST-0155</x:v>
      </x:c>
      <x:c r="B281" s="134" t="str">
        <x:v>EST-0155-T1</x:v>
      </x:c>
      <x:c r="C281" s="134" t="str">
        <x:v>2026-07-31</x:v>
      </x:c>
      <x:c r="D281" s="134" t="str">
        <x:v>2026-12-15</x:v>
      </x:c>
      <x:c r="E281" s="134" t="n">
        <x:v>4</x:v>
      </x:c>
      <x:c r="F281" s="134" t="str">
        <x:v>4B</x:v>
      </x:c>
      <x:c r="G281" s="140" t="n">
        <x:v>13.33</x:v>
      </x:c>
      <x:c r="H281" s="140" t="n">
        <x:v>0</x:v>
      </x:c>
      <x:c r="I281" s="140" t="n">
        <x:v>87.31</x:v>
      </x:c>
      <x:c r="J281" s="140" t="n">
        <x:v>11.83</x:v>
      </x:c>
      <x:c r="K281" s="140" t="n">
        <x:v>15.01</x:v>
      </x:c>
      <x:c r="L281" s="140" t="n">
        <x:v>19</x:v>
      </x:c>
      <x:c r="M281" s="140" t="n">
        <x:v>15</x:v>
      </x:c>
      <x:c r="N281" s="134" t="n">
        <x:v>0</x:v>
      </x:c>
      <x:c r="O281" s="134" t="str">
        <x:v>permanece</x:v>
      </x:c>
      <x:c r="P281" s="134" t="str">
        <x:v>train</x:v>
      </x:c>
      <x:c r="Q281" s="134" t="str">
        <x:v>synthetic_scientific</x:v>
      </x:c>
      <x:c r="R281" s="135" t="str">
        <x:v>BLENKIR_V6_SYNTH_20260924</x:v>
      </x:c>
    </x:row>
    <x:row r="282" ht="32" customHeight="1">
      <x:c r="A282" s="133" t="str">
        <x:v>EST-0155</x:v>
      </x:c>
      <x:c r="B282" s="134" t="str">
        <x:v>EST-0155-T2</x:v>
      </x:c>
      <x:c r="C282" s="134" t="str">
        <x:v>2026-09-21</x:v>
      </x:c>
      <x:c r="D282" s="134" t="str">
        <x:v>2026-12-15</x:v>
      </x:c>
      <x:c r="E282" s="134" t="n">
        <x:v>4</x:v>
      </x:c>
      <x:c r="F282" s="134" t="str">
        <x:v>4B</x:v>
      </x:c>
      <x:c r="G282" s="140" t="n">
        <x:v>12.84</x:v>
      </x:c>
      <x:c r="H282" s="140" t="n">
        <x:v>0</x:v>
      </x:c>
      <x:c r="I282" s="140" t="n">
        <x:v>88.23</x:v>
      </x:c>
      <x:c r="J282" s="140" t="n">
        <x:v>10.46</x:v>
      </x:c>
      <x:c r="K282" s="140" t="n">
        <x:v>19.2</x:v>
      </x:c>
      <x:c r="L282" s="140" t="n">
        <x:v>18</x:v>
      </x:c>
      <x:c r="M282" s="140" t="n">
        <x:v>14</x:v>
      </x:c>
      <x:c r="N282" s="134" t="n">
        <x:v>0</x:v>
      </x:c>
      <x:c r="O282" s="134" t="str">
        <x:v>permanece</x:v>
      </x:c>
      <x:c r="P282" s="134" t="str">
        <x:v>train</x:v>
      </x:c>
      <x:c r="Q282" s="134" t="str">
        <x:v>synthetic_scientific</x:v>
      </x:c>
      <x:c r="R282" s="135" t="str">
        <x:v>BLENKIR_V6_SYNTH_20260924</x:v>
      </x:c>
    </x:row>
    <x:row r="283" ht="32" customHeight="1">
      <x:c r="A283" s="133" t="str">
        <x:v>EST-0156</x:v>
      </x:c>
      <x:c r="B283" s="134" t="str">
        <x:v>EST-0156-T1</x:v>
      </x:c>
      <x:c r="C283" s="134" t="str">
        <x:v>2026-07-31</x:v>
      </x:c>
      <x:c r="D283" s="134" t="str">
        <x:v>2026-12-15</x:v>
      </x:c>
      <x:c r="E283" s="134" t="n">
        <x:v>4</x:v>
      </x:c>
      <x:c r="F283" s="134" t="str">
        <x:v>4B</x:v>
      </x:c>
      <x:c r="G283" s="140" t="n">
        <x:v>16.81</x:v>
      </x:c>
      <x:c r="H283" s="140" t="n">
        <x:v>0</x:v>
      </x:c>
      <x:c r="I283" s="140" t="n">
        <x:v>94.44</x:v>
      </x:c>
      <x:c r="J283" s="140" t="n">
        <x:v>11.46</x:v>
      </x:c>
      <x:c r="K283" s="140" t="n">
        <x:v>19.39</x:v>
      </x:c>
      <x:c r="L283" s="140" t="n">
        <x:v>17</x:v>
      </x:c>
      <x:c r="M283" s="140" t="n">
        <x:v>11</x:v>
      </x:c>
      <x:c r="N283" s="134" t="n">
        <x:v>0</x:v>
      </x:c>
      <x:c r="O283" s="134" t="str">
        <x:v>permanece</x:v>
      </x:c>
      <x:c r="P283" s="134" t="str">
        <x:v>train</x:v>
      </x:c>
      <x:c r="Q283" s="134" t="str">
        <x:v>synthetic_scientific</x:v>
      </x:c>
      <x:c r="R283" s="135" t="str">
        <x:v>BLENKIR_V6_SYNTH_20260924</x:v>
      </x:c>
    </x:row>
    <x:row r="284" ht="32" customHeight="1">
      <x:c r="A284" s="133" t="str">
        <x:v>EST-0156</x:v>
      </x:c>
      <x:c r="B284" s="134" t="str">
        <x:v>EST-0156-T2</x:v>
      </x:c>
      <x:c r="C284" s="134" t="str">
        <x:v>2026-09-21</x:v>
      </x:c>
      <x:c r="D284" s="134" t="str">
        <x:v>2026-12-15</x:v>
      </x:c>
      <x:c r="E284" s="134" t="n">
        <x:v>4</x:v>
      </x:c>
      <x:c r="F284" s="134" t="str">
        <x:v>4B</x:v>
      </x:c>
      <x:c r="G284" s="140" t="n">
        <x:v>16.08</x:v>
      </x:c>
      <x:c r="H284" s="140" t="n">
        <x:v>0</x:v>
      </x:c>
      <x:c r="I284" s="140" t="n">
        <x:v>93.79</x:v>
      </x:c>
      <x:c r="J284" s="140" t="n">
        <x:v>10.72</x:v>
      </x:c>
      <x:c r="K284" s="140" t="n">
        <x:v>21.31</x:v>
      </x:c>
      <x:c r="L284" s="140" t="n">
        <x:v>19</x:v>
      </x:c>
      <x:c r="M284" s="140" t="n">
        <x:v>13</x:v>
      </x:c>
      <x:c r="N284" s="134" t="n">
        <x:v>0</x:v>
      </x:c>
      <x:c r="O284" s="134" t="str">
        <x:v>permanece</x:v>
      </x:c>
      <x:c r="P284" s="134" t="str">
        <x:v>train</x:v>
      </x:c>
      <x:c r="Q284" s="134" t="str">
        <x:v>synthetic_scientific</x:v>
      </x:c>
      <x:c r="R284" s="135" t="str">
        <x:v>BLENKIR_V6_SYNTH_20260924</x:v>
      </x:c>
    </x:row>
    <x:row r="285" ht="32" customHeight="1">
      <x:c r="A285" s="133" t="str">
        <x:v>EST-0157</x:v>
      </x:c>
      <x:c r="B285" s="134" t="str">
        <x:v>EST-0157-T1</x:v>
      </x:c>
      <x:c r="C285" s="134" t="str">
        <x:v>2026-07-31</x:v>
      </x:c>
      <x:c r="D285" s="134" t="str">
        <x:v>2026-12-15</x:v>
      </x:c>
      <x:c r="E285" s="134" t="n">
        <x:v>4</x:v>
      </x:c>
      <x:c r="F285" s="134" t="str">
        <x:v>4B</x:v>
      </x:c>
      <x:c r="G285" s="140" t="n">
        <x:v>15.92</x:v>
      </x:c>
      <x:c r="H285" s="140" t="n">
        <x:v>0</x:v>
      </x:c>
      <x:c r="I285" s="140" t="n">
        <x:v>99.5</x:v>
      </x:c>
      <x:c r="J285" s="140" t="n">
        <x:v>8.13</x:v>
      </x:c>
      <x:c r="K285" s="140" t="n">
        <x:v>13.8</x:v>
      </x:c>
      <x:c r="L285" s="140" t="n">
        <x:v>15</x:v>
      </x:c>
      <x:c r="M285" s="140" t="n">
        <x:v>13</x:v>
      </x:c>
      <x:c r="N285" s="134" t="n">
        <x:v>0</x:v>
      </x:c>
      <x:c r="O285" s="134" t="str">
        <x:v>permanece</x:v>
      </x:c>
      <x:c r="P285" s="134" t="str">
        <x:v>train</x:v>
      </x:c>
      <x:c r="Q285" s="134" t="str">
        <x:v>synthetic_scientific</x:v>
      </x:c>
      <x:c r="R285" s="135" t="str">
        <x:v>BLENKIR_V6_SYNTH_20260924</x:v>
      </x:c>
    </x:row>
    <x:row r="286" ht="32" customHeight="1">
      <x:c r="A286" s="133" t="str">
        <x:v>EST-0157</x:v>
      </x:c>
      <x:c r="B286" s="134" t="str">
        <x:v>EST-0157-T2</x:v>
      </x:c>
      <x:c r="C286" s="134" t="str">
        <x:v>2026-09-21</x:v>
      </x:c>
      <x:c r="D286" s="134" t="str">
        <x:v>2026-12-15</x:v>
      </x:c>
      <x:c r="E286" s="134" t="n">
        <x:v>4</x:v>
      </x:c>
      <x:c r="F286" s="134" t="str">
        <x:v>4B</x:v>
      </x:c>
      <x:c r="G286" s="140" t="n">
        <x:v>16.57</x:v>
      </x:c>
      <x:c r="H286" s="140" t="n">
        <x:v>0</x:v>
      </x:c>
      <x:c r="I286" s="140" t="n">
        <x:v>99.5</x:v>
      </x:c>
      <x:c r="J286" s="140" t="n">
        <x:v>6.78</x:v>
      </x:c>
      <x:c r="K286" s="140" t="n">
        <x:v>14.17</x:v>
      </x:c>
      <x:c r="L286" s="140" t="n">
        <x:v>14</x:v>
      </x:c>
      <x:c r="M286" s="140" t="n">
        <x:v>12</x:v>
      </x:c>
      <x:c r="N286" s="134" t="n">
        <x:v>0</x:v>
      </x:c>
      <x:c r="O286" s="134" t="str">
        <x:v>permanece</x:v>
      </x:c>
      <x:c r="P286" s="134" t="str">
        <x:v>train</x:v>
      </x:c>
      <x:c r="Q286" s="134" t="str">
        <x:v>synthetic_scientific</x:v>
      </x:c>
      <x:c r="R286" s="135" t="str">
        <x:v>BLENKIR_V6_SYNTH_20260924</x:v>
      </x:c>
    </x:row>
    <x:row r="287" ht="32" customHeight="1">
      <x:c r="A287" s="133" t="str">
        <x:v>EST-0158</x:v>
      </x:c>
      <x:c r="B287" s="134" t="str">
        <x:v>EST-0158-T1</x:v>
      </x:c>
      <x:c r="C287" s="134" t="str">
        <x:v>2026-07-31</x:v>
      </x:c>
      <x:c r="D287" s="134" t="str">
        <x:v>2026-12-15</x:v>
      </x:c>
      <x:c r="E287" s="134" t="n">
        <x:v>4</x:v>
      </x:c>
      <x:c r="F287" s="134" t="str">
        <x:v>4B</x:v>
      </x:c>
      <x:c r="G287" s="140" t="n">
        <x:v>17.27</x:v>
      </x:c>
      <x:c r="H287" s="140" t="n">
        <x:v>0</x:v>
      </x:c>
      <x:c r="I287" s="140" t="n">
        <x:v>90.37</x:v>
      </x:c>
      <x:c r="J287" s="140" t="n">
        <x:v>8.29</x:v>
      </x:c>
      <x:c r="K287" s="140" t="n">
        <x:v>16.03</x:v>
      </x:c>
      <x:c r="L287" s="140" t="n">
        <x:v>19</x:v>
      </x:c>
      <x:c r="M287" s="140" t="n">
        <x:v>14</x:v>
      </x:c>
      <x:c r="N287" s="134" t="n">
        <x:v>0</x:v>
      </x:c>
      <x:c r="O287" s="134" t="str">
        <x:v>permanece</x:v>
      </x:c>
      <x:c r="P287" s="134" t="str">
        <x:v>holdout</x:v>
      </x:c>
      <x:c r="Q287" s="134" t="str">
        <x:v>synthetic_scientific</x:v>
      </x:c>
      <x:c r="R287" s="135" t="str">
        <x:v>BLENKIR_V6_SYNTH_20260924</x:v>
      </x:c>
    </x:row>
    <x:row r="288" ht="32" customHeight="1">
      <x:c r="A288" s="133" t="str">
        <x:v>EST-0158</x:v>
      </x:c>
      <x:c r="B288" s="134" t="str">
        <x:v>EST-0158-T2</x:v>
      </x:c>
      <x:c r="C288" s="134" t="str">
        <x:v>2026-09-21</x:v>
      </x:c>
      <x:c r="D288" s="134" t="str">
        <x:v>2026-12-15</x:v>
      </x:c>
      <x:c r="E288" s="134" t="n">
        <x:v>4</x:v>
      </x:c>
      <x:c r="F288" s="134" t="str">
        <x:v>4B</x:v>
      </x:c>
      <x:c r="G288" s="140" t="n">
        <x:v>17.44</x:v>
      </x:c>
      <x:c r="H288" s="140" t="n">
        <x:v>0</x:v>
      </x:c>
      <x:c r="I288" s="140" t="n">
        <x:v>93.02</x:v>
      </x:c>
      <x:c r="J288" s="140" t="n">
        <x:v>8.33</x:v>
      </x:c>
      <x:c r="K288" s="140" t="n">
        <x:v>15.78</x:v>
      </x:c>
      <x:c r="L288" s="140" t="n">
        <x:v>17</x:v>
      </x:c>
      <x:c r="M288" s="140" t="n">
        <x:v>14</x:v>
      </x:c>
      <x:c r="N288" s="134" t="n">
        <x:v>0</x:v>
      </x:c>
      <x:c r="O288" s="134" t="str">
        <x:v>permanece</x:v>
      </x:c>
      <x:c r="P288" s="134" t="str">
        <x:v>holdout</x:v>
      </x:c>
      <x:c r="Q288" s="134" t="str">
        <x:v>synthetic_scientific</x:v>
      </x:c>
      <x:c r="R288" s="135" t="str">
        <x:v>BLENKIR_V6_SYNTH_20260924</x:v>
      </x:c>
    </x:row>
    <x:row r="289" ht="32" customHeight="1">
      <x:c r="A289" s="133" t="str">
        <x:v>EST-0160</x:v>
      </x:c>
      <x:c r="B289" s="134" t="str">
        <x:v>EST-0160-T1</x:v>
      </x:c>
      <x:c r="C289" s="134" t="str">
        <x:v>2026-07-31</x:v>
      </x:c>
      <x:c r="D289" s="134" t="str">
        <x:v>2026-12-15</x:v>
      </x:c>
      <x:c r="E289" s="134" t="n">
        <x:v>4</x:v>
      </x:c>
      <x:c r="F289" s="134" t="str">
        <x:v>4B</x:v>
      </x:c>
      <x:c r="G289" s="140" t="n">
        <x:v>12.14</x:v>
      </x:c>
      <x:c r="H289" s="140" t="n">
        <x:v>0</x:v>
      </x:c>
      <x:c r="I289" s="140" t="n">
        <x:v>96.77</x:v>
      </x:c>
      <x:c r="J289" s="140" t="n">
        <x:v>9.07</x:v>
      </x:c>
      <x:c r="K289" s="140" t="n">
        <x:v>15.36</x:v>
      </x:c>
      <x:c r="L289" s="140" t="n">
        <x:v>21</x:v>
      </x:c>
      <x:c r="M289" s="140" t="n">
        <x:v>14</x:v>
      </x:c>
      <x:c r="N289" s="134" t="n">
        <x:v>0</x:v>
      </x:c>
      <x:c r="O289" s="134" t="str">
        <x:v>permanece</x:v>
      </x:c>
      <x:c r="P289" s="134" t="str">
        <x:v>train</x:v>
      </x:c>
      <x:c r="Q289" s="134" t="str">
        <x:v>synthetic_scientific</x:v>
      </x:c>
      <x:c r="R289" s="135" t="str">
        <x:v>BLENKIR_V6_SYNTH_20260924</x:v>
      </x:c>
    </x:row>
    <x:row r="290" ht="32" customHeight="1">
      <x:c r="A290" s="133" t="str">
        <x:v>EST-0160</x:v>
      </x:c>
      <x:c r="B290" s="134" t="str">
        <x:v>EST-0160-T2</x:v>
      </x:c>
      <x:c r="C290" s="134" t="str">
        <x:v>2026-09-21</x:v>
      </x:c>
      <x:c r="D290" s="134" t="str">
        <x:v>2026-12-15</x:v>
      </x:c>
      <x:c r="E290" s="134" t="n">
        <x:v>4</x:v>
      </x:c>
      <x:c r="F290" s="134" t="str">
        <x:v>4B</x:v>
      </x:c>
      <x:c r="G290" s="140" t="n">
        <x:v>12.04</x:v>
      </x:c>
      <x:c r="H290" s="140" t="n">
        <x:v>0</x:v>
      </x:c>
      <x:c r="I290" s="140" t="n">
        <x:v>92.87</x:v>
      </x:c>
      <x:c r="J290" s="140" t="n">
        <x:v>8.45</x:v>
      </x:c>
      <x:c r="K290" s="140" t="n">
        <x:v>14.94</x:v>
      </x:c>
      <x:c r="L290" s="140" t="n">
        <x:v>17</x:v>
      </x:c>
      <x:c r="M290" s="140" t="n">
        <x:v>13</x:v>
      </x:c>
      <x:c r="N290" s="134" t="n">
        <x:v>0</x:v>
      </x:c>
      <x:c r="O290" s="134" t="str">
        <x:v>permanece</x:v>
      </x:c>
      <x:c r="P290" s="134" t="str">
        <x:v>train</x:v>
      </x:c>
      <x:c r="Q290" s="134" t="str">
        <x:v>synthetic_scientific</x:v>
      </x:c>
      <x:c r="R290" s="135" t="str">
        <x:v>BLENKIR_V6_SYNTH_20260924</x:v>
      </x:c>
    </x:row>
    <x:row r="291" ht="32" customHeight="1">
      <x:c r="A291" s="133" t="str">
        <x:v>EST-0161</x:v>
      </x:c>
      <x:c r="B291" s="134" t="str">
        <x:v>EST-0161-T1</x:v>
      </x:c>
      <x:c r="C291" s="134" t="str">
        <x:v>2026-07-31</x:v>
      </x:c>
      <x:c r="D291" s="134" t="str">
        <x:v>2026-12-15</x:v>
      </x:c>
      <x:c r="E291" s="134" t="n">
        <x:v>4</x:v>
      </x:c>
      <x:c r="F291" s="134" t="str">
        <x:v>4B</x:v>
      </x:c>
      <x:c r="G291" s="140" t="n">
        <x:v>17.45</x:v>
      </x:c>
      <x:c r="H291" s="140" t="n">
        <x:v>0</x:v>
      </x:c>
      <x:c r="I291" s="140" t="n">
        <x:v>91.76</x:v>
      </x:c>
      <x:c r="J291" s="140" t="n">
        <x:v>8.21</x:v>
      </x:c>
      <x:c r="K291" s="140" t="n">
        <x:v>15.36</x:v>
      </x:c>
      <x:c r="L291" s="140" t="n">
        <x:v>11</x:v>
      </x:c>
      <x:c r="M291" s="140" t="n">
        <x:v>11</x:v>
      </x:c>
      <x:c r="N291" s="134" t="n">
        <x:v>0</x:v>
      </x:c>
      <x:c r="O291" s="134" t="str">
        <x:v>permanece</x:v>
      </x:c>
      <x:c r="P291" s="134" t="str">
        <x:v>train</x:v>
      </x:c>
      <x:c r="Q291" s="134" t="str">
        <x:v>synthetic_scientific</x:v>
      </x:c>
      <x:c r="R291" s="135" t="str">
        <x:v>BLENKIR_V6_SYNTH_20260924</x:v>
      </x:c>
    </x:row>
    <x:row r="292" ht="32" customHeight="1">
      <x:c r="A292" s="133" t="str">
        <x:v>EST-0161</x:v>
      </x:c>
      <x:c r="B292" s="134" t="str">
        <x:v>EST-0161-T2</x:v>
      </x:c>
      <x:c r="C292" s="134" t="str">
        <x:v>2026-09-21</x:v>
      </x:c>
      <x:c r="D292" s="134" t="str">
        <x:v>2026-12-15</x:v>
      </x:c>
      <x:c r="E292" s="134" t="n">
        <x:v>4</x:v>
      </x:c>
      <x:c r="F292" s="134" t="str">
        <x:v>4B</x:v>
      </x:c>
      <x:c r="G292" s="140" t="n">
        <x:v>16.5</x:v>
      </x:c>
      <x:c r="H292" s="140" t="n">
        <x:v>0</x:v>
      </x:c>
      <x:c r="I292" s="140" t="n">
        <x:v>91.07</x:v>
      </x:c>
      <x:c r="J292" s="140" t="n">
        <x:v>6.58</x:v>
      </x:c>
      <x:c r="K292" s="140" t="n">
        <x:v>13.74</x:v>
      </x:c>
      <x:c r="L292" s="140" t="n">
        <x:v>12</x:v>
      </x:c>
      <x:c r="M292" s="140" t="n">
        <x:v>9</x:v>
      </x:c>
      <x:c r="N292" s="134" t="n">
        <x:v>0</x:v>
      </x:c>
      <x:c r="O292" s="134" t="str">
        <x:v>permanece</x:v>
      </x:c>
      <x:c r="P292" s="134" t="str">
        <x:v>train</x:v>
      </x:c>
      <x:c r="Q292" s="134" t="str">
        <x:v>synthetic_scientific</x:v>
      </x:c>
      <x:c r="R292" s="135" t="str">
        <x:v>BLENKIR_V6_SYNTH_20260924</x:v>
      </x:c>
    </x:row>
    <x:row r="293" ht="32" customHeight="1">
      <x:c r="A293" s="133" t="str">
        <x:v>EST-0162</x:v>
      </x:c>
      <x:c r="B293" s="134" t="str">
        <x:v>EST-0162-T1</x:v>
      </x:c>
      <x:c r="C293" s="134" t="str">
        <x:v>2026-07-31</x:v>
      </x:c>
      <x:c r="D293" s="134" t="str">
        <x:v>2026-12-15</x:v>
      </x:c>
      <x:c r="E293" s="134" t="n">
        <x:v>4</x:v>
      </x:c>
      <x:c r="F293" s="134" t="str">
        <x:v>4B</x:v>
      </x:c>
      <x:c r="G293" s="140" t="n">
        <x:v>12.77</x:v>
      </x:c>
      <x:c r="H293" s="140" t="n">
        <x:v>0</x:v>
      </x:c>
      <x:c r="I293" s="140" t="n">
        <x:v>90.45</x:v>
      </x:c>
      <x:c r="J293" s="140" t="n">
        <x:v>5.97</x:v>
      </x:c>
      <x:c r="K293" s="140" t="n">
        <x:v>9.11</x:v>
      </x:c>
      <x:c r="L293" s="140" t="n">
        <x:v>10</x:v>
      </x:c>
      <x:c r="M293" s="140" t="n">
        <x:v>8</x:v>
      </x:c>
      <x:c r="N293" s="134" t="n">
        <x:v>1</x:v>
      </x:c>
      <x:c r="O293" s="134" t="str">
        <x:v>deserta</x:v>
      </x:c>
      <x:c r="P293" s="134" t="str">
        <x:v>train</x:v>
      </x:c>
      <x:c r="Q293" s="134" t="str">
        <x:v>synthetic_scientific</x:v>
      </x:c>
      <x:c r="R293" s="135" t="str">
        <x:v>BLENKIR_V6_SYNTH_20260924</x:v>
      </x:c>
    </x:row>
    <x:row r="294" ht="32" customHeight="1">
      <x:c r="A294" s="133" t="str">
        <x:v>EST-0162</x:v>
      </x:c>
      <x:c r="B294" s="134" t="str">
        <x:v>EST-0162-T2</x:v>
      </x:c>
      <x:c r="C294" s="134" t="str">
        <x:v>2026-09-21</x:v>
      </x:c>
      <x:c r="D294" s="134" t="str">
        <x:v>2026-12-15</x:v>
      </x:c>
      <x:c r="E294" s="134" t="n">
        <x:v>4</x:v>
      </x:c>
      <x:c r="F294" s="134" t="str">
        <x:v>4B</x:v>
      </x:c>
      <x:c r="G294" s="140" t="n">
        <x:v>10.85</x:v>
      </x:c>
      <x:c r="H294" s="140" t="n">
        <x:v>1</x:v>
      </x:c>
      <x:c r="I294" s="140" t="n">
        <x:v>87.71</x:v>
      </x:c>
      <x:c r="J294" s="140" t="n">
        <x:v>4.31</x:v>
      </x:c>
      <x:c r="K294" s="140" t="n">
        <x:v>9.66</x:v>
      </x:c>
      <x:c r="L294" s="140" t="n">
        <x:v>9</x:v>
      </x:c>
      <x:c r="M294" s="140" t="n">
        <x:v>7</x:v>
      </x:c>
      <x:c r="N294" s="134" t="n">
        <x:v>1</x:v>
      </x:c>
      <x:c r="O294" s="134" t="str">
        <x:v>deserta</x:v>
      </x:c>
      <x:c r="P294" s="134" t="str">
        <x:v>train</x:v>
      </x:c>
      <x:c r="Q294" s="134" t="str">
        <x:v>synthetic_scientific</x:v>
      </x:c>
      <x:c r="R294" s="135" t="str">
        <x:v>BLENKIR_V6_SYNTH_20260924</x:v>
      </x:c>
    </x:row>
    <x:row r="295" ht="32" customHeight="1">
      <x:c r="A295" s="133" t="str">
        <x:v>EST-0163</x:v>
      </x:c>
      <x:c r="B295" s="134" t="str">
        <x:v>EST-0163-T1</x:v>
      </x:c>
      <x:c r="C295" s="134" t="str">
        <x:v>2026-07-31</x:v>
      </x:c>
      <x:c r="D295" s="134" t="str">
        <x:v>2026-12-15</x:v>
      </x:c>
      <x:c r="E295" s="134" t="n">
        <x:v>4</x:v>
      </x:c>
      <x:c r="F295" s="134" t="str">
        <x:v>4C</x:v>
      </x:c>
      <x:c r="G295" s="140" t="n">
        <x:v>16</x:v>
      </x:c>
      <x:c r="H295" s="140" t="n">
        <x:v>0</x:v>
      </x:c>
      <x:c r="I295" s="140" t="n">
        <x:v>97.87</x:v>
      </x:c>
      <x:c r="J295" s="140" t="n">
        <x:v>8.3</x:v>
      </x:c>
      <x:c r="K295" s="140" t="n">
        <x:v>19.46</x:v>
      </x:c>
      <x:c r="L295" s="140" t="n">
        <x:v>15</x:v>
      </x:c>
      <x:c r="M295" s="140" t="n">
        <x:v>11</x:v>
      </x:c>
      <x:c r="N295" s="134" t="n">
        <x:v>1</x:v>
      </x:c>
      <x:c r="O295" s="134" t="str">
        <x:v>deserta</x:v>
      </x:c>
      <x:c r="P295" s="134" t="str">
        <x:v>train</x:v>
      </x:c>
      <x:c r="Q295" s="134" t="str">
        <x:v>synthetic_scientific</x:v>
      </x:c>
      <x:c r="R295" s="135" t="str">
        <x:v>BLENKIR_V6_SYNTH_20260924</x:v>
      </x:c>
    </x:row>
    <x:row r="296" ht="32" customHeight="1">
      <x:c r="A296" s="133" t="str">
        <x:v>EST-0163</x:v>
      </x:c>
      <x:c r="B296" s="134" t="str">
        <x:v>EST-0163-T2</x:v>
      </x:c>
      <x:c r="C296" s="134" t="str">
        <x:v>2026-09-21</x:v>
      </x:c>
      <x:c r="D296" s="134" t="str">
        <x:v>2026-12-15</x:v>
      </x:c>
      <x:c r="E296" s="134" t="n">
        <x:v>4</x:v>
      </x:c>
      <x:c r="F296" s="134" t="str">
        <x:v>4C</x:v>
      </x:c>
      <x:c r="G296" s="140" t="n">
        <x:v>15.18</x:v>
      </x:c>
      <x:c r="H296" s="140" t="n">
        <x:v>0</x:v>
      </x:c>
      <x:c r="I296" s="140" t="n">
        <x:v>96.48</x:v>
      </x:c>
      <x:c r="J296" s="140" t="n">
        <x:v>6.83</x:v>
      </x:c>
      <x:c r="K296" s="140" t="n">
        <x:v>14.85</x:v>
      </x:c>
      <x:c r="L296" s="140" t="n">
        <x:v>15</x:v>
      </x:c>
      <x:c r="M296" s="140" t="n">
        <x:v>11</x:v>
      </x:c>
      <x:c r="N296" s="134" t="n">
        <x:v>1</x:v>
      </x:c>
      <x:c r="O296" s="134" t="str">
        <x:v>deserta</x:v>
      </x:c>
      <x:c r="P296" s="134" t="str">
        <x:v>train</x:v>
      </x:c>
      <x:c r="Q296" s="134" t="str">
        <x:v>synthetic_scientific</x:v>
      </x:c>
      <x:c r="R296" s="135" t="str">
        <x:v>BLENKIR_V6_SYNTH_20260924</x:v>
      </x:c>
    </x:row>
    <x:row r="297" ht="32" customHeight="1">
      <x:c r="A297" s="133" t="str">
        <x:v>EST-0164</x:v>
      </x:c>
      <x:c r="B297" s="134" t="str">
        <x:v>EST-0164-T1</x:v>
      </x:c>
      <x:c r="C297" s="134" t="str">
        <x:v>2026-07-31</x:v>
      </x:c>
      <x:c r="D297" s="134" t="str">
        <x:v>2026-12-15</x:v>
      </x:c>
      <x:c r="E297" s="134" t="n">
        <x:v>4</x:v>
      </x:c>
      <x:c r="F297" s="134" t="str">
        <x:v>4C</x:v>
      </x:c>
      <x:c r="G297" s="140" t="n">
        <x:v>16.04</x:v>
      </x:c>
      <x:c r="H297" s="140" t="n">
        <x:v>0</x:v>
      </x:c>
      <x:c r="I297" s="140" t="n">
        <x:v>87.08</x:v>
      </x:c>
      <x:c r="J297" s="140" t="n">
        <x:v>8.31</x:v>
      </x:c>
      <x:c r="K297" s="140" t="n">
        <x:v>13.24</x:v>
      </x:c>
      <x:c r="L297" s="140" t="n">
        <x:v>15</x:v>
      </x:c>
      <x:c r="M297" s="140" t="n">
        <x:v>9</x:v>
      </x:c>
      <x:c r="N297" s="134" t="n">
        <x:v>0</x:v>
      </x:c>
      <x:c r="O297" s="134" t="str">
        <x:v>permanece</x:v>
      </x:c>
      <x:c r="P297" s="134" t="str">
        <x:v>train</x:v>
      </x:c>
      <x:c r="Q297" s="134" t="str">
        <x:v>synthetic_scientific</x:v>
      </x:c>
      <x:c r="R297" s="135" t="str">
        <x:v>BLENKIR_V6_SYNTH_20260924</x:v>
      </x:c>
    </x:row>
    <x:row r="298" ht="32" customHeight="1">
      <x:c r="A298" s="133" t="str">
        <x:v>EST-0164</x:v>
      </x:c>
      <x:c r="B298" s="134" t="str">
        <x:v>EST-0164-T2</x:v>
      </x:c>
      <x:c r="C298" s="134" t="str">
        <x:v>2026-09-21</x:v>
      </x:c>
      <x:c r="D298" s="134" t="str">
        <x:v>2026-12-15</x:v>
      </x:c>
      <x:c r="E298" s="134" t="n">
        <x:v>4</x:v>
      </x:c>
      <x:c r="F298" s="134" t="str">
        <x:v>4C</x:v>
      </x:c>
      <x:c r="G298" s="140" t="n">
        <x:v>16.4</x:v>
      </x:c>
      <x:c r="H298" s="140" t="n">
        <x:v>0</x:v>
      </x:c>
      <x:c r="I298" s="140" t="n">
        <x:v>88.47</x:v>
      </x:c>
      <x:c r="J298" s="140" t="n">
        <x:v>7.55</x:v>
      </x:c>
      <x:c r="K298" s="140" t="n">
        <x:v>10.72</x:v>
      </x:c>
      <x:c r="L298" s="140" t="n">
        <x:v>15</x:v>
      </x:c>
      <x:c r="M298" s="140" t="n">
        <x:v>12</x:v>
      </x:c>
      <x:c r="N298" s="134" t="n">
        <x:v>0</x:v>
      </x:c>
      <x:c r="O298" s="134" t="str">
        <x:v>permanece</x:v>
      </x:c>
      <x:c r="P298" s="134" t="str">
        <x:v>train</x:v>
      </x:c>
      <x:c r="Q298" s="134" t="str">
        <x:v>synthetic_scientific</x:v>
      </x:c>
      <x:c r="R298" s="135" t="str">
        <x:v>BLENKIR_V6_SYNTH_20260924</x:v>
      </x:c>
    </x:row>
    <x:row r="299" ht="32" customHeight="1">
      <x:c r="A299" s="133" t="str">
        <x:v>EST-0165</x:v>
      </x:c>
      <x:c r="B299" s="134" t="str">
        <x:v>EST-0165-T1</x:v>
      </x:c>
      <x:c r="C299" s="134" t="str">
        <x:v>2026-07-31</x:v>
      </x:c>
      <x:c r="D299" s="134" t="str">
        <x:v>2026-12-15</x:v>
      </x:c>
      <x:c r="E299" s="134" t="n">
        <x:v>4</x:v>
      </x:c>
      <x:c r="F299" s="134" t="str">
        <x:v>4C</x:v>
      </x:c>
      <x:c r="G299" s="140" t="n">
        <x:v>15.23</x:v>
      </x:c>
      <x:c r="H299" s="140" t="n">
        <x:v>0</x:v>
      </x:c>
      <x:c r="I299" s="140" t="n">
        <x:v>95.45</x:v>
      </x:c>
      <x:c r="J299" s="140" t="n">
        <x:v>8.04</x:v>
      </x:c>
      <x:c r="K299" s="140" t="n">
        <x:v>18.78</x:v>
      </x:c>
      <x:c r="L299" s="140" t="n">
        <x:v>17</x:v>
      </x:c>
      <x:c r="M299" s="140" t="n">
        <x:v>12</x:v>
      </x:c>
      <x:c r="N299" s="134" t="n">
        <x:v>0</x:v>
      </x:c>
      <x:c r="O299" s="134" t="str">
        <x:v>permanece</x:v>
      </x:c>
      <x:c r="P299" s="134" t="str">
        <x:v>train</x:v>
      </x:c>
      <x:c r="Q299" s="134" t="str">
        <x:v>synthetic_scientific</x:v>
      </x:c>
      <x:c r="R299" s="135" t="str">
        <x:v>BLENKIR_V6_SYNTH_20260924</x:v>
      </x:c>
    </x:row>
    <x:row r="300" ht="32" customHeight="1">
      <x:c r="A300" s="133" t="str">
        <x:v>EST-0165</x:v>
      </x:c>
      <x:c r="B300" s="134" t="str">
        <x:v>EST-0165-T2</x:v>
      </x:c>
      <x:c r="C300" s="134" t="str">
        <x:v>2026-09-21</x:v>
      </x:c>
      <x:c r="D300" s="134" t="str">
        <x:v>2026-12-15</x:v>
      </x:c>
      <x:c r="E300" s="134" t="n">
        <x:v>4</x:v>
      </x:c>
      <x:c r="F300" s="134" t="str">
        <x:v>4C</x:v>
      </x:c>
      <x:c r="G300" s="140" t="n">
        <x:v>14.99</x:v>
      </x:c>
      <x:c r="H300" s="140" t="n">
        <x:v>0</x:v>
      </x:c>
      <x:c r="I300" s="140" t="n">
        <x:v>98.06</x:v>
      </x:c>
      <x:c r="J300" s="140" t="n">
        <x:v>9.05</x:v>
      </x:c>
      <x:c r="K300" s="140" t="n">
        <x:v>17.21</x:v>
      </x:c>
      <x:c r="L300" s="140" t="n">
        <x:v>16</x:v>
      </x:c>
      <x:c r="M300" s="140" t="n">
        <x:v>12</x:v>
      </x:c>
      <x:c r="N300" s="134" t="n">
        <x:v>0</x:v>
      </x:c>
      <x:c r="O300" s="134" t="str">
        <x:v>permanece</x:v>
      </x:c>
      <x:c r="P300" s="134" t="str">
        <x:v>train</x:v>
      </x:c>
      <x:c r="Q300" s="134" t="str">
        <x:v>synthetic_scientific</x:v>
      </x:c>
      <x:c r="R300" s="135" t="str">
        <x:v>BLENKIR_V6_SYNTH_20260924</x:v>
      </x:c>
    </x:row>
    <x:row r="301" ht="32" customHeight="1">
      <x:c r="A301" s="133" t="str">
        <x:v>EST-0166</x:v>
      </x:c>
      <x:c r="B301" s="134" t="str">
        <x:v>EST-0166-T1</x:v>
      </x:c>
      <x:c r="C301" s="134" t="str">
        <x:v>2026-07-31</x:v>
      </x:c>
      <x:c r="D301" s="134" t="str">
        <x:v>2026-12-15</x:v>
      </x:c>
      <x:c r="E301" s="134" t="n">
        <x:v>4</x:v>
      </x:c>
      <x:c r="F301" s="134" t="str">
        <x:v>4C</x:v>
      </x:c>
      <x:c r="G301" s="140" t="n">
        <x:v>16.99</x:v>
      </x:c>
      <x:c r="H301" s="140" t="n">
        <x:v>0</x:v>
      </x:c>
      <x:c r="I301" s="140" t="n">
        <x:v>93.66</x:v>
      </x:c>
      <x:c r="J301" s="140" t="n">
        <x:v>5.92</x:v>
      </x:c>
      <x:c r="K301" s="140" t="n">
        <x:v>14.33</x:v>
      </x:c>
      <x:c r="L301" s="140" t="n">
        <x:v>19</x:v>
      </x:c>
      <x:c r="M301" s="140" t="n">
        <x:v>12</x:v>
      </x:c>
      <x:c r="N301" s="134" t="n">
        <x:v>0</x:v>
      </x:c>
      <x:c r="O301" s="134" t="str">
        <x:v>permanece</x:v>
      </x:c>
      <x:c r="P301" s="134" t="str">
        <x:v>train</x:v>
      </x:c>
      <x:c r="Q301" s="134" t="str">
        <x:v>synthetic_scientific</x:v>
      </x:c>
      <x:c r="R301" s="135" t="str">
        <x:v>BLENKIR_V6_SYNTH_20260924</x:v>
      </x:c>
    </x:row>
    <x:row r="302" ht="32" customHeight="1">
      <x:c r="A302" s="133" t="str">
        <x:v>EST-0166</x:v>
      </x:c>
      <x:c r="B302" s="134" t="str">
        <x:v>EST-0166-T2</x:v>
      </x:c>
      <x:c r="C302" s="134" t="str">
        <x:v>2026-09-21</x:v>
      </x:c>
      <x:c r="D302" s="134" t="str">
        <x:v>2026-12-15</x:v>
      </x:c>
      <x:c r="E302" s="134" t="n">
        <x:v>4</x:v>
      </x:c>
      <x:c r="F302" s="134" t="str">
        <x:v>4C</x:v>
      </x:c>
      <x:c r="G302" s="140" t="n">
        <x:v>16.97</x:v>
      </x:c>
      <x:c r="H302" s="140" t="n">
        <x:v>0</x:v>
      </x:c>
      <x:c r="I302" s="140" t="n">
        <x:v>93.48</x:v>
      </x:c>
      <x:c r="J302" s="140" t="n">
        <x:v>7.51</x:v>
      </x:c>
      <x:c r="K302" s="140" t="n">
        <x:v>14.47</x:v>
      </x:c>
      <x:c r="L302" s="140" t="n">
        <x:v>17</x:v>
      </x:c>
      <x:c r="M302" s="140" t="n">
        <x:v>12</x:v>
      </x:c>
      <x:c r="N302" s="134" t="n">
        <x:v>0</x:v>
      </x:c>
      <x:c r="O302" s="134" t="str">
        <x:v>permanece</x:v>
      </x:c>
      <x:c r="P302" s="134" t="str">
        <x:v>train</x:v>
      </x:c>
      <x:c r="Q302" s="134" t="str">
        <x:v>synthetic_scientific</x:v>
      </x:c>
      <x:c r="R302" s="135" t="str">
        <x:v>BLENKIR_V6_SYNTH_20260924</x:v>
      </x:c>
    </x:row>
    <x:row r="303" ht="32" customHeight="1">
      <x:c r="A303" s="133" t="str">
        <x:v>EST-0167</x:v>
      </x:c>
      <x:c r="B303" s="134" t="str">
        <x:v>EST-0167-T1</x:v>
      </x:c>
      <x:c r="C303" s="134" t="str">
        <x:v>2026-07-31</x:v>
      </x:c>
      <x:c r="D303" s="134" t="str">
        <x:v>2026-12-15</x:v>
      </x:c>
      <x:c r="E303" s="134" t="n">
        <x:v>4</x:v>
      </x:c>
      <x:c r="F303" s="134" t="str">
        <x:v>4C</x:v>
      </x:c>
      <x:c r="G303" s="140" t="n">
        <x:v>16.51</x:v>
      </x:c>
      <x:c r="H303" s="140" t="n">
        <x:v>0</x:v>
      </x:c>
      <x:c r="I303" s="140" t="n">
        <x:v>89.21</x:v>
      </x:c>
      <x:c r="J303" s="140" t="n">
        <x:v>4.5</x:v>
      </x:c>
      <x:c r="K303" s="140" t="n">
        <x:v>8.83</x:v>
      </x:c>
      <x:c r="L303" s="140" t="n">
        <x:v>10</x:v>
      </x:c>
      <x:c r="M303" s="140" t="n">
        <x:v>11</x:v>
      </x:c>
      <x:c r="N303" s="134" t="n">
        <x:v>0</x:v>
      </x:c>
      <x:c r="O303" s="134" t="str">
        <x:v>permanece</x:v>
      </x:c>
      <x:c r="P303" s="134" t="str">
        <x:v>train</x:v>
      </x:c>
      <x:c r="Q303" s="134" t="str">
        <x:v>synthetic_scientific</x:v>
      </x:c>
      <x:c r="R303" s="135" t="str">
        <x:v>BLENKIR_V6_SYNTH_20260924</x:v>
      </x:c>
    </x:row>
    <x:row r="304" ht="32" customHeight="1">
      <x:c r="A304" s="133" t="str">
        <x:v>EST-0167</x:v>
      </x:c>
      <x:c r="B304" s="134" t="str">
        <x:v>EST-0167-T2</x:v>
      </x:c>
      <x:c r="C304" s="134" t="str">
        <x:v>2026-09-21</x:v>
      </x:c>
      <x:c r="D304" s="134" t="str">
        <x:v>2026-12-15</x:v>
      </x:c>
      <x:c r="E304" s="134" t="n">
        <x:v>4</x:v>
      </x:c>
      <x:c r="F304" s="134" t="str">
        <x:v>4C</x:v>
      </x:c>
      <x:c r="G304" s="140" t="n">
        <x:v>14.63</x:v>
      </x:c>
      <x:c r="H304" s="140" t="n">
        <x:v>0</x:v>
      </x:c>
      <x:c r="I304" s="140" t="n">
        <x:v>88.56</x:v>
      </x:c>
      <x:c r="J304" s="140" t="n">
        <x:v>4.36</x:v>
      </x:c>
      <x:c r="K304" s="140" t="n">
        <x:v>9.29</x:v>
      </x:c>
      <x:c r="L304" s="140" t="n">
        <x:v>11</x:v>
      </x:c>
      <x:c r="M304" s="140" t="n">
        <x:v>9</x:v>
      </x:c>
      <x:c r="N304" s="134" t="n">
        <x:v>0</x:v>
      </x:c>
      <x:c r="O304" s="134" t="str">
        <x:v>permanece</x:v>
      </x:c>
      <x:c r="P304" s="134" t="str">
        <x:v>train</x:v>
      </x:c>
      <x:c r="Q304" s="134" t="str">
        <x:v>synthetic_scientific</x:v>
      </x:c>
      <x:c r="R304" s="135" t="str">
        <x:v>BLENKIR_V6_SYNTH_20260924</x:v>
      </x:c>
    </x:row>
    <x:row r="305" ht="32" customHeight="1">
      <x:c r="A305" s="133" t="str">
        <x:v>EST-0168</x:v>
      </x:c>
      <x:c r="B305" s="134" t="str">
        <x:v>EST-0168-T1</x:v>
      </x:c>
      <x:c r="C305" s="134" t="str">
        <x:v>2026-07-31</x:v>
      </x:c>
      <x:c r="D305" s="134" t="str">
        <x:v>2026-12-15</x:v>
      </x:c>
      <x:c r="E305" s="134" t="n">
        <x:v>4</x:v>
      </x:c>
      <x:c r="F305" s="134" t="str">
        <x:v>4C</x:v>
      </x:c>
      <x:c r="G305" s="140" t="n">
        <x:v>15.42</x:v>
      </x:c>
      <x:c r="H305" s="140" t="n">
        <x:v>0</x:v>
      </x:c>
      <x:c r="I305" s="140" t="n">
        <x:v>99.5</x:v>
      </x:c>
      <x:c r="J305" s="140" t="n">
        <x:v>8.26</x:v>
      </x:c>
      <x:c r="K305" s="140" t="n">
        <x:v>19.01</x:v>
      </x:c>
      <x:c r="L305" s="140" t="n">
        <x:v>16</x:v>
      </x:c>
      <x:c r="M305" s="140" t="n">
        <x:v>12</x:v>
      </x:c>
      <x:c r="N305" s="134" t="n">
        <x:v>0</x:v>
      </x:c>
      <x:c r="O305" s="134" t="str">
        <x:v>permanece</x:v>
      </x:c>
      <x:c r="P305" s="134" t="str">
        <x:v>train</x:v>
      </x:c>
      <x:c r="Q305" s="134" t="str">
        <x:v>synthetic_scientific</x:v>
      </x:c>
      <x:c r="R305" s="135" t="str">
        <x:v>BLENKIR_V6_SYNTH_20260924</x:v>
      </x:c>
    </x:row>
    <x:row r="306" ht="32" customHeight="1">
      <x:c r="A306" s="133" t="str">
        <x:v>EST-0168</x:v>
      </x:c>
      <x:c r="B306" s="134" t="str">
        <x:v>EST-0168-T2</x:v>
      </x:c>
      <x:c r="C306" s="134" t="str">
        <x:v>2026-09-21</x:v>
      </x:c>
      <x:c r="D306" s="134" t="str">
        <x:v>2026-12-15</x:v>
      </x:c>
      <x:c r="E306" s="134" t="n">
        <x:v>4</x:v>
      </x:c>
      <x:c r="F306" s="134" t="str">
        <x:v>4C</x:v>
      </x:c>
      <x:c r="G306" s="140" t="n">
        <x:v>14.33</x:v>
      </x:c>
      <x:c r="H306" s="140" t="n">
        <x:v>0</x:v>
      </x:c>
      <x:c r="I306" s="140" t="n">
        <x:v>99.5</x:v>
      </x:c>
      <x:c r="J306" s="140" t="n">
        <x:v>8.38</x:v>
      </x:c>
      <x:c r="K306" s="140" t="n">
        <x:v>17.46</x:v>
      </x:c>
      <x:c r="L306" s="140" t="n">
        <x:v>16</x:v>
      </x:c>
      <x:c r="M306" s="140" t="n">
        <x:v>11</x:v>
      </x:c>
      <x:c r="N306" s="134" t="n">
        <x:v>0</x:v>
      </x:c>
      <x:c r="O306" s="134" t="str">
        <x:v>permanece</x:v>
      </x:c>
      <x:c r="P306" s="134" t="str">
        <x:v>train</x:v>
      </x:c>
      <x:c r="Q306" s="134" t="str">
        <x:v>synthetic_scientific</x:v>
      </x:c>
      <x:c r="R306" s="135" t="str">
        <x:v>BLENKIR_V6_SYNTH_20260924</x:v>
      </x:c>
    </x:row>
    <x:row r="307" ht="32" customHeight="1">
      <x:c r="A307" s="133" t="str">
        <x:v>EST-0169</x:v>
      </x:c>
      <x:c r="B307" s="134" t="str">
        <x:v>EST-0169-T1</x:v>
      </x:c>
      <x:c r="C307" s="134" t="str">
        <x:v>2026-07-31</x:v>
      </x:c>
      <x:c r="D307" s="134" t="str">
        <x:v>2026-12-15</x:v>
      </x:c>
      <x:c r="E307" s="134" t="n">
        <x:v>4</x:v>
      </x:c>
      <x:c r="F307" s="134" t="str">
        <x:v>4C</x:v>
      </x:c>
      <x:c r="G307" s="140" t="n">
        <x:v>20</x:v>
      </x:c>
      <x:c r="H307" s="140" t="n">
        <x:v>0</x:v>
      </x:c>
      <x:c r="I307" s="140" t="n">
        <x:v>99.5</x:v>
      </x:c>
      <x:c r="J307" s="140" t="n">
        <x:v>9.85</x:v>
      </x:c>
      <x:c r="K307" s="140" t="n">
        <x:v>15.98</x:v>
      </x:c>
      <x:c r="L307" s="140" t="n">
        <x:v>21</x:v>
      </x:c>
      <x:c r="M307" s="140" t="n">
        <x:v>14</x:v>
      </x:c>
      <x:c r="N307" s="134" t="n">
        <x:v>0</x:v>
      </x:c>
      <x:c r="O307" s="134" t="str">
        <x:v>permanece</x:v>
      </x:c>
      <x:c r="P307" s="134" t="str">
        <x:v>validation</x:v>
      </x:c>
      <x:c r="Q307" s="134" t="str">
        <x:v>synthetic_scientific</x:v>
      </x:c>
      <x:c r="R307" s="135" t="str">
        <x:v>BLENKIR_V6_SYNTH_20260924</x:v>
      </x:c>
    </x:row>
    <x:row r="308" ht="32" customHeight="1">
      <x:c r="A308" s="133" t="str">
        <x:v>EST-0169</x:v>
      </x:c>
      <x:c r="B308" s="134" t="str">
        <x:v>EST-0169-T2</x:v>
      </x:c>
      <x:c r="C308" s="134" t="str">
        <x:v>2026-09-21</x:v>
      </x:c>
      <x:c r="D308" s="134" t="str">
        <x:v>2026-12-15</x:v>
      </x:c>
      <x:c r="E308" s="134" t="n">
        <x:v>4</x:v>
      </x:c>
      <x:c r="F308" s="134" t="str">
        <x:v>4C</x:v>
      </x:c>
      <x:c r="G308" s="140" t="n">
        <x:v>19.5</x:v>
      </x:c>
      <x:c r="H308" s="140" t="n">
        <x:v>0</x:v>
      </x:c>
      <x:c r="I308" s="140" t="n">
        <x:v>99.44</x:v>
      </x:c>
      <x:c r="J308" s="140" t="n">
        <x:v>9.77</x:v>
      </x:c>
      <x:c r="K308" s="140" t="n">
        <x:v>18.98</x:v>
      </x:c>
      <x:c r="L308" s="140" t="n">
        <x:v>19</x:v>
      </x:c>
      <x:c r="M308" s="140" t="n">
        <x:v>14</x:v>
      </x:c>
      <x:c r="N308" s="134" t="n">
        <x:v>0</x:v>
      </x:c>
      <x:c r="O308" s="134" t="str">
        <x:v>permanece</x:v>
      </x:c>
      <x:c r="P308" s="134" t="str">
        <x:v>validation</x:v>
      </x:c>
      <x:c r="Q308" s="134" t="str">
        <x:v>synthetic_scientific</x:v>
      </x:c>
      <x:c r="R308" s="135" t="str">
        <x:v>BLENKIR_V6_SYNTH_20260924</x:v>
      </x:c>
    </x:row>
    <x:row r="309" ht="32" customHeight="1">
      <x:c r="A309" s="133" t="str">
        <x:v>EST-0171</x:v>
      </x:c>
      <x:c r="B309" s="134" t="str">
        <x:v>EST-0171-T1</x:v>
      </x:c>
      <x:c r="C309" s="134" t="str">
        <x:v>2026-07-31</x:v>
      </x:c>
      <x:c r="D309" s="134" t="str">
        <x:v>2026-12-15</x:v>
      </x:c>
      <x:c r="E309" s="134" t="n">
        <x:v>4</x:v>
      </x:c>
      <x:c r="F309" s="134" t="str">
        <x:v>4C</x:v>
      </x:c>
      <x:c r="G309" s="140" t="n">
        <x:v>14.25</x:v>
      </x:c>
      <x:c r="H309" s="140" t="n">
        <x:v>0</x:v>
      </x:c>
      <x:c r="I309" s="140" t="n">
        <x:v>94.99</x:v>
      </x:c>
      <x:c r="J309" s="140" t="n">
        <x:v>5.55</x:v>
      </x:c>
      <x:c r="K309" s="140" t="n">
        <x:v>13.11</x:v>
      </x:c>
      <x:c r="L309" s="140" t="n">
        <x:v>16</x:v>
      </x:c>
      <x:c r="M309" s="140" t="n">
        <x:v>11</x:v>
      </x:c>
      <x:c r="N309" s="134" t="n">
        <x:v>0</x:v>
      </x:c>
      <x:c r="O309" s="134" t="str">
        <x:v>permanece</x:v>
      </x:c>
      <x:c r="P309" s="134" t="str">
        <x:v>validation</x:v>
      </x:c>
      <x:c r="Q309" s="134" t="str">
        <x:v>synthetic_scientific</x:v>
      </x:c>
      <x:c r="R309" s="135" t="str">
        <x:v>BLENKIR_V6_SYNTH_20260924</x:v>
      </x:c>
    </x:row>
    <x:row r="310" ht="32" customHeight="1">
      <x:c r="A310" s="133" t="str">
        <x:v>EST-0171</x:v>
      </x:c>
      <x:c r="B310" s="134" t="str">
        <x:v>EST-0171-T2</x:v>
      </x:c>
      <x:c r="C310" s="134" t="str">
        <x:v>2026-09-21</x:v>
      </x:c>
      <x:c r="D310" s="134" t="str">
        <x:v>2026-12-15</x:v>
      </x:c>
      <x:c r="E310" s="134" t="n">
        <x:v>4</x:v>
      </x:c>
      <x:c r="F310" s="134" t="str">
        <x:v>4C</x:v>
      </x:c>
      <x:c r="G310" s="140" t="n">
        <x:v>14.05</x:v>
      </x:c>
      <x:c r="H310" s="140" t="n">
        <x:v>0</x:v>
      </x:c>
      <x:c r="I310" s="140" t="n">
        <x:v>94.71</x:v>
      </x:c>
      <x:c r="J310" s="140" t="n">
        <x:v>6.96</x:v>
      </x:c>
      <x:c r="K310" s="140" t="n">
        <x:v>12.97</x:v>
      </x:c>
      <x:c r="L310" s="140" t="n">
        <x:v>16</x:v>
      </x:c>
      <x:c r="M310" s="140" t="n">
        <x:v>11</x:v>
      </x:c>
      <x:c r="N310" s="134" t="n">
        <x:v>0</x:v>
      </x:c>
      <x:c r="O310" s="134" t="str">
        <x:v>permanece</x:v>
      </x:c>
      <x:c r="P310" s="134" t="str">
        <x:v>validation</x:v>
      </x:c>
      <x:c r="Q310" s="134" t="str">
        <x:v>synthetic_scientific</x:v>
      </x:c>
      <x:c r="R310" s="135" t="str">
        <x:v>BLENKIR_V6_SYNTH_20260924</x:v>
      </x:c>
    </x:row>
    <x:row r="311" ht="32" customHeight="1">
      <x:c r="A311" s="133" t="str">
        <x:v>EST-0172</x:v>
      </x:c>
      <x:c r="B311" s="134" t="str">
        <x:v>EST-0172-T1</x:v>
      </x:c>
      <x:c r="C311" s="134" t="str">
        <x:v>2026-07-31</x:v>
      </x:c>
      <x:c r="D311" s="134" t="str">
        <x:v>2026-12-15</x:v>
      </x:c>
      <x:c r="E311" s="134" t="n">
        <x:v>4</x:v>
      </x:c>
      <x:c r="F311" s="134" t="str">
        <x:v>4C</x:v>
      </x:c>
      <x:c r="G311" s="140" t="n">
        <x:v>16.24</x:v>
      </x:c>
      <x:c r="H311" s="140" t="n">
        <x:v>0</x:v>
      </x:c>
      <x:c r="I311" s="140" t="n">
        <x:v>96.53</x:v>
      </x:c>
      <x:c r="J311" s="140" t="n">
        <x:v>6.66</x:v>
      </x:c>
      <x:c r="K311" s="140" t="n">
        <x:v>14.99</x:v>
      </x:c>
      <x:c r="L311" s="140" t="n">
        <x:v>11</x:v>
      </x:c>
      <x:c r="M311" s="140" t="n">
        <x:v>12</x:v>
      </x:c>
      <x:c r="N311" s="134" t="n">
        <x:v>1</x:v>
      </x:c>
      <x:c r="O311" s="134" t="str">
        <x:v>deserta</x:v>
      </x:c>
      <x:c r="P311" s="134" t="str">
        <x:v>train</x:v>
      </x:c>
      <x:c r="Q311" s="134" t="str">
        <x:v>synthetic_scientific</x:v>
      </x:c>
      <x:c r="R311" s="135" t="str">
        <x:v>BLENKIR_V6_SYNTH_20260924</x:v>
      </x:c>
    </x:row>
    <x:row r="312" ht="32" customHeight="1">
      <x:c r="A312" s="133" t="str">
        <x:v>EST-0172</x:v>
      </x:c>
      <x:c r="B312" s="134" t="str">
        <x:v>EST-0172-T2</x:v>
      </x:c>
      <x:c r="C312" s="134" t="str">
        <x:v>2026-09-21</x:v>
      </x:c>
      <x:c r="D312" s="134" t="str">
        <x:v>2026-12-15</x:v>
      </x:c>
      <x:c r="E312" s="134" t="n">
        <x:v>4</x:v>
      </x:c>
      <x:c r="F312" s="134" t="str">
        <x:v>4C</x:v>
      </x:c>
      <x:c r="G312" s="140" t="n">
        <x:v>14.73</x:v>
      </x:c>
      <x:c r="H312" s="140" t="n">
        <x:v>0</x:v>
      </x:c>
      <x:c r="I312" s="140" t="n">
        <x:v>91.97</x:v>
      </x:c>
      <x:c r="J312" s="140" t="n">
        <x:v>6.8</x:v>
      </x:c>
      <x:c r="K312" s="140" t="n">
        <x:v>12.93</x:v>
      </x:c>
      <x:c r="L312" s="140" t="n">
        <x:v>13</x:v>
      </x:c>
      <x:c r="M312" s="140" t="n">
        <x:v>11</x:v>
      </x:c>
      <x:c r="N312" s="134" t="n">
        <x:v>1</x:v>
      </x:c>
      <x:c r="O312" s="134" t="str">
        <x:v>deserta</x:v>
      </x:c>
      <x:c r="P312" s="134" t="str">
        <x:v>train</x:v>
      </x:c>
      <x:c r="Q312" s="134" t="str">
        <x:v>synthetic_scientific</x:v>
      </x:c>
      <x:c r="R312" s="135" t="str">
        <x:v>BLENKIR_V6_SYNTH_20260924</x:v>
      </x:c>
    </x:row>
    <x:row r="313" ht="32" customHeight="1">
      <x:c r="A313" s="133" t="str">
        <x:v>EST-0173</x:v>
      </x:c>
      <x:c r="B313" s="134" t="str">
        <x:v>EST-0173-T1</x:v>
      </x:c>
      <x:c r="C313" s="134" t="str">
        <x:v>2026-07-31</x:v>
      </x:c>
      <x:c r="D313" s="134" t="str">
        <x:v>2026-12-15</x:v>
      </x:c>
      <x:c r="E313" s="134" t="n">
        <x:v>4</x:v>
      </x:c>
      <x:c r="F313" s="134" t="str">
        <x:v>4C</x:v>
      </x:c>
      <x:c r="G313" s="140" t="n">
        <x:v>15.06</x:v>
      </x:c>
      <x:c r="H313" s="140" t="n">
        <x:v>0</x:v>
      </x:c>
      <x:c r="I313" s="140" t="n">
        <x:v>88.71</x:v>
      </x:c>
      <x:c r="J313" s="140" t="n">
        <x:v>9.04</x:v>
      </x:c>
      <x:c r="K313" s="140" t="n">
        <x:v>18.51</x:v>
      </x:c>
      <x:c r="L313" s="140" t="n">
        <x:v>15</x:v>
      </x:c>
      <x:c r="M313" s="140" t="n">
        <x:v>10</x:v>
      </x:c>
      <x:c r="N313" s="134" t="n">
        <x:v>0</x:v>
      </x:c>
      <x:c r="O313" s="134" t="str">
        <x:v>permanece</x:v>
      </x:c>
      <x:c r="P313" s="134" t="str">
        <x:v>train</x:v>
      </x:c>
      <x:c r="Q313" s="134" t="str">
        <x:v>synthetic_scientific</x:v>
      </x:c>
      <x:c r="R313" s="135" t="str">
        <x:v>BLENKIR_V6_SYNTH_20260924</x:v>
      </x:c>
    </x:row>
    <x:row r="314" ht="32" customHeight="1">
      <x:c r="A314" s="133" t="str">
        <x:v>EST-0173</x:v>
      </x:c>
      <x:c r="B314" s="134" t="str">
        <x:v>EST-0173-T2</x:v>
      </x:c>
      <x:c r="C314" s="134" t="str">
        <x:v>2026-09-21</x:v>
      </x:c>
      <x:c r="D314" s="134" t="str">
        <x:v>2026-12-15</x:v>
      </x:c>
      <x:c r="E314" s="134" t="n">
        <x:v>4</x:v>
      </x:c>
      <x:c r="F314" s="134" t="str">
        <x:v>4C</x:v>
      </x:c>
      <x:c r="G314" s="140" t="n">
        <x:v>15.24</x:v>
      </x:c>
      <x:c r="H314" s="140" t="n">
        <x:v>0</x:v>
      </x:c>
      <x:c r="I314" s="140" t="n">
        <x:v>89</x:v>
      </x:c>
      <x:c r="J314" s="140" t="n">
        <x:v>9.31</x:v>
      </x:c>
      <x:c r="K314" s="140" t="n">
        <x:v>18.41</x:v>
      </x:c>
      <x:c r="L314" s="140" t="n">
        <x:v>17</x:v>
      </x:c>
      <x:c r="M314" s="140" t="n">
        <x:v>11</x:v>
      </x:c>
      <x:c r="N314" s="134" t="n">
        <x:v>0</x:v>
      </x:c>
      <x:c r="O314" s="134" t="str">
        <x:v>permanece</x:v>
      </x:c>
      <x:c r="P314" s="134" t="str">
        <x:v>train</x:v>
      </x:c>
      <x:c r="Q314" s="134" t="str">
        <x:v>synthetic_scientific</x:v>
      </x:c>
      <x:c r="R314" s="135" t="str">
        <x:v>BLENKIR_V6_SYNTH_20260924</x:v>
      </x:c>
    </x:row>
    <x:row r="315" ht="32" customHeight="1">
      <x:c r="A315" s="133" t="str">
        <x:v>EST-0174</x:v>
      </x:c>
      <x:c r="B315" s="134" t="str">
        <x:v>EST-0174-T1</x:v>
      </x:c>
      <x:c r="C315" s="134" t="str">
        <x:v>2026-07-31</x:v>
      </x:c>
      <x:c r="D315" s="134" t="str">
        <x:v>2026-12-15</x:v>
      </x:c>
      <x:c r="E315" s="134" t="n">
        <x:v>4</x:v>
      </x:c>
      <x:c r="F315" s="134" t="str">
        <x:v>4D</x:v>
      </x:c>
      <x:c r="G315" s="140" t="n">
        <x:v>14.34</x:v>
      </x:c>
      <x:c r="H315" s="140" t="n">
        <x:v>0</x:v>
      </x:c>
      <x:c r="I315" s="140" t="n">
        <x:v>90.28</x:v>
      </x:c>
      <x:c r="J315" s="140" t="n">
        <x:v>6.34</x:v>
      </x:c>
      <x:c r="K315" s="140" t="n">
        <x:v>12.89</x:v>
      </x:c>
      <x:c r="L315" s="140" t="n">
        <x:v>17</x:v>
      </x:c>
      <x:c r="M315" s="140" t="n">
        <x:v>9</x:v>
      </x:c>
      <x:c r="N315" s="134" t="n">
        <x:v>0</x:v>
      </x:c>
      <x:c r="O315" s="134" t="str">
        <x:v>permanece</x:v>
      </x:c>
      <x:c r="P315" s="134" t="str">
        <x:v>train</x:v>
      </x:c>
      <x:c r="Q315" s="134" t="str">
        <x:v>synthetic_scientific</x:v>
      </x:c>
      <x:c r="R315" s="135" t="str">
        <x:v>BLENKIR_V6_SYNTH_20260924</x:v>
      </x:c>
    </x:row>
    <x:row r="316" ht="32" customHeight="1">
      <x:c r="A316" s="133" t="str">
        <x:v>EST-0174</x:v>
      </x:c>
      <x:c r="B316" s="134" t="str">
        <x:v>EST-0174-T2</x:v>
      </x:c>
      <x:c r="C316" s="134" t="str">
        <x:v>2026-09-21</x:v>
      </x:c>
      <x:c r="D316" s="134" t="str">
        <x:v>2026-12-15</x:v>
      </x:c>
      <x:c r="E316" s="134" t="n">
        <x:v>4</x:v>
      </x:c>
      <x:c r="F316" s="134" t="str">
        <x:v>4D</x:v>
      </x:c>
      <x:c r="G316" s="140" t="n">
        <x:v>13.45</x:v>
      </x:c>
      <x:c r="H316" s="140" t="n">
        <x:v>0</x:v>
      </x:c>
      <x:c r="I316" s="140" t="n">
        <x:v>88.1</x:v>
      </x:c>
      <x:c r="J316" s="140" t="n">
        <x:v>6.85</x:v>
      </x:c>
      <x:c r="K316" s="140" t="n">
        <x:v>11.31</x:v>
      </x:c>
      <x:c r="L316" s="140" t="n">
        <x:v>13</x:v>
      </x:c>
      <x:c r="M316" s="140" t="n">
        <x:v>9</x:v>
      </x:c>
      <x:c r="N316" s="134" t="n">
        <x:v>0</x:v>
      </x:c>
      <x:c r="O316" s="134" t="str">
        <x:v>permanece</x:v>
      </x:c>
      <x:c r="P316" s="134" t="str">
        <x:v>train</x:v>
      </x:c>
      <x:c r="Q316" s="134" t="str">
        <x:v>synthetic_scientific</x:v>
      </x:c>
      <x:c r="R316" s="135" t="str">
        <x:v>BLENKIR_V6_SYNTH_20260924</x:v>
      </x:c>
    </x:row>
    <x:row r="317" ht="32" customHeight="1">
      <x:c r="A317" s="133" t="str">
        <x:v>EST-0175</x:v>
      </x:c>
      <x:c r="B317" s="134" t="str">
        <x:v>EST-0175-T1</x:v>
      </x:c>
      <x:c r="C317" s="134" t="str">
        <x:v>2026-07-31</x:v>
      </x:c>
      <x:c r="D317" s="134" t="str">
        <x:v>2026-12-15</x:v>
      </x:c>
      <x:c r="E317" s="134" t="n">
        <x:v>4</x:v>
      </x:c>
      <x:c r="F317" s="134" t="str">
        <x:v>4D</x:v>
      </x:c>
      <x:c r="G317" s="140" t="n">
        <x:v>13.67</x:v>
      </x:c>
      <x:c r="H317" s="140" t="n">
        <x:v>0</x:v>
      </x:c>
      <x:c r="I317" s="140" t="n">
        <x:v>89.3</x:v>
      </x:c>
      <x:c r="J317" s="140" t="n">
        <x:v>7.39</x:v>
      </x:c>
      <x:c r="K317" s="140" t="n">
        <x:v>16.02</x:v>
      </x:c>
      <x:c r="L317" s="140" t="n">
        <x:v>13</x:v>
      </x:c>
      <x:c r="M317" s="140" t="n">
        <x:v>12</x:v>
      </x:c>
      <x:c r="N317" s="134" t="n">
        <x:v>0</x:v>
      </x:c>
      <x:c r="O317" s="134" t="str">
        <x:v>permanece</x:v>
      </x:c>
      <x:c r="P317" s="134" t="str">
        <x:v>train</x:v>
      </x:c>
      <x:c r="Q317" s="134" t="str">
        <x:v>synthetic_scientific</x:v>
      </x:c>
      <x:c r="R317" s="135" t="str">
        <x:v>BLENKIR_V6_SYNTH_20260924</x:v>
      </x:c>
    </x:row>
    <x:row r="318" ht="32" customHeight="1">
      <x:c r="A318" s="133" t="str">
        <x:v>EST-0175</x:v>
      </x:c>
      <x:c r="B318" s="134" t="str">
        <x:v>EST-0175-T2</x:v>
      </x:c>
      <x:c r="C318" s="134" t="str">
        <x:v>2026-09-21</x:v>
      </x:c>
      <x:c r="D318" s="134" t="str">
        <x:v>2026-12-15</x:v>
      </x:c>
      <x:c r="E318" s="134" t="n">
        <x:v>4</x:v>
      </x:c>
      <x:c r="F318" s="134" t="str">
        <x:v>4D</x:v>
      </x:c>
      <x:c r="G318" s="140" t="n">
        <x:v>13.55</x:v>
      </x:c>
      <x:c r="H318" s="140" t="n">
        <x:v>0</x:v>
      </x:c>
      <x:c r="I318" s="140" t="n">
        <x:v>89.97</x:v>
      </x:c>
      <x:c r="J318" s="140" t="n">
        <x:v>6.78</x:v>
      </x:c>
      <x:c r="K318" s="140" t="n">
        <x:v>15.73</x:v>
      </x:c>
      <x:c r="L318" s="140" t="n">
        <x:v>13</x:v>
      </x:c>
      <x:c r="M318" s="140" t="n">
        <x:v>11</x:v>
      </x:c>
      <x:c r="N318" s="134" t="n">
        <x:v>0</x:v>
      </x:c>
      <x:c r="O318" s="134" t="str">
        <x:v>permanece</x:v>
      </x:c>
      <x:c r="P318" s="134" t="str">
        <x:v>train</x:v>
      </x:c>
      <x:c r="Q318" s="134" t="str">
        <x:v>synthetic_scientific</x:v>
      </x:c>
      <x:c r="R318" s="135" t="str">
        <x:v>BLENKIR_V6_SYNTH_20260924</x:v>
      </x:c>
    </x:row>
    <x:row r="319" ht="32" customHeight="1">
      <x:c r="A319" s="133" t="str">
        <x:v>EST-0176</x:v>
      </x:c>
      <x:c r="B319" s="134" t="str">
        <x:v>EST-0176-T1</x:v>
      </x:c>
      <x:c r="C319" s="134" t="str">
        <x:v>2026-07-31</x:v>
      </x:c>
      <x:c r="D319" s="134" t="str">
        <x:v>2026-12-15</x:v>
      </x:c>
      <x:c r="E319" s="134" t="n">
        <x:v>4</x:v>
      </x:c>
      <x:c r="F319" s="134" t="str">
        <x:v>4D</x:v>
      </x:c>
      <x:c r="G319" s="140" t="n">
        <x:v>15.95</x:v>
      </x:c>
      <x:c r="H319" s="140" t="n">
        <x:v>0</x:v>
      </x:c>
      <x:c r="I319" s="140" t="n">
        <x:v>97.82</x:v>
      </x:c>
      <x:c r="J319" s="140" t="n">
        <x:v>9.63</x:v>
      </x:c>
      <x:c r="K319" s="140" t="n">
        <x:v>18.33</x:v>
      </x:c>
      <x:c r="L319" s="140" t="n">
        <x:v>21</x:v>
      </x:c>
      <x:c r="M319" s="140" t="n">
        <x:v>13</x:v>
      </x:c>
      <x:c r="N319" s="134" t="n">
        <x:v>0</x:v>
      </x:c>
      <x:c r="O319" s="134" t="str">
        <x:v>permanece</x:v>
      </x:c>
      <x:c r="P319" s="134" t="str">
        <x:v>train</x:v>
      </x:c>
      <x:c r="Q319" s="134" t="str">
        <x:v>synthetic_scientific</x:v>
      </x:c>
      <x:c r="R319" s="135" t="str">
        <x:v>BLENKIR_V6_SYNTH_20260924</x:v>
      </x:c>
    </x:row>
    <x:row r="320" ht="32" customHeight="1">
      <x:c r="A320" s="133" t="str">
        <x:v>EST-0176</x:v>
      </x:c>
      <x:c r="B320" s="134" t="str">
        <x:v>EST-0176-T2</x:v>
      </x:c>
      <x:c r="C320" s="134" t="str">
        <x:v>2026-09-21</x:v>
      </x:c>
      <x:c r="D320" s="134" t="str">
        <x:v>2026-12-15</x:v>
      </x:c>
      <x:c r="E320" s="134" t="n">
        <x:v>4</x:v>
      </x:c>
      <x:c r="F320" s="134" t="str">
        <x:v>4D</x:v>
      </x:c>
      <x:c r="G320" s="140" t="n">
        <x:v>15.61</x:v>
      </x:c>
      <x:c r="H320" s="140" t="n">
        <x:v>0</x:v>
      </x:c>
      <x:c r="I320" s="140" t="n">
        <x:v>98.36</x:v>
      </x:c>
      <x:c r="J320" s="140" t="n">
        <x:v>10.77</x:v>
      </x:c>
      <x:c r="K320" s="140" t="n">
        <x:v>20.95</x:v>
      </x:c>
      <x:c r="L320" s="140" t="n">
        <x:v>18</x:v>
      </x:c>
      <x:c r="M320" s="140" t="n">
        <x:v>14</x:v>
      </x:c>
      <x:c r="N320" s="134" t="n">
        <x:v>0</x:v>
      </x:c>
      <x:c r="O320" s="134" t="str">
        <x:v>permanece</x:v>
      </x:c>
      <x:c r="P320" s="134" t="str">
        <x:v>train</x:v>
      </x:c>
      <x:c r="Q320" s="134" t="str">
        <x:v>synthetic_scientific</x:v>
      </x:c>
      <x:c r="R320" s="135" t="str">
        <x:v>BLENKIR_V6_SYNTH_20260924</x:v>
      </x:c>
    </x:row>
    <x:row r="321" ht="32" customHeight="1">
      <x:c r="A321" s="133" t="str">
        <x:v>EST-0177</x:v>
      </x:c>
      <x:c r="B321" s="134" t="str">
        <x:v>EST-0177-T1</x:v>
      </x:c>
      <x:c r="C321" s="134" t="str">
        <x:v>2026-07-31</x:v>
      </x:c>
      <x:c r="D321" s="134" t="str">
        <x:v>2026-12-15</x:v>
      </x:c>
      <x:c r="E321" s="134" t="n">
        <x:v>4</x:v>
      </x:c>
      <x:c r="F321" s="134" t="str">
        <x:v>4D</x:v>
      </x:c>
      <x:c r="G321" s="140" t="n">
        <x:v>14.25</x:v>
      </x:c>
      <x:c r="H321" s="140" t="n">
        <x:v>0</x:v>
      </x:c>
      <x:c r="I321" s="140" t="n">
        <x:v>94.93</x:v>
      </x:c>
      <x:c r="J321" s="140" t="n">
        <x:v>7.2</x:v>
      </x:c>
      <x:c r="K321" s="140" t="n">
        <x:v>18.48</x:v>
      </x:c>
      <x:c r="L321" s="140" t="n">
        <x:v>16</x:v>
      </x:c>
      <x:c r="M321" s="140" t="n">
        <x:v>12</x:v>
      </x:c>
      <x:c r="N321" s="134" t="n">
        <x:v>0</x:v>
      </x:c>
      <x:c r="O321" s="134" t="str">
        <x:v>permanece</x:v>
      </x:c>
      <x:c r="P321" s="134" t="str">
        <x:v>train</x:v>
      </x:c>
      <x:c r="Q321" s="134" t="str">
        <x:v>synthetic_scientific</x:v>
      </x:c>
      <x:c r="R321" s="135" t="str">
        <x:v>BLENKIR_V6_SYNTH_20260924</x:v>
      </x:c>
    </x:row>
    <x:row r="322" ht="32" customHeight="1">
      <x:c r="A322" s="133" t="str">
        <x:v>EST-0177</x:v>
      </x:c>
      <x:c r="B322" s="134" t="str">
        <x:v>EST-0177-T2</x:v>
      </x:c>
      <x:c r="C322" s="134" t="str">
        <x:v>2026-09-21</x:v>
      </x:c>
      <x:c r="D322" s="134" t="str">
        <x:v>2026-12-15</x:v>
      </x:c>
      <x:c r="E322" s="134" t="n">
        <x:v>4</x:v>
      </x:c>
      <x:c r="F322" s="134" t="str">
        <x:v>4D</x:v>
      </x:c>
      <x:c r="G322" s="140" t="n">
        <x:v>13.6</x:v>
      </x:c>
      <x:c r="H322" s="140" t="n">
        <x:v>0</x:v>
      </x:c>
      <x:c r="I322" s="140" t="n">
        <x:v>95.42</x:v>
      </x:c>
      <x:c r="J322" s="140" t="n">
        <x:v>7.55</x:v>
      </x:c>
      <x:c r="K322" s="140" t="n">
        <x:v>16.74</x:v>
      </x:c>
      <x:c r="L322" s="140" t="n">
        <x:v>16</x:v>
      </x:c>
      <x:c r="M322" s="140" t="n">
        <x:v>11</x:v>
      </x:c>
      <x:c r="N322" s="134" t="n">
        <x:v>0</x:v>
      </x:c>
      <x:c r="O322" s="134" t="str">
        <x:v>permanece</x:v>
      </x:c>
      <x:c r="P322" s="134" t="str">
        <x:v>train</x:v>
      </x:c>
      <x:c r="Q322" s="134" t="str">
        <x:v>synthetic_scientific</x:v>
      </x:c>
      <x:c r="R322" s="135" t="str">
        <x:v>BLENKIR_V6_SYNTH_20260924</x:v>
      </x:c>
    </x:row>
    <x:row r="323" ht="32" customHeight="1">
      <x:c r="A323" s="133" t="str">
        <x:v>EST-0178</x:v>
      </x:c>
      <x:c r="B323" s="134" t="str">
        <x:v>EST-0178-T1</x:v>
      </x:c>
      <x:c r="C323" s="134" t="str">
        <x:v>2026-07-31</x:v>
      </x:c>
      <x:c r="D323" s="134" t="str">
        <x:v>2026-12-15</x:v>
      </x:c>
      <x:c r="E323" s="134" t="n">
        <x:v>4</x:v>
      </x:c>
      <x:c r="F323" s="134" t="str">
        <x:v>4D</x:v>
      </x:c>
      <x:c r="G323" s="140" t="n">
        <x:v>15.73</x:v>
      </x:c>
      <x:c r="H323" s="140" t="n">
        <x:v>0</x:v>
      </x:c>
      <x:c r="I323" s="140" t="n">
        <x:v>94.75</x:v>
      </x:c>
      <x:c r="J323" s="140" t="n">
        <x:v>4.71</x:v>
      </x:c>
      <x:c r="K323" s="140" t="n">
        <x:v>9.68</x:v>
      </x:c>
      <x:c r="L323" s="140" t="n">
        <x:v>12</x:v>
      </x:c>
      <x:c r="M323" s="140" t="n">
        <x:v>10</x:v>
      </x:c>
      <x:c r="N323" s="134" t="n">
        <x:v>0</x:v>
      </x:c>
      <x:c r="O323" s="134" t="str">
        <x:v>permanece</x:v>
      </x:c>
      <x:c r="P323" s="134" t="str">
        <x:v>train</x:v>
      </x:c>
      <x:c r="Q323" s="134" t="str">
        <x:v>synthetic_scientific</x:v>
      </x:c>
      <x:c r="R323" s="135" t="str">
        <x:v>BLENKIR_V6_SYNTH_20260924</x:v>
      </x:c>
    </x:row>
    <x:row r="324" ht="32" customHeight="1">
      <x:c r="A324" s="133" t="str">
        <x:v>EST-0178</x:v>
      </x:c>
      <x:c r="B324" s="134" t="str">
        <x:v>EST-0178-T2</x:v>
      </x:c>
      <x:c r="C324" s="134" t="str">
        <x:v>2026-09-21</x:v>
      </x:c>
      <x:c r="D324" s="134" t="str">
        <x:v>2026-12-15</x:v>
      </x:c>
      <x:c r="E324" s="134" t="n">
        <x:v>4</x:v>
      </x:c>
      <x:c r="F324" s="134" t="str">
        <x:v>4D</x:v>
      </x:c>
      <x:c r="G324" s="140" t="n">
        <x:v>16.53</x:v>
      </x:c>
      <x:c r="H324" s="140" t="n">
        <x:v>0</x:v>
      </x:c>
      <x:c r="I324" s="140" t="n">
        <x:v>93.25</x:v>
      </x:c>
      <x:c r="J324" s="140" t="n">
        <x:v>5.1</x:v>
      </x:c>
      <x:c r="K324" s="140" t="n">
        <x:v>12.42</x:v>
      </x:c>
      <x:c r="L324" s="140" t="n">
        <x:v>12</x:v>
      </x:c>
      <x:c r="M324" s="140" t="n">
        <x:v>10</x:v>
      </x:c>
      <x:c r="N324" s="134" t="n">
        <x:v>0</x:v>
      </x:c>
      <x:c r="O324" s="134" t="str">
        <x:v>permanece</x:v>
      </x:c>
      <x:c r="P324" s="134" t="str">
        <x:v>train</x:v>
      </x:c>
      <x:c r="Q324" s="134" t="str">
        <x:v>synthetic_scientific</x:v>
      </x:c>
      <x:c r="R324" s="135" t="str">
        <x:v>BLENKIR_V6_SYNTH_20260924</x:v>
      </x:c>
    </x:row>
    <x:row r="325" ht="32" customHeight="1">
      <x:c r="A325" s="133" t="str">
        <x:v>EST-0179</x:v>
      </x:c>
      <x:c r="B325" s="134" t="str">
        <x:v>EST-0179-T1</x:v>
      </x:c>
      <x:c r="C325" s="134" t="str">
        <x:v>2026-07-31</x:v>
      </x:c>
      <x:c r="D325" s="134" t="str">
        <x:v>2026-12-15</x:v>
      </x:c>
      <x:c r="E325" s="134" t="n">
        <x:v>4</x:v>
      </x:c>
      <x:c r="F325" s="134" t="str">
        <x:v>4D</x:v>
      </x:c>
      <x:c r="G325" s="140" t="n">
        <x:v>13.83</x:v>
      </x:c>
      <x:c r="H325" s="140" t="n">
        <x:v>0</x:v>
      </x:c>
      <x:c r="I325" s="140" t="n">
        <x:v>95.87</x:v>
      </x:c>
      <x:c r="J325" s="140" t="n">
        <x:v>7.34</x:v>
      </x:c>
      <x:c r="K325" s="140" t="n">
        <x:v>12.56</x:v>
      </x:c>
      <x:c r="L325" s="140" t="n">
        <x:v>11</x:v>
      </x:c>
      <x:c r="M325" s="140" t="n">
        <x:v>10</x:v>
      </x:c>
      <x:c r="N325" s="134" t="n">
        <x:v>0</x:v>
      </x:c>
      <x:c r="O325" s="134" t="str">
        <x:v>permanece</x:v>
      </x:c>
      <x:c r="P325" s="134" t="str">
        <x:v>train</x:v>
      </x:c>
      <x:c r="Q325" s="134" t="str">
        <x:v>synthetic_scientific</x:v>
      </x:c>
      <x:c r="R325" s="135" t="str">
        <x:v>BLENKIR_V6_SYNTH_20260924</x:v>
      </x:c>
    </x:row>
    <x:row r="326" ht="32" customHeight="1">
      <x:c r="A326" s="133" t="str">
        <x:v>EST-0179</x:v>
      </x:c>
      <x:c r="B326" s="134" t="str">
        <x:v>EST-0179-T2</x:v>
      </x:c>
      <x:c r="C326" s="134" t="str">
        <x:v>2026-09-21</x:v>
      </x:c>
      <x:c r="D326" s="134" t="str">
        <x:v>2026-12-15</x:v>
      </x:c>
      <x:c r="E326" s="134" t="n">
        <x:v>4</x:v>
      </x:c>
      <x:c r="F326" s="134" t="str">
        <x:v>4D</x:v>
      </x:c>
      <x:c r="G326" s="140" t="n">
        <x:v>13.71</x:v>
      </x:c>
      <x:c r="H326" s="140" t="n">
        <x:v>0</x:v>
      </x:c>
      <x:c r="I326" s="140" t="n">
        <x:v>90.77</x:v>
      </x:c>
      <x:c r="J326" s="140" t="n">
        <x:v>7.88</x:v>
      </x:c>
      <x:c r="K326" s="140" t="n">
        <x:v>12.16</x:v>
      </x:c>
      <x:c r="L326" s="140" t="n">
        <x:v>12</x:v>
      </x:c>
      <x:c r="M326" s="140" t="n">
        <x:v>9</x:v>
      </x:c>
      <x:c r="N326" s="134" t="n">
        <x:v>0</x:v>
      </x:c>
      <x:c r="O326" s="134" t="str">
        <x:v>permanece</x:v>
      </x:c>
      <x:c r="P326" s="134" t="str">
        <x:v>train</x:v>
      </x:c>
      <x:c r="Q326" s="134" t="str">
        <x:v>synthetic_scientific</x:v>
      </x:c>
      <x:c r="R326" s="135" t="str">
        <x:v>BLENKIR_V6_SYNTH_20260924</x:v>
      </x:c>
    </x:row>
    <x:row r="327" ht="32" customHeight="1">
      <x:c r="A327" s="133" t="str">
        <x:v>EST-0180</x:v>
      </x:c>
      <x:c r="B327" s="134" t="str">
        <x:v>EST-0180-T1</x:v>
      </x:c>
      <x:c r="C327" s="134" t="str">
        <x:v>2026-07-31</x:v>
      </x:c>
      <x:c r="D327" s="134" t="str">
        <x:v>2026-12-15</x:v>
      </x:c>
      <x:c r="E327" s="134" t="n">
        <x:v>4</x:v>
      </x:c>
      <x:c r="F327" s="134" t="str">
        <x:v>4D</x:v>
      </x:c>
      <x:c r="G327" s="140" t="n">
        <x:v>13.27</x:v>
      </x:c>
      <x:c r="H327" s="140" t="n">
        <x:v>0</x:v>
      </x:c>
      <x:c r="I327" s="140" t="n">
        <x:v>89.78</x:v>
      </x:c>
      <x:c r="J327" s="140" t="n">
        <x:v>7</x:v>
      </x:c>
      <x:c r="K327" s="140" t="n">
        <x:v>13.82</x:v>
      </x:c>
      <x:c r="L327" s="140" t="n">
        <x:v>15</x:v>
      </x:c>
      <x:c r="M327" s="140" t="n">
        <x:v>8</x:v>
      </x:c>
      <x:c r="N327" s="134" t="n">
        <x:v>0</x:v>
      </x:c>
      <x:c r="O327" s="134" t="str">
        <x:v>permanece</x:v>
      </x:c>
      <x:c r="P327" s="134" t="str">
        <x:v>train</x:v>
      </x:c>
      <x:c r="Q327" s="134" t="str">
        <x:v>synthetic_scientific</x:v>
      </x:c>
      <x:c r="R327" s="135" t="str">
        <x:v>BLENKIR_V6_SYNTH_20260924</x:v>
      </x:c>
    </x:row>
    <x:row r="328" ht="32" customHeight="1">
      <x:c r="A328" s="133" t="str">
        <x:v>EST-0180</x:v>
      </x:c>
      <x:c r="B328" s="134" t="str">
        <x:v>EST-0180-T2</x:v>
      </x:c>
      <x:c r="C328" s="134" t="str">
        <x:v>2026-09-21</x:v>
      </x:c>
      <x:c r="D328" s="134" t="str">
        <x:v>2026-12-15</x:v>
      </x:c>
      <x:c r="E328" s="134" t="n">
        <x:v>4</x:v>
      </x:c>
      <x:c r="F328" s="134" t="str">
        <x:v>4D</x:v>
      </x:c>
      <x:c r="G328" s="140" t="n">
        <x:v>13.71</x:v>
      </x:c>
      <x:c r="H328" s="140" t="n">
        <x:v>0</x:v>
      </x:c>
      <x:c r="I328" s="140" t="n">
        <x:v>88.02</x:v>
      </x:c>
      <x:c r="J328" s="140" t="n">
        <x:v>6.36</x:v>
      </x:c>
      <x:c r="K328" s="140" t="n">
        <x:v>13.72</x:v>
      </x:c>
      <x:c r="L328" s="140" t="n">
        <x:v>14</x:v>
      </x:c>
      <x:c r="M328" s="140" t="n">
        <x:v>9</x:v>
      </x:c>
      <x:c r="N328" s="134" t="n">
        <x:v>0</x:v>
      </x:c>
      <x:c r="O328" s="134" t="str">
        <x:v>permanece</x:v>
      </x:c>
      <x:c r="P328" s="134" t="str">
        <x:v>train</x:v>
      </x:c>
      <x:c r="Q328" s="134" t="str">
        <x:v>synthetic_scientific</x:v>
      </x:c>
      <x:c r="R328" s="135" t="str">
        <x:v>BLENKIR_V6_SYNTH_20260924</x:v>
      </x:c>
    </x:row>
    <x:row r="329" ht="32" customHeight="1">
      <x:c r="A329" s="133" t="str">
        <x:v>EST-0182</x:v>
      </x:c>
      <x:c r="B329" s="134" t="str">
        <x:v>EST-0182-T1</x:v>
      </x:c>
      <x:c r="C329" s="134" t="str">
        <x:v>2026-07-31</x:v>
      </x:c>
      <x:c r="D329" s="134" t="str">
        <x:v>2026-12-15</x:v>
      </x:c>
      <x:c r="E329" s="134" t="n">
        <x:v>4</x:v>
      </x:c>
      <x:c r="F329" s="134" t="str">
        <x:v>4D</x:v>
      </x:c>
      <x:c r="G329" s="140" t="n">
        <x:v>14.22</x:v>
      </x:c>
      <x:c r="H329" s="140" t="n">
        <x:v>0</x:v>
      </x:c>
      <x:c r="I329" s="140" t="n">
        <x:v>84.81</x:v>
      </x:c>
      <x:c r="J329" s="140" t="n">
        <x:v>9.51</x:v>
      </x:c>
      <x:c r="K329" s="140" t="n">
        <x:v>16.57</x:v>
      </x:c>
      <x:c r="L329" s="140" t="n">
        <x:v>12</x:v>
      </x:c>
      <x:c r="M329" s="140" t="n">
        <x:v>13</x:v>
      </x:c>
      <x:c r="N329" s="134" t="n">
        <x:v>0</x:v>
      </x:c>
      <x:c r="O329" s="134" t="str">
        <x:v>permanece</x:v>
      </x:c>
      <x:c r="P329" s="134" t="str">
        <x:v>validation</x:v>
      </x:c>
      <x:c r="Q329" s="134" t="str">
        <x:v>synthetic_scientific</x:v>
      </x:c>
      <x:c r="R329" s="135" t="str">
        <x:v>BLENKIR_V6_SYNTH_20260924</x:v>
      </x:c>
    </x:row>
    <x:row r="330" ht="32" customHeight="1">
      <x:c r="A330" s="133" t="str">
        <x:v>EST-0182</x:v>
      </x:c>
      <x:c r="B330" s="134" t="str">
        <x:v>EST-0182-T2</x:v>
      </x:c>
      <x:c r="C330" s="134" t="str">
        <x:v>2026-09-21</x:v>
      </x:c>
      <x:c r="D330" s="134" t="str">
        <x:v>2026-12-15</x:v>
      </x:c>
      <x:c r="E330" s="134" t="n">
        <x:v>4</x:v>
      </x:c>
      <x:c r="F330" s="134" t="str">
        <x:v>4D</x:v>
      </x:c>
      <x:c r="G330" s="140" t="n">
        <x:v>13.36</x:v>
      </x:c>
      <x:c r="H330" s="140" t="n">
        <x:v>0</x:v>
      </x:c>
      <x:c r="I330" s="140" t="n">
        <x:v>88.43</x:v>
      </x:c>
      <x:c r="J330" s="140" t="n">
        <x:v>8.26</x:v>
      </x:c>
      <x:c r="K330" s="140" t="n">
        <x:v>17.53</x:v>
      </x:c>
      <x:c r="L330" s="140" t="n">
        <x:v>14</x:v>
      </x:c>
      <x:c r="M330" s="140" t="n">
        <x:v>12</x:v>
      </x:c>
      <x:c r="N330" s="134" t="n">
        <x:v>0</x:v>
      </x:c>
      <x:c r="O330" s="134" t="str">
        <x:v>permanece</x:v>
      </x:c>
      <x:c r="P330" s="134" t="str">
        <x:v>validation</x:v>
      </x:c>
      <x:c r="Q330" s="134" t="str">
        <x:v>synthetic_scientific</x:v>
      </x:c>
      <x:c r="R330" s="135" t="str">
        <x:v>BLENKIR_V6_SYNTH_20260924</x:v>
      </x:c>
    </x:row>
    <x:row r="331" ht="32" customHeight="1">
      <x:c r="A331" s="133" t="str">
        <x:v>EST-0183</x:v>
      </x:c>
      <x:c r="B331" s="134" t="str">
        <x:v>EST-0183-T1</x:v>
      </x:c>
      <x:c r="C331" s="134" t="str">
        <x:v>2026-07-31</x:v>
      </x:c>
      <x:c r="D331" s="134" t="str">
        <x:v>2026-12-15</x:v>
      </x:c>
      <x:c r="E331" s="134" t="n">
        <x:v>4</x:v>
      </x:c>
      <x:c r="F331" s="134" t="str">
        <x:v>4D</x:v>
      </x:c>
      <x:c r="G331" s="140" t="n">
        <x:v>15.42</x:v>
      </x:c>
      <x:c r="H331" s="140" t="n">
        <x:v>0</x:v>
      </x:c>
      <x:c r="I331" s="140" t="n">
        <x:v>92.37</x:v>
      </x:c>
      <x:c r="J331" s="140" t="n">
        <x:v>9.68</x:v>
      </x:c>
      <x:c r="K331" s="140" t="n">
        <x:v>14.46</x:v>
      </x:c>
      <x:c r="L331" s="140" t="n">
        <x:v>13</x:v>
      </x:c>
      <x:c r="M331" s="140" t="n">
        <x:v>13</x:v>
      </x:c>
      <x:c r="N331" s="134" t="n">
        <x:v>0</x:v>
      </x:c>
      <x:c r="O331" s="134" t="str">
        <x:v>permanece</x:v>
      </x:c>
      <x:c r="P331" s="134" t="str">
        <x:v>train</x:v>
      </x:c>
      <x:c r="Q331" s="134" t="str">
        <x:v>synthetic_scientific</x:v>
      </x:c>
      <x:c r="R331" s="135" t="str">
        <x:v>BLENKIR_V6_SYNTH_20260924</x:v>
      </x:c>
    </x:row>
    <x:row r="332" ht="32" customHeight="1">
      <x:c r="A332" s="133" t="str">
        <x:v>EST-0183</x:v>
      </x:c>
      <x:c r="B332" s="134" t="str">
        <x:v>EST-0183-T2</x:v>
      </x:c>
      <x:c r="C332" s="134" t="str">
        <x:v>2026-09-21</x:v>
      </x:c>
      <x:c r="D332" s="134" t="str">
        <x:v>2026-12-15</x:v>
      </x:c>
      <x:c r="E332" s="134" t="n">
        <x:v>4</x:v>
      </x:c>
      <x:c r="F332" s="134" t="str">
        <x:v>4D</x:v>
      </x:c>
      <x:c r="G332" s="140" t="n">
        <x:v>14.97</x:v>
      </x:c>
      <x:c r="H332" s="140" t="n">
        <x:v>0</x:v>
      </x:c>
      <x:c r="I332" s="140" t="n">
        <x:v>94.36</x:v>
      </x:c>
      <x:c r="J332" s="140" t="n">
        <x:v>9.85</x:v>
      </x:c>
      <x:c r="K332" s="140" t="n">
        <x:v>17.68</x:v>
      </x:c>
      <x:c r="L332" s="140" t="n">
        <x:v>16</x:v>
      </x:c>
      <x:c r="M332" s="140" t="n">
        <x:v>15</x:v>
      </x:c>
      <x:c r="N332" s="134" t="n">
        <x:v>0</x:v>
      </x:c>
      <x:c r="O332" s="134" t="str">
        <x:v>permanece</x:v>
      </x:c>
      <x:c r="P332" s="134" t="str">
        <x:v>train</x:v>
      </x:c>
      <x:c r="Q332" s="134" t="str">
        <x:v>synthetic_scientific</x:v>
      </x:c>
      <x:c r="R332" s="135" t="str">
        <x:v>BLENKIR_V6_SYNTH_20260924</x:v>
      </x:c>
    </x:row>
    <x:row r="333" ht="32" customHeight="1">
      <x:c r="A333" s="133" t="str">
        <x:v>EST-0184</x:v>
      </x:c>
      <x:c r="B333" s="134" t="str">
        <x:v>EST-0184-T1</x:v>
      </x:c>
      <x:c r="C333" s="134" t="str">
        <x:v>2026-07-31</x:v>
      </x:c>
      <x:c r="D333" s="134" t="str">
        <x:v>2026-12-15</x:v>
      </x:c>
      <x:c r="E333" s="134" t="n">
        <x:v>4</x:v>
      </x:c>
      <x:c r="F333" s="134" t="str">
        <x:v>4D</x:v>
      </x:c>
      <x:c r="G333" s="140" t="n">
        <x:v>15.16</x:v>
      </x:c>
      <x:c r="H333" s="140" t="n">
        <x:v>0</x:v>
      </x:c>
      <x:c r="I333" s="140" t="n">
        <x:v>99.5</x:v>
      </x:c>
      <x:c r="J333" s="140" t="n">
        <x:v>8.31</x:v>
      </x:c>
      <x:c r="K333" s="140" t="n">
        <x:v>13.19</x:v>
      </x:c>
      <x:c r="L333" s="140" t="n">
        <x:v>15</x:v>
      </x:c>
      <x:c r="M333" s="140" t="n">
        <x:v>11</x:v>
      </x:c>
      <x:c r="N333" s="134" t="n">
        <x:v>0</x:v>
      </x:c>
      <x:c r="O333" s="134" t="str">
        <x:v>permanece</x:v>
      </x:c>
      <x:c r="P333" s="134" t="str">
        <x:v>validation</x:v>
      </x:c>
      <x:c r="Q333" s="134" t="str">
        <x:v>synthetic_scientific</x:v>
      </x:c>
      <x:c r="R333" s="135" t="str">
        <x:v>BLENKIR_V6_SYNTH_20260924</x:v>
      </x:c>
    </x:row>
    <x:row r="334" ht="32" customHeight="1">
      <x:c r="A334" s="133" t="str">
        <x:v>EST-0184</x:v>
      </x:c>
      <x:c r="B334" s="134" t="str">
        <x:v>EST-0184-T2</x:v>
      </x:c>
      <x:c r="C334" s="134" t="str">
        <x:v>2026-09-21</x:v>
      </x:c>
      <x:c r="D334" s="134" t="str">
        <x:v>2026-12-15</x:v>
      </x:c>
      <x:c r="E334" s="134" t="n">
        <x:v>4</x:v>
      </x:c>
      <x:c r="F334" s="134" t="str">
        <x:v>4D</x:v>
      </x:c>
      <x:c r="G334" s="140" t="n">
        <x:v>14.98</x:v>
      </x:c>
      <x:c r="H334" s="140" t="n">
        <x:v>0</x:v>
      </x:c>
      <x:c r="I334" s="140" t="n">
        <x:v>99.09</x:v>
      </x:c>
      <x:c r="J334" s="140" t="n">
        <x:v>7.49</x:v>
      </x:c>
      <x:c r="K334" s="140" t="n">
        <x:v>15.2</x:v>
      </x:c>
      <x:c r="L334" s="140" t="n">
        <x:v>13</x:v>
      </x:c>
      <x:c r="M334" s="140" t="n">
        <x:v>11</x:v>
      </x:c>
      <x:c r="N334" s="134" t="n">
        <x:v>0</x:v>
      </x:c>
      <x:c r="O334" s="134" t="str">
        <x:v>permanece</x:v>
      </x:c>
      <x:c r="P334" s="134" t="str">
        <x:v>validation</x:v>
      </x:c>
      <x:c r="Q334" s="134" t="str">
        <x:v>synthetic_scientific</x:v>
      </x:c>
      <x:c r="R334" s="135" t="str">
        <x:v>BLENKIR_V6_SYNTH_20260924</x:v>
      </x:c>
    </x:row>
    <x:row r="335" ht="32" customHeight="1">
      <x:c r="A335" s="133" t="str">
        <x:v>EST-0185</x:v>
      </x:c>
      <x:c r="B335" s="134" t="str">
        <x:v>EST-0185-T1</x:v>
      </x:c>
      <x:c r="C335" s="134" t="str">
        <x:v>2026-07-31</x:v>
      </x:c>
      <x:c r="D335" s="134" t="str">
        <x:v>2026-12-15</x:v>
      </x:c>
      <x:c r="E335" s="134" t="n">
        <x:v>5</x:v>
      </x:c>
      <x:c r="F335" s="134" t="str">
        <x:v>5A</x:v>
      </x:c>
      <x:c r="G335" s="140" t="n">
        <x:v>15.46</x:v>
      </x:c>
      <x:c r="H335" s="140" t="n">
        <x:v>0</x:v>
      </x:c>
      <x:c r="I335" s="140" t="n">
        <x:v>88.44</x:v>
      </x:c>
      <x:c r="J335" s="140" t="n">
        <x:v>7.85</x:v>
      </x:c>
      <x:c r="K335" s="140" t="n">
        <x:v>13.62</x:v>
      </x:c>
      <x:c r="L335" s="140" t="n">
        <x:v>11</x:v>
      </x:c>
      <x:c r="M335" s="140" t="n">
        <x:v>11</x:v>
      </x:c>
      <x:c r="N335" s="134" t="n">
        <x:v>1</x:v>
      </x:c>
      <x:c r="O335" s="134" t="str">
        <x:v>deserta</x:v>
      </x:c>
      <x:c r="P335" s="134" t="str">
        <x:v>validation</x:v>
      </x:c>
      <x:c r="Q335" s="134" t="str">
        <x:v>synthetic_scientific</x:v>
      </x:c>
      <x:c r="R335" s="135" t="str">
        <x:v>BLENKIR_V6_SYNTH_20260924</x:v>
      </x:c>
    </x:row>
    <x:row r="336" ht="32" customHeight="1">
      <x:c r="A336" s="133" t="str">
        <x:v>EST-0185</x:v>
      </x:c>
      <x:c r="B336" s="134" t="str">
        <x:v>EST-0185-T2</x:v>
      </x:c>
      <x:c r="C336" s="134" t="str">
        <x:v>2026-09-21</x:v>
      </x:c>
      <x:c r="D336" s="134" t="str">
        <x:v>2026-12-15</x:v>
      </x:c>
      <x:c r="E336" s="134" t="n">
        <x:v>5</x:v>
      </x:c>
      <x:c r="F336" s="134" t="str">
        <x:v>5A</x:v>
      </x:c>
      <x:c r="G336" s="140" t="n">
        <x:v>14.34</x:v>
      </x:c>
      <x:c r="H336" s="140" t="n">
        <x:v>0</x:v>
      </x:c>
      <x:c r="I336" s="140" t="n">
        <x:v>88.29</x:v>
      </x:c>
      <x:c r="J336" s="140" t="n">
        <x:v>7.86</x:v>
      </x:c>
      <x:c r="K336" s="140" t="n">
        <x:v>14.64</x:v>
      </x:c>
      <x:c r="L336" s="140" t="n">
        <x:v>12</x:v>
      </x:c>
      <x:c r="M336" s="140" t="n">
        <x:v>10</x:v>
      </x:c>
      <x:c r="N336" s="134" t="n">
        <x:v>1</x:v>
      </x:c>
      <x:c r="O336" s="134" t="str">
        <x:v>deserta</x:v>
      </x:c>
      <x:c r="P336" s="134" t="str">
        <x:v>validation</x:v>
      </x:c>
      <x:c r="Q336" s="134" t="str">
        <x:v>synthetic_scientific</x:v>
      </x:c>
      <x:c r="R336" s="135" t="str">
        <x:v>BLENKIR_V6_SYNTH_20260924</x:v>
      </x:c>
    </x:row>
    <x:row r="337" ht="32" customHeight="1">
      <x:c r="A337" s="133" t="str">
        <x:v>EST-0186</x:v>
      </x:c>
      <x:c r="B337" s="134" t="str">
        <x:v>EST-0186-T1</x:v>
      </x:c>
      <x:c r="C337" s="134" t="str">
        <x:v>2026-07-31</x:v>
      </x:c>
      <x:c r="D337" s="134" t="str">
        <x:v>2026-12-15</x:v>
      </x:c>
      <x:c r="E337" s="134" t="n">
        <x:v>5</x:v>
      </x:c>
      <x:c r="F337" s="134" t="str">
        <x:v>5A</x:v>
      </x:c>
      <x:c r="G337" s="140" t="n">
        <x:v>14.94</x:v>
      </x:c>
      <x:c r="H337" s="140" t="n">
        <x:v>0</x:v>
      </x:c>
      <x:c r="I337" s="140" t="n">
        <x:v>89.45</x:v>
      </x:c>
      <x:c r="J337" s="140" t="n">
        <x:v>7.85</x:v>
      </x:c>
      <x:c r="K337" s="140" t="n">
        <x:v>9.9</x:v>
      </x:c>
      <x:c r="L337" s="140" t="n">
        <x:v>11</x:v>
      </x:c>
      <x:c r="M337" s="140" t="n">
        <x:v>10</x:v>
      </x:c>
      <x:c r="N337" s="134" t="n">
        <x:v>0</x:v>
      </x:c>
      <x:c r="O337" s="134" t="str">
        <x:v>permanece</x:v>
      </x:c>
      <x:c r="P337" s="134" t="str">
        <x:v>validation</x:v>
      </x:c>
      <x:c r="Q337" s="134" t="str">
        <x:v>synthetic_scientific</x:v>
      </x:c>
      <x:c r="R337" s="135" t="str">
        <x:v>BLENKIR_V6_SYNTH_20260924</x:v>
      </x:c>
    </x:row>
    <x:row r="338" ht="32" customHeight="1">
      <x:c r="A338" s="133" t="str">
        <x:v>EST-0186</x:v>
      </x:c>
      <x:c r="B338" s="134" t="str">
        <x:v>EST-0186-T2</x:v>
      </x:c>
      <x:c r="C338" s="134" t="str">
        <x:v>2026-09-21</x:v>
      </x:c>
      <x:c r="D338" s="134" t="str">
        <x:v>2026-12-15</x:v>
      </x:c>
      <x:c r="E338" s="134" t="n">
        <x:v>5</x:v>
      </x:c>
      <x:c r="F338" s="134" t="str">
        <x:v>5A</x:v>
      </x:c>
      <x:c r="G338" s="140" t="n">
        <x:v>14.71</x:v>
      </x:c>
      <x:c r="H338" s="140" t="n">
        <x:v>0</x:v>
      </x:c>
      <x:c r="I338" s="140" t="n">
        <x:v>90.14</x:v>
      </x:c>
      <x:c r="J338" s="140" t="n">
        <x:v>7.19</x:v>
      </x:c>
      <x:c r="K338" s="140" t="n">
        <x:v>11.16</x:v>
      </x:c>
      <x:c r="L338" s="140" t="n">
        <x:v>12</x:v>
      </x:c>
      <x:c r="M338" s="140" t="n">
        <x:v>10</x:v>
      </x:c>
      <x:c r="N338" s="134" t="n">
        <x:v>0</x:v>
      </x:c>
      <x:c r="O338" s="134" t="str">
        <x:v>permanece</x:v>
      </x:c>
      <x:c r="P338" s="134" t="str">
        <x:v>validation</x:v>
      </x:c>
      <x:c r="Q338" s="134" t="str">
        <x:v>synthetic_scientific</x:v>
      </x:c>
      <x:c r="R338" s="135" t="str">
        <x:v>BLENKIR_V6_SYNTH_20260924</x:v>
      </x:c>
    </x:row>
    <x:row r="339" ht="32" customHeight="1">
      <x:c r="A339" s="133" t="str">
        <x:v>EST-0187</x:v>
      </x:c>
      <x:c r="B339" s="134" t="str">
        <x:v>EST-0187-T1</x:v>
      </x:c>
      <x:c r="C339" s="134" t="str">
        <x:v>2026-07-31</x:v>
      </x:c>
      <x:c r="D339" s="134" t="str">
        <x:v>2026-12-15</x:v>
      </x:c>
      <x:c r="E339" s="134" t="n">
        <x:v>5</x:v>
      </x:c>
      <x:c r="F339" s="134" t="str">
        <x:v>5A</x:v>
      </x:c>
      <x:c r="G339" s="140" t="n">
        <x:v>14</x:v>
      </x:c>
      <x:c r="H339" s="140" t="n">
        <x:v>0</x:v>
      </x:c>
      <x:c r="I339" s="140" t="n">
        <x:v>91.35</x:v>
      </x:c>
      <x:c r="J339" s="140" t="n">
        <x:v>5.79</x:v>
      </x:c>
      <x:c r="K339" s="140" t="n">
        <x:v>9.89</x:v>
      </x:c>
      <x:c r="L339" s="140" t="n">
        <x:v>12</x:v>
      </x:c>
      <x:c r="M339" s="140" t="n">
        <x:v>9</x:v>
      </x:c>
      <x:c r="N339" s="134" t="n">
        <x:v>0</x:v>
      </x:c>
      <x:c r="O339" s="134" t="str">
        <x:v>permanece</x:v>
      </x:c>
      <x:c r="P339" s="134" t="str">
        <x:v>validation</x:v>
      </x:c>
      <x:c r="Q339" s="134" t="str">
        <x:v>synthetic_scientific</x:v>
      </x:c>
      <x:c r="R339" s="135" t="str">
        <x:v>BLENKIR_V6_SYNTH_20260924</x:v>
      </x:c>
    </x:row>
    <x:row r="340" ht="32" customHeight="1">
      <x:c r="A340" s="133" t="str">
        <x:v>EST-0187</x:v>
      </x:c>
      <x:c r="B340" s="134" t="str">
        <x:v>EST-0187-T2</x:v>
      </x:c>
      <x:c r="C340" s="134" t="str">
        <x:v>2026-09-21</x:v>
      </x:c>
      <x:c r="D340" s="134" t="str">
        <x:v>2026-12-15</x:v>
      </x:c>
      <x:c r="E340" s="134" t="n">
        <x:v>5</x:v>
      </x:c>
      <x:c r="F340" s="134" t="str">
        <x:v>5A</x:v>
      </x:c>
      <x:c r="G340" s="140" t="n">
        <x:v>12.48</x:v>
      </x:c>
      <x:c r="H340" s="140" t="n">
        <x:v>0</x:v>
      </x:c>
      <x:c r="I340" s="140" t="n">
        <x:v>91.39</x:v>
      </x:c>
      <x:c r="J340" s="140" t="n">
        <x:v>6.44</x:v>
      </x:c>
      <x:c r="K340" s="140" t="n">
        <x:v>11.07</x:v>
      </x:c>
      <x:c r="L340" s="140" t="n">
        <x:v>13</x:v>
      </x:c>
      <x:c r="M340" s="140" t="n">
        <x:v>9</x:v>
      </x:c>
      <x:c r="N340" s="134" t="n">
        <x:v>0</x:v>
      </x:c>
      <x:c r="O340" s="134" t="str">
        <x:v>permanece</x:v>
      </x:c>
      <x:c r="P340" s="134" t="str">
        <x:v>validation</x:v>
      </x:c>
      <x:c r="Q340" s="134" t="str">
        <x:v>synthetic_scientific</x:v>
      </x:c>
      <x:c r="R340" s="135" t="str">
        <x:v>BLENKIR_V6_SYNTH_20260924</x:v>
      </x:c>
    </x:row>
    <x:row r="341" ht="32" customHeight="1">
      <x:c r="A341" s="133" t="str">
        <x:v>EST-0188</x:v>
      </x:c>
      <x:c r="B341" s="134" t="str">
        <x:v>EST-0188-T1</x:v>
      </x:c>
      <x:c r="C341" s="134" t="str">
        <x:v>2026-07-31</x:v>
      </x:c>
      <x:c r="D341" s="134" t="str">
        <x:v>2026-12-15</x:v>
      </x:c>
      <x:c r="E341" s="134" t="n">
        <x:v>5</x:v>
      </x:c>
      <x:c r="F341" s="134" t="str">
        <x:v>5A</x:v>
      </x:c>
      <x:c r="G341" s="140" t="n">
        <x:v>11.81</x:v>
      </x:c>
      <x:c r="H341" s="140" t="n">
        <x:v>0</x:v>
      </x:c>
      <x:c r="I341" s="140" t="n">
        <x:v>82.47</x:v>
      </x:c>
      <x:c r="J341" s="140" t="n">
        <x:v>7.48</x:v>
      </x:c>
      <x:c r="K341" s="140" t="n">
        <x:v>13.74</x:v>
      </x:c>
      <x:c r="L341" s="140" t="n">
        <x:v>12</x:v>
      </x:c>
      <x:c r="M341" s="140" t="n">
        <x:v>11</x:v>
      </x:c>
      <x:c r="N341" s="134" t="n">
        <x:v>0</x:v>
      </x:c>
      <x:c r="O341" s="134" t="str">
        <x:v>permanece</x:v>
      </x:c>
      <x:c r="P341" s="134" t="str">
        <x:v>train</x:v>
      </x:c>
      <x:c r="Q341" s="134" t="str">
        <x:v>synthetic_scientific</x:v>
      </x:c>
      <x:c r="R341" s="135" t="str">
        <x:v>BLENKIR_V6_SYNTH_20260924</x:v>
      </x:c>
    </x:row>
    <x:row r="342" ht="32" customHeight="1">
      <x:c r="A342" s="133" t="str">
        <x:v>EST-0188</x:v>
      </x:c>
      <x:c r="B342" s="134" t="str">
        <x:v>EST-0188-T2</x:v>
      </x:c>
      <x:c r="C342" s="134" t="str">
        <x:v>2026-09-21</x:v>
      </x:c>
      <x:c r="D342" s="134" t="str">
        <x:v>2026-12-15</x:v>
      </x:c>
      <x:c r="E342" s="134" t="n">
        <x:v>5</x:v>
      </x:c>
      <x:c r="F342" s="134" t="str">
        <x:v>5A</x:v>
      </x:c>
      <x:c r="G342" s="140" t="n">
        <x:v>11.89</x:v>
      </x:c>
      <x:c r="H342" s="140" t="n">
        <x:v>0</x:v>
      </x:c>
      <x:c r="I342" s="140" t="n">
        <x:v>84.29</x:v>
      </x:c>
      <x:c r="J342" s="140" t="n">
        <x:v>6.59</x:v>
      </x:c>
      <x:c r="K342" s="140" t="n">
        <x:v>13.05</x:v>
      </x:c>
      <x:c r="L342" s="140" t="n">
        <x:v>12</x:v>
      </x:c>
      <x:c r="M342" s="140" t="n">
        <x:v>11</x:v>
      </x:c>
      <x:c r="N342" s="134" t="n">
        <x:v>0</x:v>
      </x:c>
      <x:c r="O342" s="134" t="str">
        <x:v>permanece</x:v>
      </x:c>
      <x:c r="P342" s="134" t="str">
        <x:v>train</x:v>
      </x:c>
      <x:c r="Q342" s="134" t="str">
        <x:v>synthetic_scientific</x:v>
      </x:c>
      <x:c r="R342" s="135" t="str">
        <x:v>BLENKIR_V6_SYNTH_20260924</x:v>
      </x:c>
    </x:row>
    <x:row r="343" ht="32" customHeight="1">
      <x:c r="A343" s="133" t="str">
        <x:v>EST-0189</x:v>
      </x:c>
      <x:c r="B343" s="134" t="str">
        <x:v>EST-0189-T1</x:v>
      </x:c>
      <x:c r="C343" s="134" t="str">
        <x:v>2026-07-31</x:v>
      </x:c>
      <x:c r="D343" s="134" t="str">
        <x:v>2026-12-15</x:v>
      </x:c>
      <x:c r="E343" s="134" t="n">
        <x:v>5</x:v>
      </x:c>
      <x:c r="F343" s="134" t="str">
        <x:v>5A</x:v>
      </x:c>
      <x:c r="G343" s="140" t="n">
        <x:v>14.6</x:v>
      </x:c>
      <x:c r="H343" s="140" t="n">
        <x:v>0</x:v>
      </x:c>
      <x:c r="I343" s="140" t="n">
        <x:v>95.22</x:v>
      </x:c>
      <x:c r="J343" s="140" t="n">
        <x:v>9.29</x:v>
      </x:c>
      <x:c r="K343" s="140" t="n">
        <x:v>17.09</x:v>
      </x:c>
      <x:c r="L343" s="140" t="n">
        <x:v>16</x:v>
      </x:c>
      <x:c r="M343" s="140" t="n">
        <x:v>10</x:v>
      </x:c>
      <x:c r="N343" s="134" t="n">
        <x:v>0</x:v>
      </x:c>
      <x:c r="O343" s="134" t="str">
        <x:v>permanece</x:v>
      </x:c>
      <x:c r="P343" s="134" t="str">
        <x:v>train</x:v>
      </x:c>
      <x:c r="Q343" s="134" t="str">
        <x:v>synthetic_scientific</x:v>
      </x:c>
      <x:c r="R343" s="135" t="str">
        <x:v>BLENKIR_V6_SYNTH_20260924</x:v>
      </x:c>
    </x:row>
    <x:row r="344" ht="32" customHeight="1">
      <x:c r="A344" s="133" t="str">
        <x:v>EST-0189</x:v>
      </x:c>
      <x:c r="B344" s="134" t="str">
        <x:v>EST-0189-T2</x:v>
      </x:c>
      <x:c r="C344" s="134" t="str">
        <x:v>2026-09-21</x:v>
      </x:c>
      <x:c r="D344" s="134" t="str">
        <x:v>2026-12-15</x:v>
      </x:c>
      <x:c r="E344" s="134" t="n">
        <x:v>5</x:v>
      </x:c>
      <x:c r="F344" s="134" t="str">
        <x:v>5A</x:v>
      </x:c>
      <x:c r="G344" s="140" t="n">
        <x:v>13.6</x:v>
      </x:c>
      <x:c r="H344" s="140" t="n">
        <x:v>0</x:v>
      </x:c>
      <x:c r="I344" s="140" t="n">
        <x:v>91.71</x:v>
      </x:c>
      <x:c r="J344" s="140" t="n">
        <x:v>8.42</x:v>
      </x:c>
      <x:c r="K344" s="140" t="n">
        <x:v>16.24</x:v>
      </x:c>
      <x:c r="L344" s="140" t="n">
        <x:v>16</x:v>
      </x:c>
      <x:c r="M344" s="140" t="n">
        <x:v>10</x:v>
      </x:c>
      <x:c r="N344" s="134" t="n">
        <x:v>0</x:v>
      </x:c>
      <x:c r="O344" s="134" t="str">
        <x:v>permanece</x:v>
      </x:c>
      <x:c r="P344" s="134" t="str">
        <x:v>train</x:v>
      </x:c>
      <x:c r="Q344" s="134" t="str">
        <x:v>synthetic_scientific</x:v>
      </x:c>
      <x:c r="R344" s="135" t="str">
        <x:v>BLENKIR_V6_SYNTH_20260924</x:v>
      </x:c>
    </x:row>
    <x:row r="345" ht="32" customHeight="1">
      <x:c r="A345" s="133" t="str">
        <x:v>EST-0190</x:v>
      </x:c>
      <x:c r="B345" s="134" t="str">
        <x:v>EST-0190-T1</x:v>
      </x:c>
      <x:c r="C345" s="134" t="str">
        <x:v>2026-07-31</x:v>
      </x:c>
      <x:c r="D345" s="134" t="str">
        <x:v>2026-12-15</x:v>
      </x:c>
      <x:c r="E345" s="134" t="n">
        <x:v>5</x:v>
      </x:c>
      <x:c r="F345" s="134" t="str">
        <x:v>5A</x:v>
      </x:c>
      <x:c r="G345" s="140" t="n">
        <x:v>14.12</x:v>
      </x:c>
      <x:c r="H345" s="140" t="n">
        <x:v>0</x:v>
      </x:c>
      <x:c r="I345" s="140" t="n">
        <x:v>97.15</x:v>
      </x:c>
      <x:c r="J345" s="140" t="n">
        <x:v>9.13</x:v>
      </x:c>
      <x:c r="K345" s="140" t="n">
        <x:v>16.69</x:v>
      </x:c>
      <x:c r="L345" s="140" t="n">
        <x:v>17</x:v>
      </x:c>
      <x:c r="M345" s="140" t="n">
        <x:v>11</x:v>
      </x:c>
      <x:c r="N345" s="134" t="n">
        <x:v>0</x:v>
      </x:c>
      <x:c r="O345" s="134" t="str">
        <x:v>permanece</x:v>
      </x:c>
      <x:c r="P345" s="134" t="str">
        <x:v>validation</x:v>
      </x:c>
      <x:c r="Q345" s="134" t="str">
        <x:v>synthetic_scientific</x:v>
      </x:c>
      <x:c r="R345" s="135" t="str">
        <x:v>BLENKIR_V6_SYNTH_20260924</x:v>
      </x:c>
    </x:row>
    <x:row r="346" ht="32" customHeight="1">
      <x:c r="A346" s="133" t="str">
        <x:v>EST-0190</x:v>
      </x:c>
      <x:c r="B346" s="134" t="str">
        <x:v>EST-0190-T2</x:v>
      </x:c>
      <x:c r="C346" s="134" t="str">
        <x:v>2026-09-21</x:v>
      </x:c>
      <x:c r="D346" s="134" t="str">
        <x:v>2026-12-15</x:v>
      </x:c>
      <x:c r="E346" s="134" t="n">
        <x:v>5</x:v>
      </x:c>
      <x:c r="F346" s="134" t="str">
        <x:v>5A</x:v>
      </x:c>
      <x:c r="G346" s="140" t="n">
        <x:v>14.55</x:v>
      </x:c>
      <x:c r="H346" s="140" t="n">
        <x:v>0</x:v>
      </x:c>
      <x:c r="I346" s="140" t="n">
        <x:v>97.69</x:v>
      </x:c>
      <x:c r="J346" s="140" t="n">
        <x:v>9.25</x:v>
      </x:c>
      <x:c r="K346" s="140" t="n">
        <x:v>18.42</x:v>
      </x:c>
      <x:c r="L346" s="140" t="n">
        <x:v>16</x:v>
      </x:c>
      <x:c r="M346" s="140" t="n">
        <x:v>13</x:v>
      </x:c>
      <x:c r="N346" s="134" t="n">
        <x:v>0</x:v>
      </x:c>
      <x:c r="O346" s="134" t="str">
        <x:v>permanece</x:v>
      </x:c>
      <x:c r="P346" s="134" t="str">
        <x:v>validation</x:v>
      </x:c>
      <x:c r="Q346" s="134" t="str">
        <x:v>synthetic_scientific</x:v>
      </x:c>
      <x:c r="R346" s="135" t="str">
        <x:v>BLENKIR_V6_SYNTH_20260924</x:v>
      </x:c>
    </x:row>
    <x:row r="347" ht="32" customHeight="1">
      <x:c r="A347" s="133" t="str">
        <x:v>EST-0191</x:v>
      </x:c>
      <x:c r="B347" s="134" t="str">
        <x:v>EST-0191-T1</x:v>
      </x:c>
      <x:c r="C347" s="134" t="str">
        <x:v>2026-07-31</x:v>
      </x:c>
      <x:c r="D347" s="134" t="str">
        <x:v>2026-12-15</x:v>
      </x:c>
      <x:c r="E347" s="134" t="n">
        <x:v>5</x:v>
      </x:c>
      <x:c r="F347" s="134" t="str">
        <x:v>5A</x:v>
      </x:c>
      <x:c r="G347" s="140" t="n">
        <x:v>16.4</x:v>
      </x:c>
      <x:c r="H347" s="140" t="n">
        <x:v>0</x:v>
      </x:c>
      <x:c r="I347" s="140" t="n">
        <x:v>94.58</x:v>
      </x:c>
      <x:c r="J347" s="140" t="n">
        <x:v>10.29</x:v>
      </x:c>
      <x:c r="K347" s="140" t="n">
        <x:v>12.5</x:v>
      </x:c>
      <x:c r="L347" s="140" t="n">
        <x:v>14</x:v>
      </x:c>
      <x:c r="M347" s="140" t="n">
        <x:v>13</x:v>
      </x:c>
      <x:c r="N347" s="134" t="n">
        <x:v>0</x:v>
      </x:c>
      <x:c r="O347" s="134" t="str">
        <x:v>permanece</x:v>
      </x:c>
      <x:c r="P347" s="134" t="str">
        <x:v>train</x:v>
      </x:c>
      <x:c r="Q347" s="134" t="str">
        <x:v>synthetic_scientific</x:v>
      </x:c>
      <x:c r="R347" s="135" t="str">
        <x:v>BLENKIR_V6_SYNTH_20260924</x:v>
      </x:c>
    </x:row>
    <x:row r="348" ht="32" customHeight="1">
      <x:c r="A348" s="133" t="str">
        <x:v>EST-0191</x:v>
      </x:c>
      <x:c r="B348" s="134" t="str">
        <x:v>EST-0191-T2</x:v>
      </x:c>
      <x:c r="C348" s="134" t="str">
        <x:v>2026-09-21</x:v>
      </x:c>
      <x:c r="D348" s="134" t="str">
        <x:v>2026-12-15</x:v>
      </x:c>
      <x:c r="E348" s="134" t="n">
        <x:v>5</x:v>
      </x:c>
      <x:c r="F348" s="134" t="str">
        <x:v>5A</x:v>
      </x:c>
      <x:c r="G348" s="140" t="n">
        <x:v>16.82</x:v>
      </x:c>
      <x:c r="H348" s="140" t="n">
        <x:v>0</x:v>
      </x:c>
      <x:c r="I348" s="140" t="n">
        <x:v>93.16</x:v>
      </x:c>
      <x:c r="J348" s="140" t="n">
        <x:v>8.23</x:v>
      </x:c>
      <x:c r="K348" s="140" t="n">
        <x:v>15.37</x:v>
      </x:c>
      <x:c r="L348" s="140" t="n">
        <x:v>16</x:v>
      </x:c>
      <x:c r="M348" s="140" t="n">
        <x:v>12</x:v>
      </x:c>
      <x:c r="N348" s="134" t="n">
        <x:v>0</x:v>
      </x:c>
      <x:c r="O348" s="134" t="str">
        <x:v>permanece</x:v>
      </x:c>
      <x:c r="P348" s="134" t="str">
        <x:v>train</x:v>
      </x:c>
      <x:c r="Q348" s="134" t="str">
        <x:v>synthetic_scientific</x:v>
      </x:c>
      <x:c r="R348" s="135" t="str">
        <x:v>BLENKIR_V6_SYNTH_20260924</x:v>
      </x:c>
    </x:row>
    <x:row r="349" ht="32" customHeight="1">
      <x:c r="A349" s="133" t="str">
        <x:v>EST-0193</x:v>
      </x:c>
      <x:c r="B349" s="134" t="str">
        <x:v>EST-0193-T1</x:v>
      </x:c>
      <x:c r="C349" s="134" t="str">
        <x:v>2026-07-31</x:v>
      </x:c>
      <x:c r="D349" s="134" t="str">
        <x:v>2026-12-15</x:v>
      </x:c>
      <x:c r="E349" s="134" t="n">
        <x:v>5</x:v>
      </x:c>
      <x:c r="F349" s="134" t="str">
        <x:v>5A</x:v>
      </x:c>
      <x:c r="G349" s="140" t="n">
        <x:v>14.7</x:v>
      </x:c>
      <x:c r="H349" s="140" t="n">
        <x:v>0</x:v>
      </x:c>
      <x:c r="I349" s="140" t="n">
        <x:v>99.5</x:v>
      </x:c>
      <x:c r="J349" s="140" t="n">
        <x:v>7.95</x:v>
      </x:c>
      <x:c r="K349" s="140" t="n">
        <x:v>12.68</x:v>
      </x:c>
      <x:c r="L349" s="140" t="n">
        <x:v>18</x:v>
      </x:c>
      <x:c r="M349" s="140" t="n">
        <x:v>11</x:v>
      </x:c>
      <x:c r="N349" s="134" t="n">
        <x:v>0</x:v>
      </x:c>
      <x:c r="O349" s="134" t="str">
        <x:v>permanece</x:v>
      </x:c>
      <x:c r="P349" s="134" t="str">
        <x:v>holdout</x:v>
      </x:c>
      <x:c r="Q349" s="134" t="str">
        <x:v>synthetic_scientific</x:v>
      </x:c>
      <x:c r="R349" s="135" t="str">
        <x:v>BLENKIR_V6_SYNTH_20260924</x:v>
      </x:c>
    </x:row>
    <x:row r="350" ht="32" customHeight="1">
      <x:c r="A350" s="133" t="str">
        <x:v>EST-0193</x:v>
      </x:c>
      <x:c r="B350" s="134" t="str">
        <x:v>EST-0193-T2</x:v>
      </x:c>
      <x:c r="C350" s="134" t="str">
        <x:v>2026-09-21</x:v>
      </x:c>
      <x:c r="D350" s="134" t="str">
        <x:v>2026-12-15</x:v>
      </x:c>
      <x:c r="E350" s="134" t="n">
        <x:v>5</x:v>
      </x:c>
      <x:c r="F350" s="134" t="str">
        <x:v>5A</x:v>
      </x:c>
      <x:c r="G350" s="140" t="n">
        <x:v>14.84</x:v>
      </x:c>
      <x:c r="H350" s="140" t="n">
        <x:v>0</x:v>
      </x:c>
      <x:c r="I350" s="140" t="n">
        <x:v>97.76</x:v>
      </x:c>
      <x:c r="J350" s="140" t="n">
        <x:v>7.9</x:v>
      </x:c>
      <x:c r="K350" s="140" t="n">
        <x:v>14.26</x:v>
      </x:c>
      <x:c r="L350" s="140" t="n">
        <x:v>16</x:v>
      </x:c>
      <x:c r="M350" s="140" t="n">
        <x:v>10</x:v>
      </x:c>
      <x:c r="N350" s="134" t="n">
        <x:v>0</x:v>
      </x:c>
      <x:c r="O350" s="134" t="str">
        <x:v>permanece</x:v>
      </x:c>
      <x:c r="P350" s="134" t="str">
        <x:v>holdout</x:v>
      </x:c>
      <x:c r="Q350" s="134" t="str">
        <x:v>synthetic_scientific</x:v>
      </x:c>
      <x:c r="R350" s="135" t="str">
        <x:v>BLENKIR_V6_SYNTH_20260924</x:v>
      </x:c>
    </x:row>
    <x:row r="351" ht="32" customHeight="1">
      <x:c r="A351" s="133" t="str">
        <x:v>EST-0194</x:v>
      </x:c>
      <x:c r="B351" s="134" t="str">
        <x:v>EST-0194-T1</x:v>
      </x:c>
      <x:c r="C351" s="134" t="str">
        <x:v>2026-07-31</x:v>
      </x:c>
      <x:c r="D351" s="134" t="str">
        <x:v>2026-12-15</x:v>
      </x:c>
      <x:c r="E351" s="134" t="n">
        <x:v>5</x:v>
      </x:c>
      <x:c r="F351" s="134" t="str">
        <x:v>5A</x:v>
      </x:c>
      <x:c r="G351" s="140" t="n">
        <x:v>12.96</x:v>
      </x:c>
      <x:c r="H351" s="140" t="n">
        <x:v>0</x:v>
      </x:c>
      <x:c r="I351" s="140" t="n">
        <x:v>87.85</x:v>
      </x:c>
      <x:c r="J351" s="140" t="n">
        <x:v>10.97</x:v>
      </x:c>
      <x:c r="K351" s="140" t="n">
        <x:v>16.44</x:v>
      </x:c>
      <x:c r="L351" s="140" t="n">
        <x:v>14</x:v>
      </x:c>
      <x:c r="M351" s="140" t="n">
        <x:v>11</x:v>
      </x:c>
      <x:c r="N351" s="134" t="n">
        <x:v>1</x:v>
      </x:c>
      <x:c r="O351" s="134" t="str">
        <x:v>deserta</x:v>
      </x:c>
      <x:c r="P351" s="134" t="str">
        <x:v>train</x:v>
      </x:c>
      <x:c r="Q351" s="134" t="str">
        <x:v>synthetic_scientific</x:v>
      </x:c>
      <x:c r="R351" s="135" t="str">
        <x:v>BLENKIR_V6_SYNTH_20260924</x:v>
      </x:c>
    </x:row>
    <x:row r="352" ht="32" customHeight="1">
      <x:c r="A352" s="133" t="str">
        <x:v>EST-0194</x:v>
      </x:c>
      <x:c r="B352" s="134" t="str">
        <x:v>EST-0194-T2</x:v>
      </x:c>
      <x:c r="C352" s="134" t="str">
        <x:v>2026-09-21</x:v>
      </x:c>
      <x:c r="D352" s="134" t="str">
        <x:v>2026-12-15</x:v>
      </x:c>
      <x:c r="E352" s="134" t="n">
        <x:v>5</x:v>
      </x:c>
      <x:c r="F352" s="134" t="str">
        <x:v>5A</x:v>
      </x:c>
      <x:c r="G352" s="140" t="n">
        <x:v>14.28</x:v>
      </x:c>
      <x:c r="H352" s="140" t="n">
        <x:v>0</x:v>
      </x:c>
      <x:c r="I352" s="140" t="n">
        <x:v>86.82</x:v>
      </x:c>
      <x:c r="J352" s="140" t="n">
        <x:v>9.48</x:v>
      </x:c>
      <x:c r="K352" s="140" t="n">
        <x:v>16.16</x:v>
      </x:c>
      <x:c r="L352" s="140" t="n">
        <x:v>15</x:v>
      </x:c>
      <x:c r="M352" s="140" t="n">
        <x:v>11</x:v>
      </x:c>
      <x:c r="N352" s="134" t="n">
        <x:v>1</x:v>
      </x:c>
      <x:c r="O352" s="134" t="str">
        <x:v>deserta</x:v>
      </x:c>
      <x:c r="P352" s="134" t="str">
        <x:v>train</x:v>
      </x:c>
      <x:c r="Q352" s="134" t="str">
        <x:v>synthetic_scientific</x:v>
      </x:c>
      <x:c r="R352" s="135" t="str">
        <x:v>BLENKIR_V6_SYNTH_20260924</x:v>
      </x:c>
    </x:row>
    <x:row r="353" ht="32" customHeight="1">
      <x:c r="A353" s="133" t="str">
        <x:v>EST-0195</x:v>
      </x:c>
      <x:c r="B353" s="134" t="str">
        <x:v>EST-0195-T1</x:v>
      </x:c>
      <x:c r="C353" s="134" t="str">
        <x:v>2026-07-31</x:v>
      </x:c>
      <x:c r="D353" s="134" t="str">
        <x:v>2026-12-15</x:v>
      </x:c>
      <x:c r="E353" s="134" t="n">
        <x:v>5</x:v>
      </x:c>
      <x:c r="F353" s="134" t="str">
        <x:v>5A</x:v>
      </x:c>
      <x:c r="G353" s="140" t="n">
        <x:v>14.5</x:v>
      </x:c>
      <x:c r="H353" s="140" t="n">
        <x:v>0</x:v>
      </x:c>
      <x:c r="I353" s="140" t="n">
        <x:v>93.55</x:v>
      </x:c>
      <x:c r="J353" s="140" t="n">
        <x:v>7.29</x:v>
      </x:c>
      <x:c r="K353" s="140" t="n">
        <x:v>14.84</x:v>
      </x:c>
      <x:c r="L353" s="140" t="n">
        <x:v>13</x:v>
      </x:c>
      <x:c r="M353" s="140" t="n">
        <x:v>8</x:v>
      </x:c>
      <x:c r="N353" s="134" t="n">
        <x:v>0</x:v>
      </x:c>
      <x:c r="O353" s="134" t="str">
        <x:v>permanece</x:v>
      </x:c>
      <x:c r="P353" s="134" t="str">
        <x:v>train</x:v>
      </x:c>
      <x:c r="Q353" s="134" t="str">
        <x:v>synthetic_scientific</x:v>
      </x:c>
      <x:c r="R353" s="135" t="str">
        <x:v>BLENKIR_V6_SYNTH_20260924</x:v>
      </x:c>
    </x:row>
    <x:row r="354" ht="32" customHeight="1">
      <x:c r="A354" s="133" t="str">
        <x:v>EST-0195</x:v>
      </x:c>
      <x:c r="B354" s="134" t="str">
        <x:v>EST-0195-T2</x:v>
      </x:c>
      <x:c r="C354" s="134" t="str">
        <x:v>2026-09-21</x:v>
      </x:c>
      <x:c r="D354" s="134" t="str">
        <x:v>2026-12-15</x:v>
      </x:c>
      <x:c r="E354" s="134" t="n">
        <x:v>5</x:v>
      </x:c>
      <x:c r="F354" s="134" t="str">
        <x:v>5A</x:v>
      </x:c>
      <x:c r="G354" s="140" t="n">
        <x:v>14.75</x:v>
      </x:c>
      <x:c r="H354" s="140" t="n">
        <x:v>0</x:v>
      </x:c>
      <x:c r="I354" s="140" t="n">
        <x:v>92.96</x:v>
      </x:c>
      <x:c r="J354" s="140" t="n">
        <x:v>7.33</x:v>
      </x:c>
      <x:c r="K354" s="140" t="n">
        <x:v>14.35</x:v>
      </x:c>
      <x:c r="L354" s="140" t="n">
        <x:v>14</x:v>
      </x:c>
      <x:c r="M354" s="140" t="n">
        <x:v>9</x:v>
      </x:c>
      <x:c r="N354" s="134" t="n">
        <x:v>0</x:v>
      </x:c>
      <x:c r="O354" s="134" t="str">
        <x:v>permanece</x:v>
      </x:c>
      <x:c r="P354" s="134" t="str">
        <x:v>train</x:v>
      </x:c>
      <x:c r="Q354" s="134" t="str">
        <x:v>synthetic_scientific</x:v>
      </x:c>
      <x:c r="R354" s="135" t="str">
        <x:v>BLENKIR_V6_SYNTH_20260924</x:v>
      </x:c>
    </x:row>
    <x:row r="355" ht="32" customHeight="1">
      <x:c r="A355" s="133" t="str">
        <x:v>EST-0196</x:v>
      </x:c>
      <x:c r="B355" s="134" t="str">
        <x:v>EST-0196-T1</x:v>
      </x:c>
      <x:c r="C355" s="134" t="str">
        <x:v>2026-07-31</x:v>
      </x:c>
      <x:c r="D355" s="134" t="str">
        <x:v>2026-12-15</x:v>
      </x:c>
      <x:c r="E355" s="134" t="n">
        <x:v>5</x:v>
      </x:c>
      <x:c r="F355" s="134" t="str">
        <x:v>5B</x:v>
      </x:c>
      <x:c r="G355" s="140" t="n">
        <x:v>13.27</x:v>
      </x:c>
      <x:c r="H355" s="140" t="n">
        <x:v>0</x:v>
      </x:c>
      <x:c r="I355" s="140" t="n">
        <x:v>97.53</x:v>
      </x:c>
      <x:c r="J355" s="140" t="n">
        <x:v>5.23</x:v>
      </x:c>
      <x:c r="K355" s="140" t="n">
        <x:v>14.11</x:v>
      </x:c>
      <x:c r="L355" s="140" t="n">
        <x:v>15</x:v>
      </x:c>
      <x:c r="M355" s="140" t="n">
        <x:v>12</x:v>
      </x:c>
      <x:c r="N355" s="134" t="n">
        <x:v>0</x:v>
      </x:c>
      <x:c r="O355" s="134" t="str">
        <x:v>permanece</x:v>
      </x:c>
      <x:c r="P355" s="134" t="str">
        <x:v>holdout</x:v>
      </x:c>
      <x:c r="Q355" s="134" t="str">
        <x:v>synthetic_scientific</x:v>
      </x:c>
      <x:c r="R355" s="135" t="str">
        <x:v>BLENKIR_V6_SYNTH_20260924</x:v>
      </x:c>
    </x:row>
    <x:row r="356" ht="32" customHeight="1">
      <x:c r="A356" s="133" t="str">
        <x:v>EST-0196</x:v>
      </x:c>
      <x:c r="B356" s="134" t="str">
        <x:v>EST-0196-T2</x:v>
      </x:c>
      <x:c r="C356" s="134" t="str">
        <x:v>2026-09-21</x:v>
      </x:c>
      <x:c r="D356" s="134" t="str">
        <x:v>2026-12-15</x:v>
      </x:c>
      <x:c r="E356" s="134" t="n">
        <x:v>5</x:v>
      </x:c>
      <x:c r="F356" s="134" t="str">
        <x:v>5B</x:v>
      </x:c>
      <x:c r="G356" s="140" t="n">
        <x:v>13.12</x:v>
      </x:c>
      <x:c r="H356" s="140" t="n">
        <x:v>0</x:v>
      </x:c>
      <x:c r="I356" s="140" t="n">
        <x:v>94.08</x:v>
      </x:c>
      <x:c r="J356" s="140" t="n">
        <x:v>6.45</x:v>
      </x:c>
      <x:c r="K356" s="140" t="n">
        <x:v>13.9</x:v>
      </x:c>
      <x:c r="L356" s="140" t="n">
        <x:v>14</x:v>
      </x:c>
      <x:c r="M356" s="140" t="n">
        <x:v>13</x:v>
      </x:c>
      <x:c r="N356" s="134" t="n">
        <x:v>0</x:v>
      </x:c>
      <x:c r="O356" s="134" t="str">
        <x:v>permanece</x:v>
      </x:c>
      <x:c r="P356" s="134" t="str">
        <x:v>holdout</x:v>
      </x:c>
      <x:c r="Q356" s="134" t="str">
        <x:v>synthetic_scientific</x:v>
      </x:c>
      <x:c r="R356" s="135" t="str">
        <x:v>BLENKIR_V6_SYNTH_20260924</x:v>
      </x:c>
    </x:row>
    <x:row r="357" ht="32" customHeight="1">
      <x:c r="A357" s="133" t="str">
        <x:v>EST-0197</x:v>
      </x:c>
      <x:c r="B357" s="134" t="str">
        <x:v>EST-0197-T1</x:v>
      </x:c>
      <x:c r="C357" s="134" t="str">
        <x:v>2026-07-31</x:v>
      </x:c>
      <x:c r="D357" s="134" t="str">
        <x:v>2026-12-15</x:v>
      </x:c>
      <x:c r="E357" s="134" t="n">
        <x:v>5</x:v>
      </x:c>
      <x:c r="F357" s="134" t="str">
        <x:v>5B</x:v>
      </x:c>
      <x:c r="G357" s="140" t="n">
        <x:v>14.53</x:v>
      </x:c>
      <x:c r="H357" s="140" t="n">
        <x:v>0</x:v>
      </x:c>
      <x:c r="I357" s="140" t="n">
        <x:v>95.16</x:v>
      </x:c>
      <x:c r="J357" s="140" t="n">
        <x:v>7.11</x:v>
      </x:c>
      <x:c r="K357" s="140" t="n">
        <x:v>15.24</x:v>
      </x:c>
      <x:c r="L357" s="140" t="n">
        <x:v>13</x:v>
      </x:c>
      <x:c r="M357" s="140" t="n">
        <x:v>8</x:v>
      </x:c>
      <x:c r="N357" s="134" t="n">
        <x:v>0</x:v>
      </x:c>
      <x:c r="O357" s="134" t="str">
        <x:v>permanece</x:v>
      </x:c>
      <x:c r="P357" s="134" t="str">
        <x:v>train</x:v>
      </x:c>
      <x:c r="Q357" s="134" t="str">
        <x:v>synthetic_scientific</x:v>
      </x:c>
      <x:c r="R357" s="135" t="str">
        <x:v>BLENKIR_V6_SYNTH_20260924</x:v>
      </x:c>
    </x:row>
    <x:row r="358" ht="32" customHeight="1">
      <x:c r="A358" s="133" t="str">
        <x:v>EST-0197</x:v>
      </x:c>
      <x:c r="B358" s="134" t="str">
        <x:v>EST-0197-T2</x:v>
      </x:c>
      <x:c r="C358" s="134" t="str">
        <x:v>2026-09-21</x:v>
      </x:c>
      <x:c r="D358" s="134" t="str">
        <x:v>2026-12-15</x:v>
      </x:c>
      <x:c r="E358" s="134" t="n">
        <x:v>5</x:v>
      </x:c>
      <x:c r="F358" s="134" t="str">
        <x:v>5B</x:v>
      </x:c>
      <x:c r="G358" s="140" t="n">
        <x:v>14.32</x:v>
      </x:c>
      <x:c r="H358" s="140" t="n">
        <x:v>0</x:v>
      </x:c>
      <x:c r="I358" s="140" t="n">
        <x:v>90.5</x:v>
      </x:c>
      <x:c r="J358" s="140" t="n">
        <x:v>7.23</x:v>
      </x:c>
      <x:c r="K358" s="140" t="n">
        <x:v>14.19</x:v>
      </x:c>
      <x:c r="L358" s="140" t="n">
        <x:v>16</x:v>
      </x:c>
      <x:c r="M358" s="140" t="n">
        <x:v>10</x:v>
      </x:c>
      <x:c r="N358" s="134" t="n">
        <x:v>0</x:v>
      </x:c>
      <x:c r="O358" s="134" t="str">
        <x:v>permanece</x:v>
      </x:c>
      <x:c r="P358" s="134" t="str">
        <x:v>train</x:v>
      </x:c>
      <x:c r="Q358" s="134" t="str">
        <x:v>synthetic_scientific</x:v>
      </x:c>
      <x:c r="R358" s="135" t="str">
        <x:v>BLENKIR_V6_SYNTH_20260924</x:v>
      </x:c>
    </x:row>
    <x:row r="359" ht="32" customHeight="1">
      <x:c r="A359" s="133" t="str">
        <x:v>EST-0198</x:v>
      </x:c>
      <x:c r="B359" s="134" t="str">
        <x:v>EST-0198-T1</x:v>
      </x:c>
      <x:c r="C359" s="134" t="str">
        <x:v>2026-07-31</x:v>
      </x:c>
      <x:c r="D359" s="134" t="str">
        <x:v>2026-12-15</x:v>
      </x:c>
      <x:c r="E359" s="134" t="n">
        <x:v>5</x:v>
      </x:c>
      <x:c r="F359" s="134" t="str">
        <x:v>5B</x:v>
      </x:c>
      <x:c r="G359" s="140" t="n">
        <x:v>15.26</x:v>
      </x:c>
      <x:c r="H359" s="140" t="n">
        <x:v>0</x:v>
      </x:c>
      <x:c r="I359" s="140" t="n">
        <x:v>90.14</x:v>
      </x:c>
      <x:c r="J359" s="140" t="n">
        <x:v>5.43</x:v>
      </x:c>
      <x:c r="K359" s="140" t="n">
        <x:v>14.91</x:v>
      </x:c>
      <x:c r="L359" s="140" t="n">
        <x:v>12</x:v>
      </x:c>
      <x:c r="M359" s="140" t="n">
        <x:v>8</x:v>
      </x:c>
      <x:c r="N359" s="134" t="n">
        <x:v>0</x:v>
      </x:c>
      <x:c r="O359" s="134" t="str">
        <x:v>permanece</x:v>
      </x:c>
      <x:c r="P359" s="134" t="str">
        <x:v>train</x:v>
      </x:c>
      <x:c r="Q359" s="134" t="str">
        <x:v>synthetic_scientific</x:v>
      </x:c>
      <x:c r="R359" s="135" t="str">
        <x:v>BLENKIR_V6_SYNTH_20260924</x:v>
      </x:c>
    </x:row>
    <x:row r="360" ht="32" customHeight="1">
      <x:c r="A360" s="133" t="str">
        <x:v>EST-0198</x:v>
      </x:c>
      <x:c r="B360" s="134" t="str">
        <x:v>EST-0198-T2</x:v>
      </x:c>
      <x:c r="C360" s="134" t="str">
        <x:v>2026-09-21</x:v>
      </x:c>
      <x:c r="D360" s="134" t="str">
        <x:v>2026-12-15</x:v>
      </x:c>
      <x:c r="E360" s="134" t="n">
        <x:v>5</x:v>
      </x:c>
      <x:c r="F360" s="134" t="str">
        <x:v>5B</x:v>
      </x:c>
      <x:c r="G360" s="140" t="n">
        <x:v>13.44</x:v>
      </x:c>
      <x:c r="H360" s="140" t="n">
        <x:v>0</x:v>
      </x:c>
      <x:c r="I360" s="140" t="n">
        <x:v>89.91</x:v>
      </x:c>
      <x:c r="J360" s="140" t="n">
        <x:v>4.18</x:v>
      </x:c>
      <x:c r="K360" s="140" t="n">
        <x:v>10.01</x:v>
      </x:c>
      <x:c r="L360" s="140" t="n">
        <x:v>10</x:v>
      </x:c>
      <x:c r="M360" s="140" t="n">
        <x:v>8</x:v>
      </x:c>
      <x:c r="N360" s="134" t="n">
        <x:v>0</x:v>
      </x:c>
      <x:c r="O360" s="134" t="str">
        <x:v>permanece</x:v>
      </x:c>
      <x:c r="P360" s="134" t="str">
        <x:v>train</x:v>
      </x:c>
      <x:c r="Q360" s="134" t="str">
        <x:v>synthetic_scientific</x:v>
      </x:c>
      <x:c r="R360" s="135" t="str">
        <x:v>BLENKIR_V6_SYNTH_20260924</x:v>
      </x:c>
    </x:row>
    <x:row r="361" ht="32" customHeight="1">
      <x:c r="A361" s="133" t="str">
        <x:v>EST-0199</x:v>
      </x:c>
      <x:c r="B361" s="134" t="str">
        <x:v>EST-0199-T1</x:v>
      </x:c>
      <x:c r="C361" s="134" t="str">
        <x:v>2026-07-31</x:v>
      </x:c>
      <x:c r="D361" s="134" t="str">
        <x:v>2026-12-15</x:v>
      </x:c>
      <x:c r="E361" s="134" t="n">
        <x:v>5</x:v>
      </x:c>
      <x:c r="F361" s="134" t="str">
        <x:v>5B</x:v>
      </x:c>
      <x:c r="G361" s="140" t="n">
        <x:v>14.76</x:v>
      </x:c>
      <x:c r="H361" s="140" t="n">
        <x:v>0</x:v>
      </x:c>
      <x:c r="I361" s="140" t="n">
        <x:v>92.33</x:v>
      </x:c>
      <x:c r="J361" s="140" t="n">
        <x:v>4.87</x:v>
      </x:c>
      <x:c r="K361" s="140" t="n">
        <x:v>11.52</x:v>
      </x:c>
      <x:c r="L361" s="140" t="n">
        <x:v>11</x:v>
      </x:c>
      <x:c r="M361" s="140" t="n">
        <x:v>10</x:v>
      </x:c>
      <x:c r="N361" s="134" t="n">
        <x:v>0</x:v>
      </x:c>
      <x:c r="O361" s="134" t="str">
        <x:v>permanece</x:v>
      </x:c>
      <x:c r="P361" s="134" t="str">
        <x:v>train</x:v>
      </x:c>
      <x:c r="Q361" s="134" t="str">
        <x:v>synthetic_scientific</x:v>
      </x:c>
      <x:c r="R361" s="135" t="str">
        <x:v>BLENKIR_V6_SYNTH_20260924</x:v>
      </x:c>
    </x:row>
    <x:row r="362" ht="32" customHeight="1">
      <x:c r="A362" s="133" t="str">
        <x:v>EST-0199</x:v>
      </x:c>
      <x:c r="B362" s="134" t="str">
        <x:v>EST-0199-T2</x:v>
      </x:c>
      <x:c r="C362" s="134" t="str">
        <x:v>2026-09-21</x:v>
      </x:c>
      <x:c r="D362" s="134" t="str">
        <x:v>2026-12-15</x:v>
      </x:c>
      <x:c r="E362" s="134" t="n">
        <x:v>5</x:v>
      </x:c>
      <x:c r="F362" s="134" t="str">
        <x:v>5B</x:v>
      </x:c>
      <x:c r="G362" s="140" t="n">
        <x:v>14.24</x:v>
      </x:c>
      <x:c r="H362" s="140" t="n">
        <x:v>0</x:v>
      </x:c>
      <x:c r="I362" s="140" t="n">
        <x:v>93.53</x:v>
      </x:c>
      <x:c r="J362" s="140" t="n">
        <x:v>5.33</x:v>
      </x:c>
      <x:c r="K362" s="140" t="n">
        <x:v>12</x:v>
      </x:c>
      <x:c r="L362" s="140" t="n">
        <x:v>11</x:v>
      </x:c>
      <x:c r="M362" s="140" t="n">
        <x:v>10</x:v>
      </x:c>
      <x:c r="N362" s="134" t="n">
        <x:v>0</x:v>
      </x:c>
      <x:c r="O362" s="134" t="str">
        <x:v>permanece</x:v>
      </x:c>
      <x:c r="P362" s="134" t="str">
        <x:v>train</x:v>
      </x:c>
      <x:c r="Q362" s="134" t="str">
        <x:v>synthetic_scientific</x:v>
      </x:c>
      <x:c r="R362" s="135" t="str">
        <x:v>BLENKIR_V6_SYNTH_20260924</x:v>
      </x:c>
    </x:row>
    <x:row r="363" ht="32" customHeight="1">
      <x:c r="A363" s="133" t="str">
        <x:v>EST-0200</x:v>
      </x:c>
      <x:c r="B363" s="134" t="str">
        <x:v>EST-0200-T1</x:v>
      </x:c>
      <x:c r="C363" s="134" t="str">
        <x:v>2026-07-31</x:v>
      </x:c>
      <x:c r="D363" s="134" t="str">
        <x:v>2026-12-15</x:v>
      </x:c>
      <x:c r="E363" s="134" t="n">
        <x:v>5</x:v>
      </x:c>
      <x:c r="F363" s="134" t="str">
        <x:v>5B</x:v>
      </x:c>
      <x:c r="G363" s="140" t="n">
        <x:v>17.78</x:v>
      </x:c>
      <x:c r="H363" s="140" t="n">
        <x:v>1</x:v>
      </x:c>
      <x:c r="I363" s="140" t="n">
        <x:v>92.08</x:v>
      </x:c>
      <x:c r="J363" s="140" t="n">
        <x:v>9.48</x:v>
      </x:c>
      <x:c r="K363" s="140" t="n">
        <x:v>17.89</x:v>
      </x:c>
      <x:c r="L363" s="140" t="n">
        <x:v>17</x:v>
      </x:c>
      <x:c r="M363" s="140" t="n">
        <x:v>13</x:v>
      </x:c>
      <x:c r="N363" s="134" t="n">
        <x:v>0</x:v>
      </x:c>
      <x:c r="O363" s="134" t="str">
        <x:v>permanece</x:v>
      </x:c>
      <x:c r="P363" s="134" t="str">
        <x:v>train</x:v>
      </x:c>
      <x:c r="Q363" s="134" t="str">
        <x:v>synthetic_scientific</x:v>
      </x:c>
      <x:c r="R363" s="135" t="str">
        <x:v>BLENKIR_V6_SYNTH_20260924</x:v>
      </x:c>
    </x:row>
    <x:row r="364" ht="32" customHeight="1">
      <x:c r="A364" s="133" t="str">
        <x:v>EST-0200</x:v>
      </x:c>
      <x:c r="B364" s="134" t="str">
        <x:v>EST-0200-T2</x:v>
      </x:c>
      <x:c r="C364" s="134" t="str">
        <x:v>2026-09-21</x:v>
      </x:c>
      <x:c r="D364" s="134" t="str">
        <x:v>2026-12-15</x:v>
      </x:c>
      <x:c r="E364" s="134" t="n">
        <x:v>5</x:v>
      </x:c>
      <x:c r="F364" s="134" t="str">
        <x:v>5B</x:v>
      </x:c>
      <x:c r="G364" s="140" t="n">
        <x:v>17.52</x:v>
      </x:c>
      <x:c r="H364" s="140" t="n">
        <x:v>0</x:v>
      </x:c>
      <x:c r="I364" s="140" t="n">
        <x:v>91.76</x:v>
      </x:c>
      <x:c r="J364" s="140" t="n">
        <x:v>7.73</x:v>
      </x:c>
      <x:c r="K364" s="140" t="n">
        <x:v>14.67</x:v>
      </x:c>
      <x:c r="L364" s="140" t="n">
        <x:v>17</x:v>
      </x:c>
      <x:c r="M364" s="140" t="n">
        <x:v>14</x:v>
      </x:c>
      <x:c r="N364" s="134" t="n">
        <x:v>0</x:v>
      </x:c>
      <x:c r="O364" s="134" t="str">
        <x:v>permanece</x:v>
      </x:c>
      <x:c r="P364" s="134" t="str">
        <x:v>train</x:v>
      </x:c>
      <x:c r="Q364" s="134" t="str">
        <x:v>synthetic_scientific</x:v>
      </x:c>
      <x:c r="R364" s="135" t="str">
        <x:v>BLENKIR_V6_SYNTH_20260924</x:v>
      </x:c>
    </x:row>
    <x:row r="365" ht="32" customHeight="1">
      <x:c r="A365" s="133" t="str">
        <x:v>EST-0201</x:v>
      </x:c>
      <x:c r="B365" s="134" t="str">
        <x:v>EST-0201-T1</x:v>
      </x:c>
      <x:c r="C365" s="134" t="str">
        <x:v>2026-07-31</x:v>
      </x:c>
      <x:c r="D365" s="134" t="str">
        <x:v>2026-12-15</x:v>
      </x:c>
      <x:c r="E365" s="134" t="n">
        <x:v>5</x:v>
      </x:c>
      <x:c r="F365" s="134" t="str">
        <x:v>5B</x:v>
      </x:c>
      <x:c r="G365" s="140" t="n">
        <x:v>14.63</x:v>
      </x:c>
      <x:c r="H365" s="140" t="n">
        <x:v>0</x:v>
      </x:c>
      <x:c r="I365" s="140" t="n">
        <x:v>95.22</x:v>
      </x:c>
      <x:c r="J365" s="140" t="n">
        <x:v>9.24</x:v>
      </x:c>
      <x:c r="K365" s="140" t="n">
        <x:v>16.73</x:v>
      </x:c>
      <x:c r="L365" s="140" t="n">
        <x:v>12</x:v>
      </x:c>
      <x:c r="M365" s="140" t="n">
        <x:v>12</x:v>
      </x:c>
      <x:c r="N365" s="134" t="n">
        <x:v>1</x:v>
      </x:c>
      <x:c r="O365" s="134" t="str">
        <x:v>deserta</x:v>
      </x:c>
      <x:c r="P365" s="134" t="str">
        <x:v>train</x:v>
      </x:c>
      <x:c r="Q365" s="134" t="str">
        <x:v>synthetic_scientific</x:v>
      </x:c>
      <x:c r="R365" s="135" t="str">
        <x:v>BLENKIR_V6_SYNTH_20260924</x:v>
      </x:c>
    </x:row>
    <x:row r="366" ht="32" customHeight="1">
      <x:c r="A366" s="133" t="str">
        <x:v>EST-0201</x:v>
      </x:c>
      <x:c r="B366" s="134" t="str">
        <x:v>EST-0201-T2</x:v>
      </x:c>
      <x:c r="C366" s="134" t="str">
        <x:v>2026-09-21</x:v>
      </x:c>
      <x:c r="D366" s="134" t="str">
        <x:v>2026-12-15</x:v>
      </x:c>
      <x:c r="E366" s="134" t="n">
        <x:v>5</x:v>
      </x:c>
      <x:c r="F366" s="134" t="str">
        <x:v>5B</x:v>
      </x:c>
      <x:c r="G366" s="140" t="n">
        <x:v>14.65</x:v>
      </x:c>
      <x:c r="H366" s="140" t="n">
        <x:v>0</x:v>
      </x:c>
      <x:c r="I366" s="140" t="n">
        <x:v>93.61</x:v>
      </x:c>
      <x:c r="J366" s="140" t="n">
        <x:v>8.61</x:v>
      </x:c>
      <x:c r="K366" s="140" t="n">
        <x:v>16.1</x:v>
      </x:c>
      <x:c r="L366" s="140" t="n">
        <x:v>14</x:v>
      </x:c>
      <x:c r="M366" s="140" t="n">
        <x:v>11</x:v>
      </x:c>
      <x:c r="N366" s="134" t="n">
        <x:v>1</x:v>
      </x:c>
      <x:c r="O366" s="134" t="str">
        <x:v>deserta</x:v>
      </x:c>
      <x:c r="P366" s="134" t="str">
        <x:v>train</x:v>
      </x:c>
      <x:c r="Q366" s="134" t="str">
        <x:v>synthetic_scientific</x:v>
      </x:c>
      <x:c r="R366" s="135" t="str">
        <x:v>BLENKIR_V6_SYNTH_20260924</x:v>
      </x:c>
    </x:row>
    <x:row r="367" ht="32" customHeight="1">
      <x:c r="A367" s="133" t="str">
        <x:v>EST-0202</x:v>
      </x:c>
      <x:c r="B367" s="134" t="str">
        <x:v>EST-0202-T1</x:v>
      </x:c>
      <x:c r="C367" s="134" t="str">
        <x:v>2026-07-31</x:v>
      </x:c>
      <x:c r="D367" s="134" t="str">
        <x:v>2026-12-15</x:v>
      </x:c>
      <x:c r="E367" s="134" t="n">
        <x:v>5</x:v>
      </x:c>
      <x:c r="F367" s="134" t="str">
        <x:v>5B</x:v>
      </x:c>
      <x:c r="G367" s="140" t="n">
        <x:v>18.35</x:v>
      </x:c>
      <x:c r="H367" s="140" t="n">
        <x:v>0</x:v>
      </x:c>
      <x:c r="I367" s="140" t="n">
        <x:v>95.8</x:v>
      </x:c>
      <x:c r="J367" s="140" t="n">
        <x:v>9.79</x:v>
      </x:c>
      <x:c r="K367" s="140" t="n">
        <x:v>16.58</x:v>
      </x:c>
      <x:c r="L367" s="140" t="n">
        <x:v>14</x:v>
      </x:c>
      <x:c r="M367" s="140" t="n">
        <x:v>12</x:v>
      </x:c>
      <x:c r="N367" s="134" t="n">
        <x:v>0</x:v>
      </x:c>
      <x:c r="O367" s="134" t="str">
        <x:v>permanece</x:v>
      </x:c>
      <x:c r="P367" s="134" t="str">
        <x:v>holdout</x:v>
      </x:c>
      <x:c r="Q367" s="134" t="str">
        <x:v>synthetic_scientific</x:v>
      </x:c>
      <x:c r="R367" s="135" t="str">
        <x:v>BLENKIR_V6_SYNTH_20260924</x:v>
      </x:c>
    </x:row>
    <x:row r="368" ht="32" customHeight="1">
      <x:c r="A368" s="133" t="str">
        <x:v>EST-0202</x:v>
      </x:c>
      <x:c r="B368" s="134" t="str">
        <x:v>EST-0202-T2</x:v>
      </x:c>
      <x:c r="C368" s="134" t="str">
        <x:v>2026-09-21</x:v>
      </x:c>
      <x:c r="D368" s="134" t="str">
        <x:v>2026-12-15</x:v>
      </x:c>
      <x:c r="E368" s="134" t="n">
        <x:v>5</x:v>
      </x:c>
      <x:c r="F368" s="134" t="str">
        <x:v>5B</x:v>
      </x:c>
      <x:c r="G368" s="140" t="n">
        <x:v>17.99</x:v>
      </x:c>
      <x:c r="H368" s="140" t="n">
        <x:v>0</x:v>
      </x:c>
      <x:c r="I368" s="140" t="n">
        <x:v>94.94</x:v>
      </x:c>
      <x:c r="J368" s="140" t="n">
        <x:v>9.3</x:v>
      </x:c>
      <x:c r="K368" s="140" t="n">
        <x:v>20.85</x:v>
      </x:c>
      <x:c r="L368" s="140" t="n">
        <x:v>16</x:v>
      </x:c>
      <x:c r="M368" s="140" t="n">
        <x:v>12</x:v>
      </x:c>
      <x:c r="N368" s="134" t="n">
        <x:v>0</x:v>
      </x:c>
      <x:c r="O368" s="134" t="str">
        <x:v>permanece</x:v>
      </x:c>
      <x:c r="P368" s="134" t="str">
        <x:v>holdout</x:v>
      </x:c>
      <x:c r="Q368" s="134" t="str">
        <x:v>synthetic_scientific</x:v>
      </x:c>
      <x:c r="R368" s="135" t="str">
        <x:v>BLENKIR_V6_SYNTH_20260924</x:v>
      </x:c>
    </x:row>
    <x:row r="369" ht="32" customHeight="1">
      <x:c r="A369" s="133" t="str">
        <x:v>EST-0204</x:v>
      </x:c>
      <x:c r="B369" s="134" t="str">
        <x:v>EST-0204-T1</x:v>
      </x:c>
      <x:c r="C369" s="134" t="str">
        <x:v>2026-07-31</x:v>
      </x:c>
      <x:c r="D369" s="134" t="str">
        <x:v>2026-12-15</x:v>
      </x:c>
      <x:c r="E369" s="134" t="n">
        <x:v>5</x:v>
      </x:c>
      <x:c r="F369" s="134" t="str">
        <x:v>5B</x:v>
      </x:c>
      <x:c r="G369" s="140" t="n">
        <x:v>18.21</x:v>
      </x:c>
      <x:c r="H369" s="140" t="n">
        <x:v>0</x:v>
      </x:c>
      <x:c r="I369" s="140" t="n">
        <x:v>98.28</x:v>
      </x:c>
      <x:c r="J369" s="140" t="n">
        <x:v>9.78</x:v>
      </x:c>
      <x:c r="K369" s="140" t="n">
        <x:v>18.32</x:v>
      </x:c>
      <x:c r="L369" s="140" t="n">
        <x:v>14</x:v>
      </x:c>
      <x:c r="M369" s="140" t="n">
        <x:v>11</x:v>
      </x:c>
      <x:c r="N369" s="134" t="n">
        <x:v>0</x:v>
      </x:c>
      <x:c r="O369" s="134" t="str">
        <x:v>permanece</x:v>
      </x:c>
      <x:c r="P369" s="134" t="str">
        <x:v>holdout</x:v>
      </x:c>
      <x:c r="Q369" s="134" t="str">
        <x:v>synthetic_scientific</x:v>
      </x:c>
      <x:c r="R369" s="135" t="str">
        <x:v>BLENKIR_V6_SYNTH_20260924</x:v>
      </x:c>
    </x:row>
    <x:row r="370" ht="32" customHeight="1">
      <x:c r="A370" s="133" t="str">
        <x:v>EST-0204</x:v>
      </x:c>
      <x:c r="B370" s="134" t="str">
        <x:v>EST-0204-T2</x:v>
      </x:c>
      <x:c r="C370" s="134" t="str">
        <x:v>2026-09-21</x:v>
      </x:c>
      <x:c r="D370" s="134" t="str">
        <x:v>2026-12-15</x:v>
      </x:c>
      <x:c r="E370" s="134" t="n">
        <x:v>5</x:v>
      </x:c>
      <x:c r="F370" s="134" t="str">
        <x:v>5B</x:v>
      </x:c>
      <x:c r="G370" s="140" t="n">
        <x:v>16.72</x:v>
      </x:c>
      <x:c r="H370" s="140" t="n">
        <x:v>0</x:v>
      </x:c>
      <x:c r="I370" s="140" t="n">
        <x:v>94.82</x:v>
      </x:c>
      <x:c r="J370" s="140" t="n">
        <x:v>9.17</x:v>
      </x:c>
      <x:c r="K370" s="140" t="n">
        <x:v>17.27</x:v>
      </x:c>
      <x:c r="L370" s="140" t="n">
        <x:v>14</x:v>
      </x:c>
      <x:c r="M370" s="140" t="n">
        <x:v>11</x:v>
      </x:c>
      <x:c r="N370" s="134" t="n">
        <x:v>0</x:v>
      </x:c>
      <x:c r="O370" s="134" t="str">
        <x:v>permanece</x:v>
      </x:c>
      <x:c r="P370" s="134" t="str">
        <x:v>holdout</x:v>
      </x:c>
      <x:c r="Q370" s="134" t="str">
        <x:v>synthetic_scientific</x:v>
      </x:c>
      <x:c r="R370" s="135" t="str">
        <x:v>BLENKIR_V6_SYNTH_20260924</x:v>
      </x:c>
    </x:row>
    <x:row r="371" ht="32" customHeight="1">
      <x:c r="A371" s="133" t="str">
        <x:v>EST-0205</x:v>
      </x:c>
      <x:c r="B371" s="134" t="str">
        <x:v>EST-0205-T1</x:v>
      </x:c>
      <x:c r="C371" s="134" t="str">
        <x:v>2026-07-31</x:v>
      </x:c>
      <x:c r="D371" s="134" t="str">
        <x:v>2026-12-15</x:v>
      </x:c>
      <x:c r="E371" s="134" t="n">
        <x:v>5</x:v>
      </x:c>
      <x:c r="F371" s="134" t="str">
        <x:v>5B</x:v>
      </x:c>
      <x:c r="G371" s="140" t="n">
        <x:v>14.31</x:v>
      </x:c>
      <x:c r="H371" s="140" t="n">
        <x:v>0</x:v>
      </x:c>
      <x:c r="I371" s="140" t="n">
        <x:v>92.97</x:v>
      </x:c>
      <x:c r="J371" s="140" t="n">
        <x:v>6.49</x:v>
      </x:c>
      <x:c r="K371" s="140" t="n">
        <x:v>17.95</x:v>
      </x:c>
      <x:c r="L371" s="140" t="n">
        <x:v>9</x:v>
      </x:c>
      <x:c r="M371" s="140" t="n">
        <x:v>11</x:v>
      </x:c>
      <x:c r="N371" s="134" t="n">
        <x:v>0</x:v>
      </x:c>
      <x:c r="O371" s="134" t="str">
        <x:v>permanece</x:v>
      </x:c>
      <x:c r="P371" s="134" t="str">
        <x:v>train</x:v>
      </x:c>
      <x:c r="Q371" s="134" t="str">
        <x:v>synthetic_scientific</x:v>
      </x:c>
      <x:c r="R371" s="135" t="str">
        <x:v>BLENKIR_V6_SYNTH_20260924</x:v>
      </x:c>
    </x:row>
    <x:row r="372" ht="32" customHeight="1">
      <x:c r="A372" s="133" t="str">
        <x:v>EST-0205</x:v>
      </x:c>
      <x:c r="B372" s="134" t="str">
        <x:v>EST-0205-T2</x:v>
      </x:c>
      <x:c r="C372" s="134" t="str">
        <x:v>2026-09-21</x:v>
      </x:c>
      <x:c r="D372" s="134" t="str">
        <x:v>2026-12-15</x:v>
      </x:c>
      <x:c r="E372" s="134" t="n">
        <x:v>5</x:v>
      </x:c>
      <x:c r="F372" s="134" t="str">
        <x:v>5B</x:v>
      </x:c>
      <x:c r="G372" s="140" t="n">
        <x:v>14.78</x:v>
      </x:c>
      <x:c r="H372" s="140" t="n">
        <x:v>0</x:v>
      </x:c>
      <x:c r="I372" s="140" t="n">
        <x:v>93.31</x:v>
      </x:c>
      <x:c r="J372" s="140" t="n">
        <x:v>5.75</x:v>
      </x:c>
      <x:c r="K372" s="140" t="n">
        <x:v>13.9</x:v>
      </x:c>
      <x:c r="L372" s="140" t="n">
        <x:v>11</x:v>
      </x:c>
      <x:c r="M372" s="140" t="n">
        <x:v>11</x:v>
      </x:c>
      <x:c r="N372" s="134" t="n">
        <x:v>0</x:v>
      </x:c>
      <x:c r="O372" s="134" t="str">
        <x:v>permanece</x:v>
      </x:c>
      <x:c r="P372" s="134" t="str">
        <x:v>train</x:v>
      </x:c>
      <x:c r="Q372" s="134" t="str">
        <x:v>synthetic_scientific</x:v>
      </x:c>
      <x:c r="R372" s="135" t="str">
        <x:v>BLENKIR_V6_SYNTH_20260924</x:v>
      </x:c>
    </x:row>
    <x:row r="373" ht="32" customHeight="1">
      <x:c r="A373" s="133" t="str">
        <x:v>EST-0206</x:v>
      </x:c>
      <x:c r="B373" s="134" t="str">
        <x:v>EST-0206-T1</x:v>
      </x:c>
      <x:c r="C373" s="134" t="str">
        <x:v>2026-07-31</x:v>
      </x:c>
      <x:c r="D373" s="134" t="str">
        <x:v>2026-12-15</x:v>
      </x:c>
      <x:c r="E373" s="134" t="n">
        <x:v>5</x:v>
      </x:c>
      <x:c r="F373" s="134" t="str">
        <x:v>5B</x:v>
      </x:c>
      <x:c r="G373" s="140" t="n">
        <x:v>17.42</x:v>
      </x:c>
      <x:c r="H373" s="140" t="n">
        <x:v>0</x:v>
      </x:c>
      <x:c r="I373" s="140" t="n">
        <x:v>85.78</x:v>
      </x:c>
      <x:c r="J373" s="140" t="n">
        <x:v>6.52</x:v>
      </x:c>
      <x:c r="K373" s="140" t="n">
        <x:v>13.63</x:v>
      </x:c>
      <x:c r="L373" s="140" t="n">
        <x:v>13</x:v>
      </x:c>
      <x:c r="M373" s="140" t="n">
        <x:v>7</x:v>
      </x:c>
      <x:c r="N373" s="134" t="n">
        <x:v>1</x:v>
      </x:c>
      <x:c r="O373" s="134" t="str">
        <x:v>deserta</x:v>
      </x:c>
      <x:c r="P373" s="134" t="str">
        <x:v>train</x:v>
      </x:c>
      <x:c r="Q373" s="134" t="str">
        <x:v>synthetic_scientific</x:v>
      </x:c>
      <x:c r="R373" s="135" t="str">
        <x:v>BLENKIR_V6_SYNTH_20260924</x:v>
      </x:c>
    </x:row>
    <x:row r="374" ht="32" customHeight="1">
      <x:c r="A374" s="133" t="str">
        <x:v>EST-0206</x:v>
      </x:c>
      <x:c r="B374" s="134" t="str">
        <x:v>EST-0206-T2</x:v>
      </x:c>
      <x:c r="C374" s="134" t="str">
        <x:v>2026-09-21</x:v>
      </x:c>
      <x:c r="D374" s="134" t="str">
        <x:v>2026-12-15</x:v>
      </x:c>
      <x:c r="E374" s="134" t="n">
        <x:v>5</x:v>
      </x:c>
      <x:c r="F374" s="134" t="str">
        <x:v>5B</x:v>
      </x:c>
      <x:c r="G374" s="140" t="n">
        <x:v>17.61</x:v>
      </x:c>
      <x:c r="H374" s="140" t="n">
        <x:v>0</x:v>
      </x:c>
      <x:c r="I374" s="140" t="n">
        <x:v>88.68</x:v>
      </x:c>
      <x:c r="J374" s="140" t="n">
        <x:v>7.02</x:v>
      </x:c>
      <x:c r="K374" s="140" t="n">
        <x:v>13.17</x:v>
      </x:c>
      <x:c r="L374" s="140" t="n">
        <x:v>13</x:v>
      </x:c>
      <x:c r="M374" s="140" t="n">
        <x:v>8</x:v>
      </x:c>
      <x:c r="N374" s="134" t="n">
        <x:v>1</x:v>
      </x:c>
      <x:c r="O374" s="134" t="str">
        <x:v>deserta</x:v>
      </x:c>
      <x:c r="P374" s="134" t="str">
        <x:v>train</x:v>
      </x:c>
      <x:c r="Q374" s="134" t="str">
        <x:v>synthetic_scientific</x:v>
      </x:c>
      <x:c r="R374" s="135" t="str">
        <x:v>BLENKIR_V6_SYNTH_20260924</x:v>
      </x:c>
    </x:row>
    <x:row r="375" ht="32" customHeight="1">
      <x:c r="A375" s="133" t="str">
        <x:v>EST-0207</x:v>
      </x:c>
      <x:c r="B375" s="134" t="str">
        <x:v>EST-0207-T1</x:v>
      </x:c>
      <x:c r="C375" s="134" t="str">
        <x:v>2026-07-31</x:v>
      </x:c>
      <x:c r="D375" s="134" t="str">
        <x:v>2026-12-15</x:v>
      </x:c>
      <x:c r="E375" s="134" t="n">
        <x:v>5</x:v>
      </x:c>
      <x:c r="F375" s="134" t="str">
        <x:v>5C</x:v>
      </x:c>
      <x:c r="G375" s="140" t="n">
        <x:v>16.72</x:v>
      </x:c>
      <x:c r="H375" s="140" t="n">
        <x:v>0</x:v>
      </x:c>
      <x:c r="I375" s="140" t="n">
        <x:v>90.05</x:v>
      </x:c>
      <x:c r="J375" s="140" t="n">
        <x:v>5.08</x:v>
      </x:c>
      <x:c r="K375" s="140" t="n">
        <x:v>11.24</x:v>
      </x:c>
      <x:c r="L375" s="140" t="n">
        <x:v>14</x:v>
      </x:c>
      <x:c r="M375" s="140" t="n">
        <x:v>9</x:v>
      </x:c>
      <x:c r="N375" s="134" t="n">
        <x:v>0</x:v>
      </x:c>
      <x:c r="O375" s="134" t="str">
        <x:v>permanece</x:v>
      </x:c>
      <x:c r="P375" s="134" t="str">
        <x:v>train</x:v>
      </x:c>
      <x:c r="Q375" s="134" t="str">
        <x:v>synthetic_scientific</x:v>
      </x:c>
      <x:c r="R375" s="135" t="str">
        <x:v>BLENKIR_V6_SYNTH_20260924</x:v>
      </x:c>
    </x:row>
    <x:row r="376" ht="32" customHeight="1">
      <x:c r="A376" s="133" t="str">
        <x:v>EST-0207</x:v>
      </x:c>
      <x:c r="B376" s="134" t="str">
        <x:v>EST-0207-T2</x:v>
      </x:c>
      <x:c r="C376" s="134" t="str">
        <x:v>2026-09-21</x:v>
      </x:c>
      <x:c r="D376" s="134" t="str">
        <x:v>2026-12-15</x:v>
      </x:c>
      <x:c r="E376" s="134" t="n">
        <x:v>5</x:v>
      </x:c>
      <x:c r="F376" s="134" t="str">
        <x:v>5C</x:v>
      </x:c>
      <x:c r="G376" s="140" t="n">
        <x:v>14.92</x:v>
      </x:c>
      <x:c r="H376" s="140" t="n">
        <x:v>0</x:v>
      </x:c>
      <x:c r="I376" s="140" t="n">
        <x:v>90.4</x:v>
      </x:c>
      <x:c r="J376" s="140" t="n">
        <x:v>4.84</x:v>
      </x:c>
      <x:c r="K376" s="140" t="n">
        <x:v>8.77</x:v>
      </x:c>
      <x:c r="L376" s="140" t="n">
        <x:v>12</x:v>
      </x:c>
      <x:c r="M376" s="140" t="n">
        <x:v>7</x:v>
      </x:c>
      <x:c r="N376" s="134" t="n">
        <x:v>0</x:v>
      </x:c>
      <x:c r="O376" s="134" t="str">
        <x:v>permanece</x:v>
      </x:c>
      <x:c r="P376" s="134" t="str">
        <x:v>train</x:v>
      </x:c>
      <x:c r="Q376" s="134" t="str">
        <x:v>synthetic_scientific</x:v>
      </x:c>
      <x:c r="R376" s="135" t="str">
        <x:v>BLENKIR_V6_SYNTH_20260924</x:v>
      </x:c>
    </x:row>
    <x:row r="377" ht="32" customHeight="1">
      <x:c r="A377" s="133" t="str">
        <x:v>EST-0208</x:v>
      </x:c>
      <x:c r="B377" s="134" t="str">
        <x:v>EST-0208-T1</x:v>
      </x:c>
      <x:c r="C377" s="134" t="str">
        <x:v>2026-07-31</x:v>
      </x:c>
      <x:c r="D377" s="134" t="str">
        <x:v>2026-12-15</x:v>
      </x:c>
      <x:c r="E377" s="134" t="n">
        <x:v>5</x:v>
      </x:c>
      <x:c r="F377" s="134" t="str">
        <x:v>5C</x:v>
      </x:c>
      <x:c r="G377" s="140" t="n">
        <x:v>14.2</x:v>
      </x:c>
      <x:c r="H377" s="140" t="n">
        <x:v>0</x:v>
      </x:c>
      <x:c r="I377" s="140" t="n">
        <x:v>95.8</x:v>
      </x:c>
      <x:c r="J377" s="140" t="n">
        <x:v>6.74</x:v>
      </x:c>
      <x:c r="K377" s="140" t="n">
        <x:v>13.17</x:v>
      </x:c>
      <x:c r="L377" s="140" t="n">
        <x:v>14</x:v>
      </x:c>
      <x:c r="M377" s="140" t="n">
        <x:v>9</x:v>
      </x:c>
      <x:c r="N377" s="134" t="n">
        <x:v>0</x:v>
      </x:c>
      <x:c r="O377" s="134" t="str">
        <x:v>permanece</x:v>
      </x:c>
      <x:c r="P377" s="134" t="str">
        <x:v>holdout</x:v>
      </x:c>
      <x:c r="Q377" s="134" t="str">
        <x:v>synthetic_scientific</x:v>
      </x:c>
      <x:c r="R377" s="135" t="str">
        <x:v>BLENKIR_V6_SYNTH_20260924</x:v>
      </x:c>
    </x:row>
    <x:row r="378" ht="32" customHeight="1">
      <x:c r="A378" s="133" t="str">
        <x:v>EST-0208</x:v>
      </x:c>
      <x:c r="B378" s="134" t="str">
        <x:v>EST-0208-T2</x:v>
      </x:c>
      <x:c r="C378" s="134" t="str">
        <x:v>2026-09-21</x:v>
      </x:c>
      <x:c r="D378" s="134" t="str">
        <x:v>2026-12-15</x:v>
      </x:c>
      <x:c r="E378" s="134" t="n">
        <x:v>5</x:v>
      </x:c>
      <x:c r="F378" s="134" t="str">
        <x:v>5C</x:v>
      </x:c>
      <x:c r="G378" s="140" t="n">
        <x:v>14.79</x:v>
      </x:c>
      <x:c r="H378" s="140" t="n">
        <x:v>0</x:v>
      </x:c>
      <x:c r="I378" s="140" t="n">
        <x:v>99.5</x:v>
      </x:c>
      <x:c r="J378" s="140" t="n">
        <x:v>6.3</x:v>
      </x:c>
      <x:c r="K378" s="140" t="n">
        <x:v>12.88</x:v>
      </x:c>
      <x:c r="L378" s="140" t="n">
        <x:v>14</x:v>
      </x:c>
      <x:c r="M378" s="140" t="n">
        <x:v>10</x:v>
      </x:c>
      <x:c r="N378" s="134" t="n">
        <x:v>0</x:v>
      </x:c>
      <x:c r="O378" s="134" t="str">
        <x:v>permanece</x:v>
      </x:c>
      <x:c r="P378" s="134" t="str">
        <x:v>holdout</x:v>
      </x:c>
      <x:c r="Q378" s="134" t="str">
        <x:v>synthetic_scientific</x:v>
      </x:c>
      <x:c r="R378" s="135" t="str">
        <x:v>BLENKIR_V6_SYNTH_20260924</x:v>
      </x:c>
    </x:row>
    <x:row r="379" ht="32" customHeight="1">
      <x:c r="A379" s="133" t="str">
        <x:v>EST-0209</x:v>
      </x:c>
      <x:c r="B379" s="134" t="str">
        <x:v>EST-0209-T1</x:v>
      </x:c>
      <x:c r="C379" s="134" t="str">
        <x:v>2026-07-31</x:v>
      </x:c>
      <x:c r="D379" s="134" t="str">
        <x:v>2026-12-15</x:v>
      </x:c>
      <x:c r="E379" s="134" t="n">
        <x:v>5</x:v>
      </x:c>
      <x:c r="F379" s="134" t="str">
        <x:v>5C</x:v>
      </x:c>
      <x:c r="G379" s="140" t="n">
        <x:v>16.57</x:v>
      </x:c>
      <x:c r="H379" s="140" t="n">
        <x:v>0</x:v>
      </x:c>
      <x:c r="I379" s="140" t="n">
        <x:v>91.55</x:v>
      </x:c>
      <x:c r="J379" s="140" t="n">
        <x:v>7.83</x:v>
      </x:c>
      <x:c r="K379" s="140" t="n">
        <x:v>16.97</x:v>
      </x:c>
      <x:c r="L379" s="140" t="n">
        <x:v>18</x:v>
      </x:c>
      <x:c r="M379" s="140" t="n">
        <x:v>13</x:v>
      </x:c>
      <x:c r="N379" s="134" t="n">
        <x:v>1</x:v>
      </x:c>
      <x:c r="O379" s="134" t="str">
        <x:v>deserta</x:v>
      </x:c>
      <x:c r="P379" s="134" t="str">
        <x:v>train</x:v>
      </x:c>
      <x:c r="Q379" s="134" t="str">
        <x:v>synthetic_scientific</x:v>
      </x:c>
      <x:c r="R379" s="135" t="str">
        <x:v>BLENKIR_V6_SYNTH_20260924</x:v>
      </x:c>
    </x:row>
    <x:row r="380" ht="32" customHeight="1">
      <x:c r="A380" s="133" t="str">
        <x:v>EST-0209</x:v>
      </x:c>
      <x:c r="B380" s="134" t="str">
        <x:v>EST-0209-T2</x:v>
      </x:c>
      <x:c r="C380" s="134" t="str">
        <x:v>2026-09-21</x:v>
      </x:c>
      <x:c r="D380" s="134" t="str">
        <x:v>2026-12-15</x:v>
      </x:c>
      <x:c r="E380" s="134" t="n">
        <x:v>5</x:v>
      </x:c>
      <x:c r="F380" s="134" t="str">
        <x:v>5C</x:v>
      </x:c>
      <x:c r="G380" s="140" t="n">
        <x:v>16.06</x:v>
      </x:c>
      <x:c r="H380" s="140" t="n">
        <x:v>0</x:v>
      </x:c>
      <x:c r="I380" s="140" t="n">
        <x:v>92.72</x:v>
      </x:c>
      <x:c r="J380" s="140" t="n">
        <x:v>9.02</x:v>
      </x:c>
      <x:c r="K380" s="140" t="n">
        <x:v>16.19</x:v>
      </x:c>
      <x:c r="L380" s="140" t="n">
        <x:v>17</x:v>
      </x:c>
      <x:c r="M380" s="140" t="n">
        <x:v>13</x:v>
      </x:c>
      <x:c r="N380" s="134" t="n">
        <x:v>1</x:v>
      </x:c>
      <x:c r="O380" s="134" t="str">
        <x:v>deserta</x:v>
      </x:c>
      <x:c r="P380" s="134" t="str">
        <x:v>train</x:v>
      </x:c>
      <x:c r="Q380" s="134" t="str">
        <x:v>synthetic_scientific</x:v>
      </x:c>
      <x:c r="R380" s="135" t="str">
        <x:v>BLENKIR_V6_SYNTH_20260924</x:v>
      </x:c>
    </x:row>
    <x:row r="381" ht="32" customHeight="1">
      <x:c r="A381" s="133" t="str">
        <x:v>EST-0210</x:v>
      </x:c>
      <x:c r="B381" s="134" t="str">
        <x:v>EST-0210-T1</x:v>
      </x:c>
      <x:c r="C381" s="134" t="str">
        <x:v>2026-07-31</x:v>
      </x:c>
      <x:c r="D381" s="134" t="str">
        <x:v>2026-12-15</x:v>
      </x:c>
      <x:c r="E381" s="134" t="n">
        <x:v>5</x:v>
      </x:c>
      <x:c r="F381" s="134" t="str">
        <x:v>5C</x:v>
      </x:c>
      <x:c r="G381" s="140" t="n">
        <x:v>15.63</x:v>
      </x:c>
      <x:c r="H381" s="140" t="n">
        <x:v>0</x:v>
      </x:c>
      <x:c r="I381" s="140" t="n">
        <x:v>96.51</x:v>
      </x:c>
      <x:c r="J381" s="140" t="n">
        <x:v>11.55</x:v>
      </x:c>
      <x:c r="K381" s="140" t="n">
        <x:v>17.13</x:v>
      </x:c>
      <x:c r="L381" s="140" t="n">
        <x:v>21</x:v>
      </x:c>
      <x:c r="M381" s="140" t="n">
        <x:v>13</x:v>
      </x:c>
      <x:c r="N381" s="134" t="n">
        <x:v>0</x:v>
      </x:c>
      <x:c r="O381" s="134" t="str">
        <x:v>permanece</x:v>
      </x:c>
      <x:c r="P381" s="134" t="str">
        <x:v>train</x:v>
      </x:c>
      <x:c r="Q381" s="134" t="str">
        <x:v>synthetic_scientific</x:v>
      </x:c>
      <x:c r="R381" s="135" t="str">
        <x:v>BLENKIR_V6_SYNTH_20260924</x:v>
      </x:c>
    </x:row>
    <x:row r="382" ht="32" customHeight="1">
      <x:c r="A382" s="133" t="str">
        <x:v>EST-0210</x:v>
      </x:c>
      <x:c r="B382" s="134" t="str">
        <x:v>EST-0210-T2</x:v>
      </x:c>
      <x:c r="C382" s="134" t="str">
        <x:v>2026-09-21</x:v>
      </x:c>
      <x:c r="D382" s="134" t="str">
        <x:v>2026-12-15</x:v>
      </x:c>
      <x:c r="E382" s="134" t="n">
        <x:v>5</x:v>
      </x:c>
      <x:c r="F382" s="134" t="str">
        <x:v>5C</x:v>
      </x:c>
      <x:c r="G382" s="140" t="n">
        <x:v>15.05</x:v>
      </x:c>
      <x:c r="H382" s="140" t="n">
        <x:v>0</x:v>
      </x:c>
      <x:c r="I382" s="140" t="n">
        <x:v>97.73</x:v>
      </x:c>
      <x:c r="J382" s="140" t="n">
        <x:v>10.67</x:v>
      </x:c>
      <x:c r="K382" s="140" t="n">
        <x:v>18.29</x:v>
      </x:c>
      <x:c r="L382" s="140" t="n">
        <x:v>19</x:v>
      </x:c>
      <x:c r="M382" s="140" t="n">
        <x:v>13</x:v>
      </x:c>
      <x:c r="N382" s="134" t="n">
        <x:v>0</x:v>
      </x:c>
      <x:c r="O382" s="134" t="str">
        <x:v>permanece</x:v>
      </x:c>
      <x:c r="P382" s="134" t="str">
        <x:v>train</x:v>
      </x:c>
      <x:c r="Q382" s="134" t="str">
        <x:v>synthetic_scientific</x:v>
      </x:c>
      <x:c r="R382" s="135" t="str">
        <x:v>BLENKIR_V6_SYNTH_20260924</x:v>
      </x:c>
    </x:row>
    <x:row r="383" ht="32" customHeight="1">
      <x:c r="A383" s="133" t="str">
        <x:v>EST-0211</x:v>
      </x:c>
      <x:c r="B383" s="134" t="str">
        <x:v>EST-0211-T1</x:v>
      </x:c>
      <x:c r="C383" s="134" t="str">
        <x:v>2026-07-31</x:v>
      </x:c>
      <x:c r="D383" s="134" t="str">
        <x:v>2026-12-15</x:v>
      </x:c>
      <x:c r="E383" s="134" t="n">
        <x:v>5</x:v>
      </x:c>
      <x:c r="F383" s="134" t="str">
        <x:v>5C</x:v>
      </x:c>
      <x:c r="G383" s="140" t="n">
        <x:v>13.11</x:v>
      </x:c>
      <x:c r="H383" s="140" t="n">
        <x:v>0</x:v>
      </x:c>
      <x:c r="I383" s="140" t="n">
        <x:v>89.38</x:v>
      </x:c>
      <x:c r="J383" s="140" t="n">
        <x:v>8</x:v>
      </x:c>
      <x:c r="K383" s="140" t="n">
        <x:v>17.51</x:v>
      </x:c>
      <x:c r="L383" s="140" t="n">
        <x:v>13</x:v>
      </x:c>
      <x:c r="M383" s="140" t="n">
        <x:v>15</x:v>
      </x:c>
      <x:c r="N383" s="134" t="n">
        <x:v>1</x:v>
      </x:c>
      <x:c r="O383" s="134" t="str">
        <x:v>deserta</x:v>
      </x:c>
      <x:c r="P383" s="134" t="str">
        <x:v>train</x:v>
      </x:c>
      <x:c r="Q383" s="134" t="str">
        <x:v>synthetic_scientific</x:v>
      </x:c>
      <x:c r="R383" s="135" t="str">
        <x:v>BLENKIR_V6_SYNTH_20260924</x:v>
      </x:c>
    </x:row>
    <x:row r="384" ht="32" customHeight="1">
      <x:c r="A384" s="133" t="str">
        <x:v>EST-0211</x:v>
      </x:c>
      <x:c r="B384" s="134" t="str">
        <x:v>EST-0211-T2</x:v>
      </x:c>
      <x:c r="C384" s="134" t="str">
        <x:v>2026-09-21</x:v>
      </x:c>
      <x:c r="D384" s="134" t="str">
        <x:v>2026-12-15</x:v>
      </x:c>
      <x:c r="E384" s="134" t="n">
        <x:v>5</x:v>
      </x:c>
      <x:c r="F384" s="134" t="str">
        <x:v>5C</x:v>
      </x:c>
      <x:c r="G384" s="140" t="n">
        <x:v>11.95</x:v>
      </x:c>
      <x:c r="H384" s="140" t="n">
        <x:v>1</x:v>
      </x:c>
      <x:c r="I384" s="140" t="n">
        <x:v>84.93</x:v>
      </x:c>
      <x:c r="J384" s="140" t="n">
        <x:v>8.42</x:v>
      </x:c>
      <x:c r="K384" s="140" t="n">
        <x:v>17.03</x:v>
      </x:c>
      <x:c r="L384" s="140" t="n">
        <x:v>14</x:v>
      </x:c>
      <x:c r="M384" s="140" t="n">
        <x:v>13</x:v>
      </x:c>
      <x:c r="N384" s="134" t="n">
        <x:v>1</x:v>
      </x:c>
      <x:c r="O384" s="134" t="str">
        <x:v>deserta</x:v>
      </x:c>
      <x:c r="P384" s="134" t="str">
        <x:v>train</x:v>
      </x:c>
      <x:c r="Q384" s="134" t="str">
        <x:v>synthetic_scientific</x:v>
      </x:c>
      <x:c r="R384" s="135" t="str">
        <x:v>BLENKIR_V6_SYNTH_20260924</x:v>
      </x:c>
    </x:row>
    <x:row r="385" ht="32" customHeight="1">
      <x:c r="A385" s="133" t="str">
        <x:v>EST-0212</x:v>
      </x:c>
      <x:c r="B385" s="134" t="str">
        <x:v>EST-0212-T1</x:v>
      </x:c>
      <x:c r="C385" s="134" t="str">
        <x:v>2026-07-31</x:v>
      </x:c>
      <x:c r="D385" s="134" t="str">
        <x:v>2026-12-15</x:v>
      </x:c>
      <x:c r="E385" s="134" t="n">
        <x:v>5</x:v>
      </x:c>
      <x:c r="F385" s="134" t="str">
        <x:v>5C</x:v>
      </x:c>
      <x:c r="G385" s="140" t="n">
        <x:v>12.38</x:v>
      </x:c>
      <x:c r="H385" s="140" t="n">
        <x:v>0</x:v>
      </x:c>
      <x:c r="I385" s="140" t="n">
        <x:v>99.5</x:v>
      </x:c>
      <x:c r="J385" s="140" t="n">
        <x:v>6.1</x:v>
      </x:c>
      <x:c r="K385" s="140" t="n">
        <x:v>14.91</x:v>
      </x:c>
      <x:c r="L385" s="140" t="n">
        <x:v>20</x:v>
      </x:c>
      <x:c r="M385" s="140" t="n">
        <x:v>11</x:v>
      </x:c>
      <x:c r="N385" s="134" t="n">
        <x:v>0</x:v>
      </x:c>
      <x:c r="O385" s="134" t="str">
        <x:v>permanece</x:v>
      </x:c>
      <x:c r="P385" s="134" t="str">
        <x:v>train</x:v>
      </x:c>
      <x:c r="Q385" s="134" t="str">
        <x:v>synthetic_scientific</x:v>
      </x:c>
      <x:c r="R385" s="135" t="str">
        <x:v>BLENKIR_V6_SYNTH_20260924</x:v>
      </x:c>
    </x:row>
    <x:row r="386" ht="32" customHeight="1">
      <x:c r="A386" s="133" t="str">
        <x:v>EST-0212</x:v>
      </x:c>
      <x:c r="B386" s="134" t="str">
        <x:v>EST-0212-T2</x:v>
      </x:c>
      <x:c r="C386" s="134" t="str">
        <x:v>2026-09-21</x:v>
      </x:c>
      <x:c r="D386" s="134" t="str">
        <x:v>2026-12-15</x:v>
      </x:c>
      <x:c r="E386" s="134" t="n">
        <x:v>5</x:v>
      </x:c>
      <x:c r="F386" s="134" t="str">
        <x:v>5C</x:v>
      </x:c>
      <x:c r="G386" s="140" t="n">
        <x:v>11.89</x:v>
      </x:c>
      <x:c r="H386" s="140" t="n">
        <x:v>0</x:v>
      </x:c>
      <x:c r="I386" s="140" t="n">
        <x:v>97.54</x:v>
      </x:c>
      <x:c r="J386" s="140" t="n">
        <x:v>6.01</x:v>
      </x:c>
      <x:c r="K386" s="140" t="n">
        <x:v>13.79</x:v>
      </x:c>
      <x:c r="L386" s="140" t="n">
        <x:v>14</x:v>
      </x:c>
      <x:c r="M386" s="140" t="n">
        <x:v>11</x:v>
      </x:c>
      <x:c r="N386" s="134" t="n">
        <x:v>0</x:v>
      </x:c>
      <x:c r="O386" s="134" t="str">
        <x:v>permanece</x:v>
      </x:c>
      <x:c r="P386" s="134" t="str">
        <x:v>train</x:v>
      </x:c>
      <x:c r="Q386" s="134" t="str">
        <x:v>synthetic_scientific</x:v>
      </x:c>
      <x:c r="R386" s="135" t="str">
        <x:v>BLENKIR_V6_SYNTH_20260924</x:v>
      </x:c>
    </x:row>
    <x:row r="387" ht="32" customHeight="1">
      <x:c r="A387" s="133" t="str">
        <x:v>EST-0213</x:v>
      </x:c>
      <x:c r="B387" s="134" t="str">
        <x:v>EST-0213-T1</x:v>
      </x:c>
      <x:c r="C387" s="134" t="str">
        <x:v>2026-07-31</x:v>
      </x:c>
      <x:c r="D387" s="134" t="str">
        <x:v>2026-12-15</x:v>
      </x:c>
      <x:c r="E387" s="134" t="n">
        <x:v>5</x:v>
      </x:c>
      <x:c r="F387" s="134" t="str">
        <x:v>5C</x:v>
      </x:c>
      <x:c r="G387" s="140" t="n">
        <x:v>17.44</x:v>
      </x:c>
      <x:c r="H387" s="140" t="n">
        <x:v>0</x:v>
      </x:c>
      <x:c r="I387" s="140" t="n">
        <x:v>91.63</x:v>
      </x:c>
      <x:c r="J387" s="140" t="n">
        <x:v>8.46</x:v>
      </x:c>
      <x:c r="K387" s="140" t="n">
        <x:v>16.72</x:v>
      </x:c>
      <x:c r="L387" s="140" t="n">
        <x:v>19</x:v>
      </x:c>
      <x:c r="M387" s="140" t="n">
        <x:v>10</x:v>
      </x:c>
      <x:c r="N387" s="134" t="n">
        <x:v>0</x:v>
      </x:c>
      <x:c r="O387" s="134" t="str">
        <x:v>permanece</x:v>
      </x:c>
      <x:c r="P387" s="134" t="str">
        <x:v>train</x:v>
      </x:c>
      <x:c r="Q387" s="134" t="str">
        <x:v>synthetic_scientific</x:v>
      </x:c>
      <x:c r="R387" s="135" t="str">
        <x:v>BLENKIR_V6_SYNTH_20260924</x:v>
      </x:c>
    </x:row>
    <x:row r="388" ht="32" customHeight="1">
      <x:c r="A388" s="133" t="str">
        <x:v>EST-0213</x:v>
      </x:c>
      <x:c r="B388" s="134" t="str">
        <x:v>EST-0213-T2</x:v>
      </x:c>
      <x:c r="C388" s="134" t="str">
        <x:v>2026-09-21</x:v>
      </x:c>
      <x:c r="D388" s="134" t="str">
        <x:v>2026-12-15</x:v>
      </x:c>
      <x:c r="E388" s="134" t="n">
        <x:v>5</x:v>
      </x:c>
      <x:c r="F388" s="134" t="str">
        <x:v>5C</x:v>
      </x:c>
      <x:c r="G388" s="140" t="n">
        <x:v>16.89</x:v>
      </x:c>
      <x:c r="H388" s="140" t="n">
        <x:v>0</x:v>
      </x:c>
      <x:c r="I388" s="140" t="n">
        <x:v>89.28</x:v>
      </x:c>
      <x:c r="J388" s="140" t="n">
        <x:v>8.11</x:v>
      </x:c>
      <x:c r="K388" s="140" t="n">
        <x:v>16.13</x:v>
      </x:c>
      <x:c r="L388" s="140" t="n">
        <x:v>16</x:v>
      </x:c>
      <x:c r="M388" s="140" t="n">
        <x:v>10</x:v>
      </x:c>
      <x:c r="N388" s="134" t="n">
        <x:v>0</x:v>
      </x:c>
      <x:c r="O388" s="134" t="str">
        <x:v>permanece</x:v>
      </x:c>
      <x:c r="P388" s="134" t="str">
        <x:v>train</x:v>
      </x:c>
      <x:c r="Q388" s="134" t="str">
        <x:v>synthetic_scientific</x:v>
      </x:c>
      <x:c r="R388" s="135" t="str">
        <x:v>BLENKIR_V6_SYNTH_20260924</x:v>
      </x:c>
    </x:row>
    <x:row r="389" ht="32" customHeight="1">
      <x:c r="A389" s="133" t="str">
        <x:v>EST-0215</x:v>
      </x:c>
      <x:c r="B389" s="134" t="str">
        <x:v>EST-0215-T1</x:v>
      </x:c>
      <x:c r="C389" s="134" t="str">
        <x:v>2026-07-31</x:v>
      </x:c>
      <x:c r="D389" s="134" t="str">
        <x:v>2026-12-15</x:v>
      </x:c>
      <x:c r="E389" s="134" t="n">
        <x:v>5</x:v>
      </x:c>
      <x:c r="F389" s="134" t="str">
        <x:v>5C</x:v>
      </x:c>
      <x:c r="G389" s="140" t="n">
        <x:v>16.57</x:v>
      </x:c>
      <x:c r="H389" s="140" t="n">
        <x:v>0</x:v>
      </x:c>
      <x:c r="I389" s="140" t="n">
        <x:v>96.97</x:v>
      </x:c>
      <x:c r="J389" s="140" t="n">
        <x:v>9.21</x:v>
      </x:c>
      <x:c r="K389" s="140" t="n">
        <x:v>18.92</x:v>
      </x:c>
      <x:c r="L389" s="140" t="n">
        <x:v>14</x:v>
      </x:c>
      <x:c r="M389" s="140" t="n">
        <x:v>13</x:v>
      </x:c>
      <x:c r="N389" s="134" t="n">
        <x:v>0</x:v>
      </x:c>
      <x:c r="O389" s="134" t="str">
        <x:v>permanece</x:v>
      </x:c>
      <x:c r="P389" s="134" t="str">
        <x:v>train</x:v>
      </x:c>
      <x:c r="Q389" s="134" t="str">
        <x:v>synthetic_scientific</x:v>
      </x:c>
      <x:c r="R389" s="135" t="str">
        <x:v>BLENKIR_V6_SYNTH_20260924</x:v>
      </x:c>
    </x:row>
    <x:row r="390" ht="32" customHeight="1">
      <x:c r="A390" s="133" t="str">
        <x:v>EST-0215</x:v>
      </x:c>
      <x:c r="B390" s="134" t="str">
        <x:v>EST-0215-T2</x:v>
      </x:c>
      <x:c r="C390" s="134" t="str">
        <x:v>2026-09-21</x:v>
      </x:c>
      <x:c r="D390" s="134" t="str">
        <x:v>2026-12-15</x:v>
      </x:c>
      <x:c r="E390" s="134" t="n">
        <x:v>5</x:v>
      </x:c>
      <x:c r="F390" s="134" t="str">
        <x:v>5C</x:v>
      </x:c>
      <x:c r="G390" s="140" t="n">
        <x:v>15.45</x:v>
      </x:c>
      <x:c r="H390" s="140" t="n">
        <x:v>0</x:v>
      </x:c>
      <x:c r="I390" s="140" t="n">
        <x:v>97.71</x:v>
      </x:c>
      <x:c r="J390" s="140" t="n">
        <x:v>9.21</x:v>
      </x:c>
      <x:c r="K390" s="140" t="n">
        <x:v>15.65</x:v>
      </x:c>
      <x:c r="L390" s="140" t="n">
        <x:v>15</x:v>
      </x:c>
      <x:c r="M390" s="140" t="n">
        <x:v>12</x:v>
      </x:c>
      <x:c r="N390" s="134" t="n">
        <x:v>0</x:v>
      </x:c>
      <x:c r="O390" s="134" t="str">
        <x:v>permanece</x:v>
      </x:c>
      <x:c r="P390" s="134" t="str">
        <x:v>train</x:v>
      </x:c>
      <x:c r="Q390" s="134" t="str">
        <x:v>synthetic_scientific</x:v>
      </x:c>
      <x:c r="R390" s="135" t="str">
        <x:v>BLENKIR_V6_SYNTH_20260924</x:v>
      </x:c>
    </x:row>
    <x:row r="391" ht="32" customHeight="1">
      <x:c r="A391" s="133" t="str">
        <x:v>EST-0216</x:v>
      </x:c>
      <x:c r="B391" s="134" t="str">
        <x:v>EST-0216-T1</x:v>
      </x:c>
      <x:c r="C391" s="134" t="str">
        <x:v>2026-07-31</x:v>
      </x:c>
      <x:c r="D391" s="134" t="str">
        <x:v>2026-12-15</x:v>
      </x:c>
      <x:c r="E391" s="134" t="n">
        <x:v>5</x:v>
      </x:c>
      <x:c r="F391" s="134" t="str">
        <x:v>5C</x:v>
      </x:c>
      <x:c r="G391" s="140" t="n">
        <x:v>14.8</x:v>
      </x:c>
      <x:c r="H391" s="140" t="n">
        <x:v>0</x:v>
      </x:c>
      <x:c r="I391" s="140" t="n">
        <x:v>94.09</x:v>
      </x:c>
      <x:c r="J391" s="140" t="n">
        <x:v>7.37</x:v>
      </x:c>
      <x:c r="K391" s="140" t="n">
        <x:v>16.69</x:v>
      </x:c>
      <x:c r="L391" s="140" t="n">
        <x:v>17</x:v>
      </x:c>
      <x:c r="M391" s="140" t="n">
        <x:v>11</x:v>
      </x:c>
      <x:c r="N391" s="134" t="n">
        <x:v>0</x:v>
      </x:c>
      <x:c r="O391" s="134" t="str">
        <x:v>permanece</x:v>
      </x:c>
      <x:c r="P391" s="134" t="str">
        <x:v>train</x:v>
      </x:c>
      <x:c r="Q391" s="134" t="str">
        <x:v>synthetic_scientific</x:v>
      </x:c>
      <x:c r="R391" s="135" t="str">
        <x:v>BLENKIR_V6_SYNTH_20260924</x:v>
      </x:c>
    </x:row>
    <x:row r="392" ht="32" customHeight="1">
      <x:c r="A392" s="133" t="str">
        <x:v>EST-0216</x:v>
      </x:c>
      <x:c r="B392" s="134" t="str">
        <x:v>EST-0216-T2</x:v>
      </x:c>
      <x:c r="C392" s="134" t="str">
        <x:v>2026-09-21</x:v>
      </x:c>
      <x:c r="D392" s="134" t="str">
        <x:v>2026-12-15</x:v>
      </x:c>
      <x:c r="E392" s="134" t="n">
        <x:v>5</x:v>
      </x:c>
      <x:c r="F392" s="134" t="str">
        <x:v>5C</x:v>
      </x:c>
      <x:c r="G392" s="140" t="n">
        <x:v>15.43</x:v>
      </x:c>
      <x:c r="H392" s="140" t="n">
        <x:v>0</x:v>
      </x:c>
      <x:c r="I392" s="140" t="n">
        <x:v>94.27</x:v>
      </x:c>
      <x:c r="J392" s="140" t="n">
        <x:v>8.24</x:v>
      </x:c>
      <x:c r="K392" s="140" t="n">
        <x:v>17.58</x:v>
      </x:c>
      <x:c r="L392" s="140" t="n">
        <x:v>16</x:v>
      </x:c>
      <x:c r="M392" s="140" t="n">
        <x:v>11</x:v>
      </x:c>
      <x:c r="N392" s="134" t="n">
        <x:v>0</x:v>
      </x:c>
      <x:c r="O392" s="134" t="str">
        <x:v>permanece</x:v>
      </x:c>
      <x:c r="P392" s="134" t="str">
        <x:v>train</x:v>
      </x:c>
      <x:c r="Q392" s="134" t="str">
        <x:v>synthetic_scientific</x:v>
      </x:c>
      <x:c r="R392" s="135" t="str">
        <x:v>BLENKIR_V6_SYNTH_20260924</x:v>
      </x:c>
    </x:row>
    <x:row r="393" ht="32" customHeight="1">
      <x:c r="A393" s="133" t="str">
        <x:v>EST-0217</x:v>
      </x:c>
      <x:c r="B393" s="134" t="str">
        <x:v>EST-0217-T1</x:v>
      </x:c>
      <x:c r="C393" s="134" t="str">
        <x:v>2026-07-31</x:v>
      </x:c>
      <x:c r="D393" s="134" t="str">
        <x:v>2026-12-15</x:v>
      </x:c>
      <x:c r="E393" s="134" t="n">
        <x:v>5</x:v>
      </x:c>
      <x:c r="F393" s="134" t="str">
        <x:v>5C</x:v>
      </x:c>
      <x:c r="G393" s="140" t="n">
        <x:v>15.35</x:v>
      </x:c>
      <x:c r="H393" s="140" t="n">
        <x:v>1</x:v>
      </x:c>
      <x:c r="I393" s="140" t="n">
        <x:v>99.5</x:v>
      </x:c>
      <x:c r="J393" s="140" t="n">
        <x:v>6.48</x:v>
      </x:c>
      <x:c r="K393" s="140" t="n">
        <x:v>16.24</x:v>
      </x:c>
      <x:c r="L393" s="140" t="n">
        <x:v>15</x:v>
      </x:c>
      <x:c r="M393" s="140" t="n">
        <x:v>14</x:v>
      </x:c>
      <x:c r="N393" s="134" t="n">
        <x:v>0</x:v>
      </x:c>
      <x:c r="O393" s="134" t="str">
        <x:v>permanece</x:v>
      </x:c>
      <x:c r="P393" s="134" t="str">
        <x:v>train</x:v>
      </x:c>
      <x:c r="Q393" s="134" t="str">
        <x:v>synthetic_scientific</x:v>
      </x:c>
      <x:c r="R393" s="135" t="str">
        <x:v>BLENKIR_V6_SYNTH_20260924</x:v>
      </x:c>
    </x:row>
    <x:row r="394" ht="32" customHeight="1">
      <x:c r="A394" s="133" t="str">
        <x:v>EST-0217</x:v>
      </x:c>
      <x:c r="B394" s="134" t="str">
        <x:v>EST-0217-T2</x:v>
      </x:c>
      <x:c r="C394" s="134" t="str">
        <x:v>2026-09-21</x:v>
      </x:c>
      <x:c r="D394" s="134" t="str">
        <x:v>2026-12-15</x:v>
      </x:c>
      <x:c r="E394" s="134" t="n">
        <x:v>5</x:v>
      </x:c>
      <x:c r="F394" s="134" t="str">
        <x:v>5C</x:v>
      </x:c>
      <x:c r="G394" s="140" t="n">
        <x:v>15.27</x:v>
      </x:c>
      <x:c r="H394" s="140" t="n">
        <x:v>0</x:v>
      </x:c>
      <x:c r="I394" s="140" t="n">
        <x:v>98.86</x:v>
      </x:c>
      <x:c r="J394" s="140" t="n">
        <x:v>7.49</x:v>
      </x:c>
      <x:c r="K394" s="140" t="n">
        <x:v>16.03</x:v>
      </x:c>
      <x:c r="L394" s="140" t="n">
        <x:v>16</x:v>
      </x:c>
      <x:c r="M394" s="140" t="n">
        <x:v>14</x:v>
      </x:c>
      <x:c r="N394" s="134" t="n">
        <x:v>0</x:v>
      </x:c>
      <x:c r="O394" s="134" t="str">
        <x:v>permanece</x:v>
      </x:c>
      <x:c r="P394" s="134" t="str">
        <x:v>train</x:v>
      </x:c>
      <x:c r="Q394" s="134" t="str">
        <x:v>synthetic_scientific</x:v>
      </x:c>
      <x:c r="R394" s="135" t="str">
        <x:v>BLENKIR_V6_SYNTH_20260924</x:v>
      </x:c>
    </x:row>
    <x:row r="395" ht="32" customHeight="1">
      <x:c r="A395" s="133" t="str">
        <x:v>EST-0218</x:v>
      </x:c>
      <x:c r="B395" s="134" t="str">
        <x:v>EST-0218-T1</x:v>
      </x:c>
      <x:c r="C395" s="134" t="str">
        <x:v>2026-07-31</x:v>
      </x:c>
      <x:c r="D395" s="134" t="str">
        <x:v>2026-12-15</x:v>
      </x:c>
      <x:c r="E395" s="134" t="n">
        <x:v>6</x:v>
      </x:c>
      <x:c r="F395" s="134" t="str">
        <x:v>6A</x:v>
      </x:c>
      <x:c r="G395" s="140" t="n">
        <x:v>16.47</x:v>
      </x:c>
      <x:c r="H395" s="140" t="n">
        <x:v>0</x:v>
      </x:c>
      <x:c r="I395" s="140" t="n">
        <x:v>94.37</x:v>
      </x:c>
      <x:c r="J395" s="140" t="n">
        <x:v>7.1</x:v>
      </x:c>
      <x:c r="K395" s="140" t="n">
        <x:v>18.35</x:v>
      </x:c>
      <x:c r="L395" s="140" t="n">
        <x:v>17</x:v>
      </x:c>
      <x:c r="M395" s="140" t="n">
        <x:v>11</x:v>
      </x:c>
      <x:c r="N395" s="134" t="n">
        <x:v>0</x:v>
      </x:c>
      <x:c r="O395" s="134" t="str">
        <x:v>permanece</x:v>
      </x:c>
      <x:c r="P395" s="134" t="str">
        <x:v>train</x:v>
      </x:c>
      <x:c r="Q395" s="134" t="str">
        <x:v>synthetic_scientific</x:v>
      </x:c>
      <x:c r="R395" s="135" t="str">
        <x:v>BLENKIR_V6_SYNTH_20260924</x:v>
      </x:c>
    </x:row>
    <x:row r="396" ht="32" customHeight="1">
      <x:c r="A396" s="133" t="str">
        <x:v>EST-0218</x:v>
      </x:c>
      <x:c r="B396" s="134" t="str">
        <x:v>EST-0218-T2</x:v>
      </x:c>
      <x:c r="C396" s="134" t="str">
        <x:v>2026-09-21</x:v>
      </x:c>
      <x:c r="D396" s="134" t="str">
        <x:v>2026-12-15</x:v>
      </x:c>
      <x:c r="E396" s="134" t="n">
        <x:v>6</x:v>
      </x:c>
      <x:c r="F396" s="134" t="str">
        <x:v>6A</x:v>
      </x:c>
      <x:c r="G396" s="140" t="n">
        <x:v>15.88</x:v>
      </x:c>
      <x:c r="H396" s="140" t="n">
        <x:v>0</x:v>
      </x:c>
      <x:c r="I396" s="140" t="n">
        <x:v>91.41</x:v>
      </x:c>
      <x:c r="J396" s="140" t="n">
        <x:v>7.75</x:v>
      </x:c>
      <x:c r="K396" s="140" t="n">
        <x:v>16.42</x:v>
      </x:c>
      <x:c r="L396" s="140" t="n">
        <x:v>14</x:v>
      </x:c>
      <x:c r="M396" s="140" t="n">
        <x:v>13</x:v>
      </x:c>
      <x:c r="N396" s="134" t="n">
        <x:v>0</x:v>
      </x:c>
      <x:c r="O396" s="134" t="str">
        <x:v>permanece</x:v>
      </x:c>
      <x:c r="P396" s="134" t="str">
        <x:v>train</x:v>
      </x:c>
      <x:c r="Q396" s="134" t="str">
        <x:v>synthetic_scientific</x:v>
      </x:c>
      <x:c r="R396" s="135" t="str">
        <x:v>BLENKIR_V6_SYNTH_20260924</x:v>
      </x:c>
    </x:row>
    <x:row r="397" ht="32" customHeight="1">
      <x:c r="A397" s="133" t="str">
        <x:v>EST-0219</x:v>
      </x:c>
      <x:c r="B397" s="134" t="str">
        <x:v>EST-0219-T1</x:v>
      </x:c>
      <x:c r="C397" s="134" t="str">
        <x:v>2026-07-31</x:v>
      </x:c>
      <x:c r="D397" s="134" t="str">
        <x:v>2026-12-15</x:v>
      </x:c>
      <x:c r="E397" s="134" t="n">
        <x:v>6</x:v>
      </x:c>
      <x:c r="F397" s="134" t="str">
        <x:v>6A</x:v>
      </x:c>
      <x:c r="G397" s="140" t="n">
        <x:v>13.78</x:v>
      </x:c>
      <x:c r="H397" s="140" t="n">
        <x:v>0</x:v>
      </x:c>
      <x:c r="I397" s="140" t="n">
        <x:v>99.5</x:v>
      </x:c>
      <x:c r="J397" s="140" t="n">
        <x:v>5.49</x:v>
      </x:c>
      <x:c r="K397" s="140" t="n">
        <x:v>14.57</x:v>
      </x:c>
      <x:c r="L397" s="140" t="n">
        <x:v>13</x:v>
      </x:c>
      <x:c r="M397" s="140" t="n">
        <x:v>10</x:v>
      </x:c>
      <x:c r="N397" s="134" t="n">
        <x:v>0</x:v>
      </x:c>
      <x:c r="O397" s="134" t="str">
        <x:v>permanece</x:v>
      </x:c>
      <x:c r="P397" s="134" t="str">
        <x:v>train</x:v>
      </x:c>
      <x:c r="Q397" s="134" t="str">
        <x:v>synthetic_scientific</x:v>
      </x:c>
      <x:c r="R397" s="135" t="str">
        <x:v>BLENKIR_V6_SYNTH_20260924</x:v>
      </x:c>
    </x:row>
    <x:row r="398" ht="32" customHeight="1">
      <x:c r="A398" s="133" t="str">
        <x:v>EST-0219</x:v>
      </x:c>
      <x:c r="B398" s="134" t="str">
        <x:v>EST-0219-T2</x:v>
      </x:c>
      <x:c r="C398" s="134" t="str">
        <x:v>2026-09-21</x:v>
      </x:c>
      <x:c r="D398" s="134" t="str">
        <x:v>2026-12-15</x:v>
      </x:c>
      <x:c r="E398" s="134" t="n">
        <x:v>6</x:v>
      </x:c>
      <x:c r="F398" s="134" t="str">
        <x:v>6A</x:v>
      </x:c>
      <x:c r="G398" s="140" t="n">
        <x:v>13.23</x:v>
      </x:c>
      <x:c r="H398" s="140" t="n">
        <x:v>0</x:v>
      </x:c>
      <x:c r="I398" s="140" t="n">
        <x:v>95.93</x:v>
      </x:c>
      <x:c r="J398" s="140" t="n">
        <x:v>6.71</x:v>
      </x:c>
      <x:c r="K398" s="140" t="n">
        <x:v>11.59</x:v>
      </x:c>
      <x:c r="L398" s="140" t="n">
        <x:v>13</x:v>
      </x:c>
      <x:c r="M398" s="140" t="n">
        <x:v>8</x:v>
      </x:c>
      <x:c r="N398" s="134" t="n">
        <x:v>0</x:v>
      </x:c>
      <x:c r="O398" s="134" t="str">
        <x:v>permanece</x:v>
      </x:c>
      <x:c r="P398" s="134" t="str">
        <x:v>train</x:v>
      </x:c>
      <x:c r="Q398" s="134" t="str">
        <x:v>synthetic_scientific</x:v>
      </x:c>
      <x:c r="R398" s="135" t="str">
        <x:v>BLENKIR_V6_SYNTH_20260924</x:v>
      </x:c>
    </x:row>
    <x:row r="399" ht="32" customHeight="1">
      <x:c r="A399" s="133" t="str">
        <x:v>EST-0220</x:v>
      </x:c>
      <x:c r="B399" s="134" t="str">
        <x:v>EST-0220-T1</x:v>
      </x:c>
      <x:c r="C399" s="134" t="str">
        <x:v>2026-07-31</x:v>
      </x:c>
      <x:c r="D399" s="134" t="str">
        <x:v>2026-12-15</x:v>
      </x:c>
      <x:c r="E399" s="134" t="n">
        <x:v>6</x:v>
      </x:c>
      <x:c r="F399" s="134" t="str">
        <x:v>6A</x:v>
      </x:c>
      <x:c r="G399" s="140" t="n">
        <x:v>10.56</x:v>
      </x:c>
      <x:c r="H399" s="140" t="n">
        <x:v>1</x:v>
      </x:c>
      <x:c r="I399" s="140" t="n">
        <x:v>88</x:v>
      </x:c>
      <x:c r="J399" s="140" t="n">
        <x:v>9.24</x:v>
      </x:c>
      <x:c r="K399" s="140" t="n">
        <x:v>13.08</x:v>
      </x:c>
      <x:c r="L399" s="140" t="n">
        <x:v>19</x:v>
      </x:c>
      <x:c r="M399" s="140" t="n">
        <x:v>12</x:v>
      </x:c>
      <x:c r="N399" s="134" t="n">
        <x:v>1</x:v>
      </x:c>
      <x:c r="O399" s="134" t="str">
        <x:v>deserta</x:v>
      </x:c>
      <x:c r="P399" s="134" t="str">
        <x:v>train</x:v>
      </x:c>
      <x:c r="Q399" s="134" t="str">
        <x:v>synthetic_scientific</x:v>
      </x:c>
      <x:c r="R399" s="135" t="str">
        <x:v>BLENKIR_V6_SYNTH_20260924</x:v>
      </x:c>
    </x:row>
    <x:row r="400" ht="32" customHeight="1">
      <x:c r="A400" s="133" t="str">
        <x:v>EST-0220</x:v>
      </x:c>
      <x:c r="B400" s="134" t="str">
        <x:v>EST-0220-T2</x:v>
      </x:c>
      <x:c r="C400" s="134" t="str">
        <x:v>2026-09-21</x:v>
      </x:c>
      <x:c r="D400" s="134" t="str">
        <x:v>2026-12-15</x:v>
      </x:c>
      <x:c r="E400" s="134" t="n">
        <x:v>6</x:v>
      </x:c>
      <x:c r="F400" s="134" t="str">
        <x:v>6A</x:v>
      </x:c>
      <x:c r="G400" s="140" t="n">
        <x:v>10.19</x:v>
      </x:c>
      <x:c r="H400" s="140" t="n">
        <x:v>1</x:v>
      </x:c>
      <x:c r="I400" s="140" t="n">
        <x:v>88.42</x:v>
      </x:c>
      <x:c r="J400" s="140" t="n">
        <x:v>7.63</x:v>
      </x:c>
      <x:c r="K400" s="140" t="n">
        <x:v>13.99</x:v>
      </x:c>
      <x:c r="L400" s="140" t="n">
        <x:v>16</x:v>
      </x:c>
      <x:c r="M400" s="140" t="n">
        <x:v>11</x:v>
      </x:c>
      <x:c r="N400" s="134" t="n">
        <x:v>1</x:v>
      </x:c>
      <x:c r="O400" s="134" t="str">
        <x:v>deserta</x:v>
      </x:c>
      <x:c r="P400" s="134" t="str">
        <x:v>train</x:v>
      </x:c>
      <x:c r="Q400" s="134" t="str">
        <x:v>synthetic_scientific</x:v>
      </x:c>
      <x:c r="R400" s="135" t="str">
        <x:v>BLENKIR_V6_SYNTH_20260924</x:v>
      </x:c>
    </x:row>
    <x:row r="401" ht="32" customHeight="1">
      <x:c r="A401" s="133" t="str">
        <x:v>EST-0221</x:v>
      </x:c>
      <x:c r="B401" s="134" t="str">
        <x:v>EST-0221-T1</x:v>
      </x:c>
      <x:c r="C401" s="134" t="str">
        <x:v>2026-07-31</x:v>
      </x:c>
      <x:c r="D401" s="134" t="str">
        <x:v>2026-12-15</x:v>
      </x:c>
      <x:c r="E401" s="134" t="n">
        <x:v>6</x:v>
      </x:c>
      <x:c r="F401" s="134" t="str">
        <x:v>6A</x:v>
      </x:c>
      <x:c r="G401" s="140" t="n">
        <x:v>15.65</x:v>
      </x:c>
      <x:c r="H401" s="140" t="n">
        <x:v>0</x:v>
      </x:c>
      <x:c r="I401" s="140" t="n">
        <x:v>95.22</x:v>
      </x:c>
      <x:c r="J401" s="140" t="n">
        <x:v>6.55</x:v>
      </x:c>
      <x:c r="K401" s="140" t="n">
        <x:v>16.28</x:v>
      </x:c>
      <x:c r="L401" s="140" t="n">
        <x:v>14</x:v>
      </x:c>
      <x:c r="M401" s="140" t="n">
        <x:v>9</x:v>
      </x:c>
      <x:c r="N401" s="134" t="n">
        <x:v>0</x:v>
      </x:c>
      <x:c r="O401" s="134" t="str">
        <x:v>permanece</x:v>
      </x:c>
      <x:c r="P401" s="134" t="str">
        <x:v>train</x:v>
      </x:c>
      <x:c r="Q401" s="134" t="str">
        <x:v>synthetic_scientific</x:v>
      </x:c>
      <x:c r="R401" s="135" t="str">
        <x:v>BLENKIR_V6_SYNTH_20260924</x:v>
      </x:c>
    </x:row>
    <x:row r="402" ht="32" customHeight="1">
      <x:c r="A402" s="133" t="str">
        <x:v>EST-0221</x:v>
      </x:c>
      <x:c r="B402" s="134" t="str">
        <x:v>EST-0221-T2</x:v>
      </x:c>
      <x:c r="C402" s="134" t="str">
        <x:v>2026-09-21</x:v>
      </x:c>
      <x:c r="D402" s="134" t="str">
        <x:v>2026-12-15</x:v>
      </x:c>
      <x:c r="E402" s="134" t="n">
        <x:v>6</x:v>
      </x:c>
      <x:c r="F402" s="134" t="str">
        <x:v>6A</x:v>
      </x:c>
      <x:c r="G402" s="140" t="n">
        <x:v>15.79</x:v>
      </x:c>
      <x:c r="H402" s="140" t="n">
        <x:v>0</x:v>
      </x:c>
      <x:c r="I402" s="140" t="n">
        <x:v>93.3</x:v>
      </x:c>
      <x:c r="J402" s="140" t="n">
        <x:v>7.29</x:v>
      </x:c>
      <x:c r="K402" s="140" t="n">
        <x:v>15.92</x:v>
      </x:c>
      <x:c r="L402" s="140" t="n">
        <x:v>14</x:v>
      </x:c>
      <x:c r="M402" s="140" t="n">
        <x:v>12</x:v>
      </x:c>
      <x:c r="N402" s="134" t="n">
        <x:v>0</x:v>
      </x:c>
      <x:c r="O402" s="134" t="str">
        <x:v>permanece</x:v>
      </x:c>
      <x:c r="P402" s="134" t="str">
        <x:v>train</x:v>
      </x:c>
      <x:c r="Q402" s="134" t="str">
        <x:v>synthetic_scientific</x:v>
      </x:c>
      <x:c r="R402" s="135" t="str">
        <x:v>BLENKIR_V6_SYNTH_20260924</x:v>
      </x:c>
    </x:row>
    <x:row r="403" ht="32" customHeight="1">
      <x:c r="A403" s="133" t="str">
        <x:v>EST-0222</x:v>
      </x:c>
      <x:c r="B403" s="134" t="str">
        <x:v>EST-0222-T1</x:v>
      </x:c>
      <x:c r="C403" s="134" t="str">
        <x:v>2026-07-31</x:v>
      </x:c>
      <x:c r="D403" s="134" t="str">
        <x:v>2026-12-15</x:v>
      </x:c>
      <x:c r="E403" s="134" t="n">
        <x:v>6</x:v>
      </x:c>
      <x:c r="F403" s="134" t="str">
        <x:v>6A</x:v>
      </x:c>
      <x:c r="G403" s="140" t="n">
        <x:v>16.97</x:v>
      </x:c>
      <x:c r="H403" s="140" t="n">
        <x:v>0</x:v>
      </x:c>
      <x:c r="I403" s="140" t="n">
        <x:v>86.62</x:v>
      </x:c>
      <x:c r="J403" s="140" t="n">
        <x:v>5.44</x:v>
      </x:c>
      <x:c r="K403" s="140" t="n">
        <x:v>16.3</x:v>
      </x:c>
      <x:c r="L403" s="140" t="n">
        <x:v>13</x:v>
      </x:c>
      <x:c r="M403" s="140" t="n">
        <x:v>11</x:v>
      </x:c>
      <x:c r="N403" s="134" t="n">
        <x:v>0</x:v>
      </x:c>
      <x:c r="O403" s="134" t="str">
        <x:v>permanece</x:v>
      </x:c>
      <x:c r="P403" s="134" t="str">
        <x:v>train</x:v>
      </x:c>
      <x:c r="Q403" s="134" t="str">
        <x:v>synthetic_scientific</x:v>
      </x:c>
      <x:c r="R403" s="135" t="str">
        <x:v>BLENKIR_V6_SYNTH_20260924</x:v>
      </x:c>
    </x:row>
    <x:row r="404" ht="32" customHeight="1">
      <x:c r="A404" s="133" t="str">
        <x:v>EST-0222</x:v>
      </x:c>
      <x:c r="B404" s="134" t="str">
        <x:v>EST-0222-T2</x:v>
      </x:c>
      <x:c r="C404" s="134" t="str">
        <x:v>2026-09-21</x:v>
      </x:c>
      <x:c r="D404" s="134" t="str">
        <x:v>2026-12-15</x:v>
      </x:c>
      <x:c r="E404" s="134" t="n">
        <x:v>6</x:v>
      </x:c>
      <x:c r="F404" s="134" t="str">
        <x:v>6A</x:v>
      </x:c>
      <x:c r="G404" s="140" t="n">
        <x:v>17.11</x:v>
      </x:c>
      <x:c r="H404" s="140" t="n">
        <x:v>0</x:v>
      </x:c>
      <x:c r="I404" s="140" t="n">
        <x:v>86.7</x:v>
      </x:c>
      <x:c r="J404" s="140" t="n">
        <x:v>7.24</x:v>
      </x:c>
      <x:c r="K404" s="140" t="n">
        <x:v>12.89</x:v>
      </x:c>
      <x:c r="L404" s="140" t="n">
        <x:v>12</x:v>
      </x:c>
      <x:c r="M404" s="140" t="n">
        <x:v>11</x:v>
      </x:c>
      <x:c r="N404" s="134" t="n">
        <x:v>0</x:v>
      </x:c>
      <x:c r="O404" s="134" t="str">
        <x:v>permanece</x:v>
      </x:c>
      <x:c r="P404" s="134" t="str">
        <x:v>train</x:v>
      </x:c>
      <x:c r="Q404" s="134" t="str">
        <x:v>synthetic_scientific</x:v>
      </x:c>
      <x:c r="R404" s="135" t="str">
        <x:v>BLENKIR_V6_SYNTH_20260924</x:v>
      </x:c>
    </x:row>
    <x:row r="405" ht="32" customHeight="1">
      <x:c r="A405" s="133" t="str">
        <x:v>EST-0223</x:v>
      </x:c>
      <x:c r="B405" s="134" t="str">
        <x:v>EST-0223-T1</x:v>
      </x:c>
      <x:c r="C405" s="134" t="str">
        <x:v>2026-07-31</x:v>
      </x:c>
      <x:c r="D405" s="134" t="str">
        <x:v>2026-12-15</x:v>
      </x:c>
      <x:c r="E405" s="134" t="n">
        <x:v>6</x:v>
      </x:c>
      <x:c r="F405" s="134" t="str">
        <x:v>6A</x:v>
      </x:c>
      <x:c r="G405" s="140" t="n">
        <x:v>15.76</x:v>
      </x:c>
      <x:c r="H405" s="140" t="n">
        <x:v>0</x:v>
      </x:c>
      <x:c r="I405" s="140" t="n">
        <x:v>99.5</x:v>
      </x:c>
      <x:c r="J405" s="140" t="n">
        <x:v>8.77</x:v>
      </x:c>
      <x:c r="K405" s="140" t="n">
        <x:v>14.11</x:v>
      </x:c>
      <x:c r="L405" s="140" t="n">
        <x:v>15</x:v>
      </x:c>
      <x:c r="M405" s="140" t="n">
        <x:v>14</x:v>
      </x:c>
      <x:c r="N405" s="134" t="n">
        <x:v>0</x:v>
      </x:c>
      <x:c r="O405" s="134" t="str">
        <x:v>permanece</x:v>
      </x:c>
      <x:c r="P405" s="134" t="str">
        <x:v>train</x:v>
      </x:c>
      <x:c r="Q405" s="134" t="str">
        <x:v>synthetic_scientific</x:v>
      </x:c>
      <x:c r="R405" s="135" t="str">
        <x:v>BLENKIR_V6_SYNTH_20260924</x:v>
      </x:c>
    </x:row>
    <x:row r="406" ht="32" customHeight="1">
      <x:c r="A406" s="133" t="str">
        <x:v>EST-0223</x:v>
      </x:c>
      <x:c r="B406" s="134" t="str">
        <x:v>EST-0223-T2</x:v>
      </x:c>
      <x:c r="C406" s="134" t="str">
        <x:v>2026-09-21</x:v>
      </x:c>
      <x:c r="D406" s="134" t="str">
        <x:v>2026-12-15</x:v>
      </x:c>
      <x:c r="E406" s="134" t="n">
        <x:v>6</x:v>
      </x:c>
      <x:c r="F406" s="134" t="str">
        <x:v>6A</x:v>
      </x:c>
      <x:c r="G406" s="140" t="n">
        <x:v>16.57</x:v>
      </x:c>
      <x:c r="H406" s="140" t="n">
        <x:v>0</x:v>
      </x:c>
      <x:c r="I406" s="140" t="n">
        <x:v>97.41</x:v>
      </x:c>
      <x:c r="J406" s="140" t="n">
        <x:v>8.16</x:v>
      </x:c>
      <x:c r="K406" s="140" t="n">
        <x:v>14.14</x:v>
      </x:c>
      <x:c r="L406" s="140" t="n">
        <x:v>15</x:v>
      </x:c>
      <x:c r="M406" s="140" t="n">
        <x:v>13</x:v>
      </x:c>
      <x:c r="N406" s="134" t="n">
        <x:v>0</x:v>
      </x:c>
      <x:c r="O406" s="134" t="str">
        <x:v>permanece</x:v>
      </x:c>
      <x:c r="P406" s="134" t="str">
        <x:v>train</x:v>
      </x:c>
      <x:c r="Q406" s="134" t="str">
        <x:v>synthetic_scientific</x:v>
      </x:c>
      <x:c r="R406" s="135" t="str">
        <x:v>BLENKIR_V6_SYNTH_20260924</x:v>
      </x:c>
    </x:row>
    <x:row r="407" ht="32" customHeight="1">
      <x:c r="A407" s="133" t="str">
        <x:v>EST-0224</x:v>
      </x:c>
      <x:c r="B407" s="134" t="str">
        <x:v>EST-0224-T1</x:v>
      </x:c>
      <x:c r="C407" s="134" t="str">
        <x:v>2026-07-31</x:v>
      </x:c>
      <x:c r="D407" s="134" t="str">
        <x:v>2026-12-15</x:v>
      </x:c>
      <x:c r="E407" s="134" t="n">
        <x:v>6</x:v>
      </x:c>
      <x:c r="F407" s="134" t="str">
        <x:v>6A</x:v>
      </x:c>
      <x:c r="G407" s="140" t="n">
        <x:v>14.46</x:v>
      </x:c>
      <x:c r="H407" s="140" t="n">
        <x:v>0</x:v>
      </x:c>
      <x:c r="I407" s="140" t="n">
        <x:v>91.69</x:v>
      </x:c>
      <x:c r="J407" s="140" t="n">
        <x:v>7.97</x:v>
      </x:c>
      <x:c r="K407" s="140" t="n">
        <x:v>14.66</x:v>
      </x:c>
      <x:c r="L407" s="140" t="n">
        <x:v>17</x:v>
      </x:c>
      <x:c r="M407" s="140" t="n">
        <x:v>10</x:v>
      </x:c>
      <x:c r="N407" s="134" t="n">
        <x:v>0</x:v>
      </x:c>
      <x:c r="O407" s="134" t="str">
        <x:v>permanece</x:v>
      </x:c>
      <x:c r="P407" s="134" t="str">
        <x:v>train</x:v>
      </x:c>
      <x:c r="Q407" s="134" t="str">
        <x:v>synthetic_scientific</x:v>
      </x:c>
      <x:c r="R407" s="135" t="str">
        <x:v>BLENKIR_V6_SYNTH_20260924</x:v>
      </x:c>
    </x:row>
    <x:row r="408" ht="32" customHeight="1">
      <x:c r="A408" s="133" t="str">
        <x:v>EST-0224</x:v>
      </x:c>
      <x:c r="B408" s="134" t="str">
        <x:v>EST-0224-T2</x:v>
      </x:c>
      <x:c r="C408" s="134" t="str">
        <x:v>2026-09-21</x:v>
      </x:c>
      <x:c r="D408" s="134" t="str">
        <x:v>2026-12-15</x:v>
      </x:c>
      <x:c r="E408" s="134" t="n">
        <x:v>6</x:v>
      </x:c>
      <x:c r="F408" s="134" t="str">
        <x:v>6A</x:v>
      </x:c>
      <x:c r="G408" s="140" t="n">
        <x:v>13.18</x:v>
      </x:c>
      <x:c r="H408" s="140" t="n">
        <x:v>0</x:v>
      </x:c>
      <x:c r="I408" s="140" t="n">
        <x:v>92.43</x:v>
      </x:c>
      <x:c r="J408" s="140" t="n">
        <x:v>6.94</x:v>
      </x:c>
      <x:c r="K408" s="140" t="n">
        <x:v>15.9</x:v>
      </x:c>
      <x:c r="L408" s="140" t="n">
        <x:v>16</x:v>
      </x:c>
      <x:c r="M408" s="140" t="n">
        <x:v>10</x:v>
      </x:c>
      <x:c r="N408" s="134" t="n">
        <x:v>0</x:v>
      </x:c>
      <x:c r="O408" s="134" t="str">
        <x:v>permanece</x:v>
      </x:c>
      <x:c r="P408" s="134" t="str">
        <x:v>train</x:v>
      </x:c>
      <x:c r="Q408" s="134" t="str">
        <x:v>synthetic_scientific</x:v>
      </x:c>
      <x:c r="R408" s="135" t="str">
        <x:v>BLENKIR_V6_SYNTH_20260924</x:v>
      </x:c>
    </x:row>
    <x:row r="409" ht="32" customHeight="1">
      <x:c r="A409" s="133" t="str">
        <x:v>EST-0226</x:v>
      </x:c>
      <x:c r="B409" s="134" t="str">
        <x:v>EST-0226-T1</x:v>
      </x:c>
      <x:c r="C409" s="134" t="str">
        <x:v>2026-07-31</x:v>
      </x:c>
      <x:c r="D409" s="134" t="str">
        <x:v>2026-12-15</x:v>
      </x:c>
      <x:c r="E409" s="134" t="n">
        <x:v>6</x:v>
      </x:c>
      <x:c r="F409" s="134" t="str">
        <x:v>6A</x:v>
      </x:c>
      <x:c r="G409" s="140" t="n">
        <x:v>14.92</x:v>
      </x:c>
      <x:c r="H409" s="140" t="n">
        <x:v>0</x:v>
      </x:c>
      <x:c r="I409" s="140" t="n">
        <x:v>96.53</x:v>
      </x:c>
      <x:c r="J409" s="140" t="n">
        <x:v>6.66</x:v>
      </x:c>
      <x:c r="K409" s="140" t="n">
        <x:v>7.31</x:v>
      </x:c>
      <x:c r="L409" s="140" t="n">
        <x:v>8</x:v>
      </x:c>
      <x:c r="M409" s="140" t="n">
        <x:v>9</x:v>
      </x:c>
      <x:c r="N409" s="134" t="n">
        <x:v>0</x:v>
      </x:c>
      <x:c r="O409" s="134" t="str">
        <x:v>permanece</x:v>
      </x:c>
      <x:c r="P409" s="134" t="str">
        <x:v>validation</x:v>
      </x:c>
      <x:c r="Q409" s="134" t="str">
        <x:v>synthetic_scientific</x:v>
      </x:c>
      <x:c r="R409" s="135" t="str">
        <x:v>BLENKIR_V6_SYNTH_20260924</x:v>
      </x:c>
    </x:row>
    <x:row r="410" ht="32" customHeight="1">
      <x:c r="A410" s="133" t="str">
        <x:v>EST-0226</x:v>
      </x:c>
      <x:c r="B410" s="134" t="str">
        <x:v>EST-0226-T2</x:v>
      </x:c>
      <x:c r="C410" s="134" t="str">
        <x:v>2026-09-21</x:v>
      </x:c>
      <x:c r="D410" s="134" t="str">
        <x:v>2026-12-15</x:v>
      </x:c>
      <x:c r="E410" s="134" t="n">
        <x:v>6</x:v>
      </x:c>
      <x:c r="F410" s="134" t="str">
        <x:v>6A</x:v>
      </x:c>
      <x:c r="G410" s="140" t="n">
        <x:v>13.85</x:v>
      </x:c>
      <x:c r="H410" s="140" t="n">
        <x:v>0</x:v>
      </x:c>
      <x:c r="I410" s="140" t="n">
        <x:v>96.73</x:v>
      </x:c>
      <x:c r="J410" s="140" t="n">
        <x:v>6.38</x:v>
      </x:c>
      <x:c r="K410" s="140" t="n">
        <x:v>8.62</x:v>
      </x:c>
      <x:c r="L410" s="140" t="n">
        <x:v>10</x:v>
      </x:c>
      <x:c r="M410" s="140" t="n">
        <x:v>8</x:v>
      </x:c>
      <x:c r="N410" s="134" t="n">
        <x:v>0</x:v>
      </x:c>
      <x:c r="O410" s="134" t="str">
        <x:v>permanece</x:v>
      </x:c>
      <x:c r="P410" s="134" t="str">
        <x:v>validation</x:v>
      </x:c>
      <x:c r="Q410" s="134" t="str">
        <x:v>synthetic_scientific</x:v>
      </x:c>
      <x:c r="R410" s="135" t="str">
        <x:v>BLENKIR_V6_SYNTH_20260924</x:v>
      </x:c>
    </x:row>
    <x:row r="411" ht="32" customHeight="1">
      <x:c r="A411" s="133" t="str">
        <x:v>EST-0227</x:v>
      </x:c>
      <x:c r="B411" s="134" t="str">
        <x:v>EST-0227-T1</x:v>
      </x:c>
      <x:c r="C411" s="134" t="str">
        <x:v>2026-07-31</x:v>
      </x:c>
      <x:c r="D411" s="134" t="str">
        <x:v>2026-12-15</x:v>
      </x:c>
      <x:c r="E411" s="134" t="n">
        <x:v>6</x:v>
      </x:c>
      <x:c r="F411" s="134" t="str">
        <x:v>6A</x:v>
      </x:c>
      <x:c r="G411" s="140" t="n">
        <x:v>19.29</x:v>
      </x:c>
      <x:c r="H411" s="140" t="n">
        <x:v>0</x:v>
      </x:c>
      <x:c r="I411" s="140" t="n">
        <x:v>99.5</x:v>
      </x:c>
      <x:c r="J411" s="140" t="n">
        <x:v>8.85</x:v>
      </x:c>
      <x:c r="K411" s="140" t="n">
        <x:v>13.35</x:v>
      </x:c>
      <x:c r="L411" s="140" t="n">
        <x:v>16</x:v>
      </x:c>
      <x:c r="M411" s="140" t="n">
        <x:v>13</x:v>
      </x:c>
      <x:c r="N411" s="134" t="n">
        <x:v>0</x:v>
      </x:c>
      <x:c r="O411" s="134" t="str">
        <x:v>permanece</x:v>
      </x:c>
      <x:c r="P411" s="134" t="str">
        <x:v>holdout</x:v>
      </x:c>
      <x:c r="Q411" s="134" t="str">
        <x:v>synthetic_scientific</x:v>
      </x:c>
      <x:c r="R411" s="135" t="str">
        <x:v>BLENKIR_V6_SYNTH_20260924</x:v>
      </x:c>
    </x:row>
    <x:row r="412" ht="32" customHeight="1">
      <x:c r="A412" s="133" t="str">
        <x:v>EST-0227</x:v>
      </x:c>
      <x:c r="B412" s="134" t="str">
        <x:v>EST-0227-T2</x:v>
      </x:c>
      <x:c r="C412" s="134" t="str">
        <x:v>2026-09-21</x:v>
      </x:c>
      <x:c r="D412" s="134" t="str">
        <x:v>2026-12-15</x:v>
      </x:c>
      <x:c r="E412" s="134" t="n">
        <x:v>6</x:v>
      </x:c>
      <x:c r="F412" s="134" t="str">
        <x:v>6A</x:v>
      </x:c>
      <x:c r="G412" s="140" t="n">
        <x:v>18.03</x:v>
      </x:c>
      <x:c r="H412" s="140" t="n">
        <x:v>0</x:v>
      </x:c>
      <x:c r="I412" s="140" t="n">
        <x:v>99.5</x:v>
      </x:c>
      <x:c r="J412" s="140" t="n">
        <x:v>8.42</x:v>
      </x:c>
      <x:c r="K412" s="140" t="n">
        <x:v>15.31</x:v>
      </x:c>
      <x:c r="L412" s="140" t="n">
        <x:v>16</x:v>
      </x:c>
      <x:c r="M412" s="140" t="n">
        <x:v>11</x:v>
      </x:c>
      <x:c r="N412" s="134" t="n">
        <x:v>0</x:v>
      </x:c>
      <x:c r="O412" s="134" t="str">
        <x:v>permanece</x:v>
      </x:c>
      <x:c r="P412" s="134" t="str">
        <x:v>holdout</x:v>
      </x:c>
      <x:c r="Q412" s="134" t="str">
        <x:v>synthetic_scientific</x:v>
      </x:c>
      <x:c r="R412" s="135" t="str">
        <x:v>BLENKIR_V6_SYNTH_20260924</x:v>
      </x:c>
    </x:row>
    <x:row r="413" ht="32" customHeight="1">
      <x:c r="A413" s="133" t="str">
        <x:v>EST-0228</x:v>
      </x:c>
      <x:c r="B413" s="134" t="str">
        <x:v>EST-0228-T1</x:v>
      </x:c>
      <x:c r="C413" s="134" t="str">
        <x:v>2026-07-31</x:v>
      </x:c>
      <x:c r="D413" s="134" t="str">
        <x:v>2026-12-15</x:v>
      </x:c>
      <x:c r="E413" s="134" t="n">
        <x:v>6</x:v>
      </x:c>
      <x:c r="F413" s="134" t="str">
        <x:v>6A</x:v>
      </x:c>
      <x:c r="G413" s="140" t="n">
        <x:v>15.55</x:v>
      </x:c>
      <x:c r="H413" s="140" t="n">
        <x:v>0</x:v>
      </x:c>
      <x:c r="I413" s="140" t="n">
        <x:v>87.88</x:v>
      </x:c>
      <x:c r="J413" s="140" t="n">
        <x:v>9.84</x:v>
      </x:c>
      <x:c r="K413" s="140" t="n">
        <x:v>14.77</x:v>
      </x:c>
      <x:c r="L413" s="140" t="n">
        <x:v>18</x:v>
      </x:c>
      <x:c r="M413" s="140" t="n">
        <x:v>11</x:v>
      </x:c>
      <x:c r="N413" s="134" t="n">
        <x:v>0</x:v>
      </x:c>
      <x:c r="O413" s="134" t="str">
        <x:v>permanece</x:v>
      </x:c>
      <x:c r="P413" s="134" t="str">
        <x:v>train</x:v>
      </x:c>
      <x:c r="Q413" s="134" t="str">
        <x:v>synthetic_scientific</x:v>
      </x:c>
      <x:c r="R413" s="135" t="str">
        <x:v>BLENKIR_V6_SYNTH_20260924</x:v>
      </x:c>
    </x:row>
    <x:row r="414" ht="32" customHeight="1">
      <x:c r="A414" s="133" t="str">
        <x:v>EST-0228</x:v>
      </x:c>
      <x:c r="B414" s="134" t="str">
        <x:v>EST-0228-T2</x:v>
      </x:c>
      <x:c r="C414" s="134" t="str">
        <x:v>2026-09-21</x:v>
      </x:c>
      <x:c r="D414" s="134" t="str">
        <x:v>2026-12-15</x:v>
      </x:c>
      <x:c r="E414" s="134" t="n">
        <x:v>6</x:v>
      </x:c>
      <x:c r="F414" s="134" t="str">
        <x:v>6A</x:v>
      </x:c>
      <x:c r="G414" s="140" t="n">
        <x:v>14.57</x:v>
      </x:c>
      <x:c r="H414" s="140" t="n">
        <x:v>0</x:v>
      </x:c>
      <x:c r="I414" s="140" t="n">
        <x:v>86.23</x:v>
      </x:c>
      <x:c r="J414" s="140" t="n">
        <x:v>8.11</x:v>
      </x:c>
      <x:c r="K414" s="140" t="n">
        <x:v>15.23</x:v>
      </x:c>
      <x:c r="L414" s="140" t="n">
        <x:v>13</x:v>
      </x:c>
      <x:c r="M414" s="140" t="n">
        <x:v>11</x:v>
      </x:c>
      <x:c r="N414" s="134" t="n">
        <x:v>0</x:v>
      </x:c>
      <x:c r="O414" s="134" t="str">
        <x:v>permanece</x:v>
      </x:c>
      <x:c r="P414" s="134" t="str">
        <x:v>train</x:v>
      </x:c>
      <x:c r="Q414" s="134" t="str">
        <x:v>synthetic_scientific</x:v>
      </x:c>
      <x:c r="R414" s="135" t="str">
        <x:v>BLENKIR_V6_SYNTH_20260924</x:v>
      </x:c>
    </x:row>
    <x:row r="415" ht="32" customHeight="1">
      <x:c r="A415" s="133" t="str">
        <x:v>EST-0229</x:v>
      </x:c>
      <x:c r="B415" s="134" t="str">
        <x:v>EST-0229-T1</x:v>
      </x:c>
      <x:c r="C415" s="134" t="str">
        <x:v>2026-07-31</x:v>
      </x:c>
      <x:c r="D415" s="134" t="str">
        <x:v>2026-12-15</x:v>
      </x:c>
      <x:c r="E415" s="134" t="n">
        <x:v>6</x:v>
      </x:c>
      <x:c r="F415" s="134" t="str">
        <x:v>6B</x:v>
      </x:c>
      <x:c r="G415" s="140" t="n">
        <x:v>18.09</x:v>
      </x:c>
      <x:c r="H415" s="140" t="n">
        <x:v>0</x:v>
      </x:c>
      <x:c r="I415" s="140" t="n">
        <x:v>96.42</x:v>
      </x:c>
      <x:c r="J415" s="140" t="n">
        <x:v>8.32</x:v>
      </x:c>
      <x:c r="K415" s="140" t="n">
        <x:v>16.06</x:v>
      </x:c>
      <x:c r="L415" s="140" t="n">
        <x:v>13</x:v>
      </x:c>
      <x:c r="M415" s="140" t="n">
        <x:v>14</x:v>
      </x:c>
      <x:c r="N415" s="134" t="n">
        <x:v>0</x:v>
      </x:c>
      <x:c r="O415" s="134" t="str">
        <x:v>permanece</x:v>
      </x:c>
      <x:c r="P415" s="134" t="str">
        <x:v>train</x:v>
      </x:c>
      <x:c r="Q415" s="134" t="str">
        <x:v>synthetic_scientific</x:v>
      </x:c>
      <x:c r="R415" s="135" t="str">
        <x:v>BLENKIR_V6_SYNTH_20260924</x:v>
      </x:c>
    </x:row>
    <x:row r="416" ht="32" customHeight="1">
      <x:c r="A416" s="133" t="str">
        <x:v>EST-0229</x:v>
      </x:c>
      <x:c r="B416" s="134" t="str">
        <x:v>EST-0229-T2</x:v>
      </x:c>
      <x:c r="C416" s="134" t="str">
        <x:v>2026-09-21</x:v>
      </x:c>
      <x:c r="D416" s="134" t="str">
        <x:v>2026-12-15</x:v>
      </x:c>
      <x:c r="E416" s="134" t="n">
        <x:v>6</x:v>
      </x:c>
      <x:c r="F416" s="134" t="str">
        <x:v>6B</x:v>
      </x:c>
      <x:c r="G416" s="140" t="n">
        <x:v>16.26</x:v>
      </x:c>
      <x:c r="H416" s="140" t="n">
        <x:v>0</x:v>
      </x:c>
      <x:c r="I416" s="140" t="n">
        <x:v>99.35</x:v>
      </x:c>
      <x:c r="J416" s="140" t="n">
        <x:v>7.14</x:v>
      </x:c>
      <x:c r="K416" s="140" t="n">
        <x:v>14.35</x:v>
      </x:c>
      <x:c r="L416" s="140" t="n">
        <x:v>14</x:v>
      </x:c>
      <x:c r="M416" s="140" t="n">
        <x:v>13</x:v>
      </x:c>
      <x:c r="N416" s="134" t="n">
        <x:v>0</x:v>
      </x:c>
      <x:c r="O416" s="134" t="str">
        <x:v>permanece</x:v>
      </x:c>
      <x:c r="P416" s="134" t="str">
        <x:v>train</x:v>
      </x:c>
      <x:c r="Q416" s="134" t="str">
        <x:v>synthetic_scientific</x:v>
      </x:c>
      <x:c r="R416" s="135" t="str">
        <x:v>BLENKIR_V6_SYNTH_20260924</x:v>
      </x:c>
    </x:row>
    <x:row r="417" ht="32" customHeight="1">
      <x:c r="A417" s="133" t="str">
        <x:v>EST-0230</x:v>
      </x:c>
      <x:c r="B417" s="134" t="str">
        <x:v>EST-0230-T1</x:v>
      </x:c>
      <x:c r="C417" s="134" t="str">
        <x:v>2026-07-31</x:v>
      </x:c>
      <x:c r="D417" s="134" t="str">
        <x:v>2026-12-15</x:v>
      </x:c>
      <x:c r="E417" s="134" t="n">
        <x:v>6</x:v>
      </x:c>
      <x:c r="F417" s="134" t="str">
        <x:v>6B</x:v>
      </x:c>
      <x:c r="G417" s="140" t="n">
        <x:v>17.13</x:v>
      </x:c>
      <x:c r="H417" s="140" t="n">
        <x:v>0</x:v>
      </x:c>
      <x:c r="I417" s="140" t="n">
        <x:v>88.88</x:v>
      </x:c>
      <x:c r="J417" s="140" t="n">
        <x:v>8.85</x:v>
      </x:c>
      <x:c r="K417" s="140" t="n">
        <x:v>16.62</x:v>
      </x:c>
      <x:c r="L417" s="140" t="n">
        <x:v>16</x:v>
      </x:c>
      <x:c r="M417" s="140" t="n">
        <x:v>12</x:v>
      </x:c>
      <x:c r="N417" s="134" t="n">
        <x:v>0</x:v>
      </x:c>
      <x:c r="O417" s="134" t="str">
        <x:v>permanece</x:v>
      </x:c>
      <x:c r="P417" s="134" t="str">
        <x:v>train</x:v>
      </x:c>
      <x:c r="Q417" s="134" t="str">
        <x:v>synthetic_scientific</x:v>
      </x:c>
      <x:c r="R417" s="135" t="str">
        <x:v>BLENKIR_V6_SYNTH_20260924</x:v>
      </x:c>
    </x:row>
    <x:row r="418" ht="32" customHeight="1">
      <x:c r="A418" s="133" t="str">
        <x:v>EST-0230</x:v>
      </x:c>
      <x:c r="B418" s="134" t="str">
        <x:v>EST-0230-T2</x:v>
      </x:c>
      <x:c r="C418" s="134" t="str">
        <x:v>2026-09-21</x:v>
      </x:c>
      <x:c r="D418" s="134" t="str">
        <x:v>2026-12-15</x:v>
      </x:c>
      <x:c r="E418" s="134" t="n">
        <x:v>6</x:v>
      </x:c>
      <x:c r="F418" s="134" t="str">
        <x:v>6B</x:v>
      </x:c>
      <x:c r="G418" s="140" t="n">
        <x:v>17.45</x:v>
      </x:c>
      <x:c r="H418" s="140" t="n">
        <x:v>0</x:v>
      </x:c>
      <x:c r="I418" s="140" t="n">
        <x:v>87.8</x:v>
      </x:c>
      <x:c r="J418" s="140" t="n">
        <x:v>9.13</x:v>
      </x:c>
      <x:c r="K418" s="140" t="n">
        <x:v>16.65</x:v>
      </x:c>
      <x:c r="L418" s="140" t="n">
        <x:v>16</x:v>
      </x:c>
      <x:c r="M418" s="140" t="n">
        <x:v>11</x:v>
      </x:c>
      <x:c r="N418" s="134" t="n">
        <x:v>0</x:v>
      </x:c>
      <x:c r="O418" s="134" t="str">
        <x:v>permanece</x:v>
      </x:c>
      <x:c r="P418" s="134" t="str">
        <x:v>train</x:v>
      </x:c>
      <x:c r="Q418" s="134" t="str">
        <x:v>synthetic_scientific</x:v>
      </x:c>
      <x:c r="R418" s="135" t="str">
        <x:v>BLENKIR_V6_SYNTH_20260924</x:v>
      </x:c>
    </x:row>
    <x:row r="419" ht="32" customHeight="1">
      <x:c r="A419" s="133" t="str">
        <x:v>EST-0231</x:v>
      </x:c>
      <x:c r="B419" s="134" t="str">
        <x:v>EST-0231-T1</x:v>
      </x:c>
      <x:c r="C419" s="134" t="str">
        <x:v>2026-07-31</x:v>
      </x:c>
      <x:c r="D419" s="134" t="str">
        <x:v>2026-12-15</x:v>
      </x:c>
      <x:c r="E419" s="134" t="n">
        <x:v>6</x:v>
      </x:c>
      <x:c r="F419" s="134" t="str">
        <x:v>6B</x:v>
      </x:c>
      <x:c r="G419" s="140" t="n">
        <x:v>16.97</x:v>
      </x:c>
      <x:c r="H419" s="140" t="n">
        <x:v>0</x:v>
      </x:c>
      <x:c r="I419" s="140" t="n">
        <x:v>87.97</x:v>
      </x:c>
      <x:c r="J419" s="140" t="n">
        <x:v>6.6</x:v>
      </x:c>
      <x:c r="K419" s="140" t="n">
        <x:v>16.02</x:v>
      </x:c>
      <x:c r="L419" s="140" t="n">
        <x:v>18</x:v>
      </x:c>
      <x:c r="M419" s="140" t="n">
        <x:v>12</x:v>
      </x:c>
      <x:c r="N419" s="134" t="n">
        <x:v>0</x:v>
      </x:c>
      <x:c r="O419" s="134" t="str">
        <x:v>permanece</x:v>
      </x:c>
      <x:c r="P419" s="134" t="str">
        <x:v>train</x:v>
      </x:c>
      <x:c r="Q419" s="134" t="str">
        <x:v>synthetic_scientific</x:v>
      </x:c>
      <x:c r="R419" s="135" t="str">
        <x:v>BLENKIR_V6_SYNTH_20260924</x:v>
      </x:c>
    </x:row>
    <x:row r="420" ht="32" customHeight="1">
      <x:c r="A420" s="133" t="str">
        <x:v>EST-0231</x:v>
      </x:c>
      <x:c r="B420" s="134" t="str">
        <x:v>EST-0231-T2</x:v>
      </x:c>
      <x:c r="C420" s="134" t="str">
        <x:v>2026-09-21</x:v>
      </x:c>
      <x:c r="D420" s="134" t="str">
        <x:v>2026-12-15</x:v>
      </x:c>
      <x:c r="E420" s="134" t="n">
        <x:v>6</x:v>
      </x:c>
      <x:c r="F420" s="134" t="str">
        <x:v>6B</x:v>
      </x:c>
      <x:c r="G420" s="140" t="n">
        <x:v>16.09</x:v>
      </x:c>
      <x:c r="H420" s="140" t="n">
        <x:v>0</x:v>
      </x:c>
      <x:c r="I420" s="140" t="n">
        <x:v>85.94</x:v>
      </x:c>
      <x:c r="J420" s="140" t="n">
        <x:v>8.86</x:v>
      </x:c>
      <x:c r="K420" s="140" t="n">
        <x:v>17.35</x:v>
      </x:c>
      <x:c r="L420" s="140" t="n">
        <x:v>17</x:v>
      </x:c>
      <x:c r="M420" s="140" t="n">
        <x:v>13</x:v>
      </x:c>
      <x:c r="N420" s="134" t="n">
        <x:v>0</x:v>
      </x:c>
      <x:c r="O420" s="134" t="str">
        <x:v>permanece</x:v>
      </x:c>
      <x:c r="P420" s="134" t="str">
        <x:v>train</x:v>
      </x:c>
      <x:c r="Q420" s="134" t="str">
        <x:v>synthetic_scientific</x:v>
      </x:c>
      <x:c r="R420" s="135" t="str">
        <x:v>BLENKIR_V6_SYNTH_20260924</x:v>
      </x:c>
    </x:row>
    <x:row r="421" ht="32" customHeight="1">
      <x:c r="A421" s="133" t="str">
        <x:v>EST-0232</x:v>
      </x:c>
      <x:c r="B421" s="134" t="str">
        <x:v>EST-0232-T1</x:v>
      </x:c>
      <x:c r="C421" s="134" t="str">
        <x:v>2026-07-31</x:v>
      </x:c>
      <x:c r="D421" s="134" t="str">
        <x:v>2026-12-15</x:v>
      </x:c>
      <x:c r="E421" s="134" t="n">
        <x:v>6</x:v>
      </x:c>
      <x:c r="F421" s="134" t="str">
        <x:v>6B</x:v>
      </x:c>
      <x:c r="G421" s="140" t="n">
        <x:v>16.54</x:v>
      </x:c>
      <x:c r="H421" s="140" t="n">
        <x:v>0</x:v>
      </x:c>
      <x:c r="I421" s="140" t="n">
        <x:v>88.36</x:v>
      </x:c>
      <x:c r="J421" s="140" t="n">
        <x:v>7.17</x:v>
      </x:c>
      <x:c r="K421" s="140" t="n">
        <x:v>11.12</x:v>
      </x:c>
      <x:c r="L421" s="140" t="n">
        <x:v>12</x:v>
      </x:c>
      <x:c r="M421" s="140" t="n">
        <x:v>12</x:v>
      </x:c>
      <x:c r="N421" s="134" t="n">
        <x:v>0</x:v>
      </x:c>
      <x:c r="O421" s="134" t="str">
        <x:v>permanece</x:v>
      </x:c>
      <x:c r="P421" s="134" t="str">
        <x:v>train</x:v>
      </x:c>
      <x:c r="Q421" s="134" t="str">
        <x:v>synthetic_scientific</x:v>
      </x:c>
      <x:c r="R421" s="135" t="str">
        <x:v>BLENKIR_V6_SYNTH_20260924</x:v>
      </x:c>
    </x:row>
    <x:row r="422" ht="32" customHeight="1">
      <x:c r="A422" s="133" t="str">
        <x:v>EST-0232</x:v>
      </x:c>
      <x:c r="B422" s="134" t="str">
        <x:v>EST-0232-T2</x:v>
      </x:c>
      <x:c r="C422" s="134" t="str">
        <x:v>2026-09-21</x:v>
      </x:c>
      <x:c r="D422" s="134" t="str">
        <x:v>2026-12-15</x:v>
      </x:c>
      <x:c r="E422" s="134" t="n">
        <x:v>6</x:v>
      </x:c>
      <x:c r="F422" s="134" t="str">
        <x:v>6B</x:v>
      </x:c>
      <x:c r="G422" s="140" t="n">
        <x:v>16.27</x:v>
      </x:c>
      <x:c r="H422" s="140" t="n">
        <x:v>0</x:v>
      </x:c>
      <x:c r="I422" s="140" t="n">
        <x:v>83.69</x:v>
      </x:c>
      <x:c r="J422" s="140" t="n">
        <x:v>6.51</x:v>
      </x:c>
      <x:c r="K422" s="140" t="n">
        <x:v>11.92</x:v>
      </x:c>
      <x:c r="L422" s="140" t="n">
        <x:v>12</x:v>
      </x:c>
      <x:c r="M422" s="140" t="n">
        <x:v>10</x:v>
      </x:c>
      <x:c r="N422" s="134" t="n">
        <x:v>0</x:v>
      </x:c>
      <x:c r="O422" s="134" t="str">
        <x:v>permanece</x:v>
      </x:c>
      <x:c r="P422" s="134" t="str">
        <x:v>train</x:v>
      </x:c>
      <x:c r="Q422" s="134" t="str">
        <x:v>synthetic_scientific</x:v>
      </x:c>
      <x:c r="R422" s="135" t="str">
        <x:v>BLENKIR_V6_SYNTH_20260924</x:v>
      </x:c>
    </x:row>
    <x:row r="423" ht="32" customHeight="1">
      <x:c r="A423" s="133" t="str">
        <x:v>EST-0233</x:v>
      </x:c>
      <x:c r="B423" s="134" t="str">
        <x:v>EST-0233-T1</x:v>
      </x:c>
      <x:c r="C423" s="134" t="str">
        <x:v>2026-07-31</x:v>
      </x:c>
      <x:c r="D423" s="134" t="str">
        <x:v>2026-12-15</x:v>
      </x:c>
      <x:c r="E423" s="134" t="n">
        <x:v>6</x:v>
      </x:c>
      <x:c r="F423" s="134" t="str">
        <x:v>6B</x:v>
      </x:c>
      <x:c r="G423" s="140" t="n">
        <x:v>15.45</x:v>
      </x:c>
      <x:c r="H423" s="140" t="n">
        <x:v>0</x:v>
      </x:c>
      <x:c r="I423" s="140" t="n">
        <x:v>99.2</x:v>
      </x:c>
      <x:c r="J423" s="140" t="n">
        <x:v>8.09</x:v>
      </x:c>
      <x:c r="K423" s="140" t="n">
        <x:v>14.06</x:v>
      </x:c>
      <x:c r="L423" s="140" t="n">
        <x:v>17</x:v>
      </x:c>
      <x:c r="M423" s="140" t="n">
        <x:v>13</x:v>
      </x:c>
      <x:c r="N423" s="134" t="n">
        <x:v>0</x:v>
      </x:c>
      <x:c r="O423" s="134" t="str">
        <x:v>permanece</x:v>
      </x:c>
      <x:c r="P423" s="134" t="str">
        <x:v>train</x:v>
      </x:c>
      <x:c r="Q423" s="134" t="str">
        <x:v>synthetic_scientific</x:v>
      </x:c>
      <x:c r="R423" s="135" t="str">
        <x:v>BLENKIR_V6_SYNTH_20260924</x:v>
      </x:c>
    </x:row>
    <x:row r="424" ht="32" customHeight="1">
      <x:c r="A424" s="133" t="str">
        <x:v>EST-0233</x:v>
      </x:c>
      <x:c r="B424" s="134" t="str">
        <x:v>EST-0233-T2</x:v>
      </x:c>
      <x:c r="C424" s="134" t="str">
        <x:v>2026-09-21</x:v>
      </x:c>
      <x:c r="D424" s="134" t="str">
        <x:v>2026-12-15</x:v>
      </x:c>
      <x:c r="E424" s="134" t="n">
        <x:v>6</x:v>
      </x:c>
      <x:c r="F424" s="134" t="str">
        <x:v>6B</x:v>
      </x:c>
      <x:c r="G424" s="140" t="n">
        <x:v>15.22</x:v>
      </x:c>
      <x:c r="H424" s="140" t="n">
        <x:v>0</x:v>
      </x:c>
      <x:c r="I424" s="140" t="n">
        <x:v>97.25</x:v>
      </x:c>
      <x:c r="J424" s="140" t="n">
        <x:v>8.98</x:v>
      </x:c>
      <x:c r="K424" s="140" t="n">
        <x:v>15.9</x:v>
      </x:c>
      <x:c r="L424" s="140" t="n">
        <x:v>17</x:v>
      </x:c>
      <x:c r="M424" s="140" t="n">
        <x:v>11</x:v>
      </x:c>
      <x:c r="N424" s="134" t="n">
        <x:v>0</x:v>
      </x:c>
      <x:c r="O424" s="134" t="str">
        <x:v>permanece</x:v>
      </x:c>
      <x:c r="P424" s="134" t="str">
        <x:v>train</x:v>
      </x:c>
      <x:c r="Q424" s="134" t="str">
        <x:v>synthetic_scientific</x:v>
      </x:c>
      <x:c r="R424" s="135" t="str">
        <x:v>BLENKIR_V6_SYNTH_20260924</x:v>
      </x:c>
    </x:row>
    <x:row r="425" ht="32" customHeight="1">
      <x:c r="A425" s="133" t="str">
        <x:v>EST-0234</x:v>
      </x:c>
      <x:c r="B425" s="134" t="str">
        <x:v>EST-0234-T1</x:v>
      </x:c>
      <x:c r="C425" s="134" t="str">
        <x:v>2026-07-31</x:v>
      </x:c>
      <x:c r="D425" s="134" t="str">
        <x:v>2026-12-15</x:v>
      </x:c>
      <x:c r="E425" s="134" t="n">
        <x:v>6</x:v>
      </x:c>
      <x:c r="F425" s="134" t="str">
        <x:v>6B</x:v>
      </x:c>
      <x:c r="G425" s="140" t="n">
        <x:v>16.53</x:v>
      </x:c>
      <x:c r="H425" s="140" t="n">
        <x:v>0</x:v>
      </x:c>
      <x:c r="I425" s="140" t="n">
        <x:v>92.81</x:v>
      </x:c>
      <x:c r="J425" s="140" t="n">
        <x:v>9.84</x:v>
      </x:c>
      <x:c r="K425" s="140" t="n">
        <x:v>16.19</x:v>
      </x:c>
      <x:c r="L425" s="140" t="n">
        <x:v>20</x:v>
      </x:c>
      <x:c r="M425" s="140" t="n">
        <x:v>11</x:v>
      </x:c>
      <x:c r="N425" s="134" t="n">
        <x:v>0</x:v>
      </x:c>
      <x:c r="O425" s="134" t="str">
        <x:v>permanece</x:v>
      </x:c>
      <x:c r="P425" s="134" t="str">
        <x:v>train</x:v>
      </x:c>
      <x:c r="Q425" s="134" t="str">
        <x:v>synthetic_scientific</x:v>
      </x:c>
      <x:c r="R425" s="135" t="str">
        <x:v>BLENKIR_V6_SYNTH_20260924</x:v>
      </x:c>
    </x:row>
    <x:row r="426" ht="32" customHeight="1">
      <x:c r="A426" s="133" t="str">
        <x:v>EST-0234</x:v>
      </x:c>
      <x:c r="B426" s="134" t="str">
        <x:v>EST-0234-T2</x:v>
      </x:c>
      <x:c r="C426" s="134" t="str">
        <x:v>2026-09-21</x:v>
      </x:c>
      <x:c r="D426" s="134" t="str">
        <x:v>2026-12-15</x:v>
      </x:c>
      <x:c r="E426" s="134" t="n">
        <x:v>6</x:v>
      </x:c>
      <x:c r="F426" s="134" t="str">
        <x:v>6B</x:v>
      </x:c>
      <x:c r="G426" s="140" t="n">
        <x:v>15.82</x:v>
      </x:c>
      <x:c r="H426" s="140" t="n">
        <x:v>0</x:v>
      </x:c>
      <x:c r="I426" s="140" t="n">
        <x:v>93.79</x:v>
      </x:c>
      <x:c r="J426" s="140" t="n">
        <x:v>8.73</x:v>
      </x:c>
      <x:c r="K426" s="140" t="n">
        <x:v>17.21</x:v>
      </x:c>
      <x:c r="L426" s="140" t="n">
        <x:v>18</x:v>
      </x:c>
      <x:c r="M426" s="140" t="n">
        <x:v>11</x:v>
      </x:c>
      <x:c r="N426" s="134" t="n">
        <x:v>0</x:v>
      </x:c>
      <x:c r="O426" s="134" t="str">
        <x:v>permanece</x:v>
      </x:c>
      <x:c r="P426" s="134" t="str">
        <x:v>train</x:v>
      </x:c>
      <x:c r="Q426" s="134" t="str">
        <x:v>synthetic_scientific</x:v>
      </x:c>
      <x:c r="R426" s="135" t="str">
        <x:v>BLENKIR_V6_SYNTH_20260924</x:v>
      </x:c>
    </x:row>
    <x:row r="427" ht="32" customHeight="1">
      <x:c r="A427" s="133" t="str">
        <x:v>EST-0235</x:v>
      </x:c>
      <x:c r="B427" s="134" t="str">
        <x:v>EST-0235-T1</x:v>
      </x:c>
      <x:c r="C427" s="134" t="str">
        <x:v>2026-07-31</x:v>
      </x:c>
      <x:c r="D427" s="134" t="str">
        <x:v>2026-12-15</x:v>
      </x:c>
      <x:c r="E427" s="134" t="n">
        <x:v>6</x:v>
      </x:c>
      <x:c r="F427" s="134" t="str">
        <x:v>6B</x:v>
      </x:c>
      <x:c r="G427" s="140" t="n">
        <x:v>17.12</x:v>
      </x:c>
      <x:c r="H427" s="140" t="n">
        <x:v>0</x:v>
      </x:c>
      <x:c r="I427" s="140" t="n">
        <x:v>93.05</x:v>
      </x:c>
      <x:c r="J427" s="140" t="n">
        <x:v>7.03</x:v>
      </x:c>
      <x:c r="K427" s="140" t="n">
        <x:v>18.48</x:v>
      </x:c>
      <x:c r="L427" s="140" t="n">
        <x:v>19</x:v>
      </x:c>
      <x:c r="M427" s="140" t="n">
        <x:v>10</x:v>
      </x:c>
      <x:c r="N427" s="134" t="n">
        <x:v>0</x:v>
      </x:c>
      <x:c r="O427" s="134" t="str">
        <x:v>permanece</x:v>
      </x:c>
      <x:c r="P427" s="134" t="str">
        <x:v>train</x:v>
      </x:c>
      <x:c r="Q427" s="134" t="str">
        <x:v>synthetic_scientific</x:v>
      </x:c>
      <x:c r="R427" s="135" t="str">
        <x:v>BLENKIR_V6_SYNTH_20260924</x:v>
      </x:c>
    </x:row>
    <x:row r="428" ht="32" customHeight="1">
      <x:c r="A428" s="133" t="str">
        <x:v>EST-0235</x:v>
      </x:c>
      <x:c r="B428" s="134" t="str">
        <x:v>EST-0235-T2</x:v>
      </x:c>
      <x:c r="C428" s="134" t="str">
        <x:v>2026-09-21</x:v>
      </x:c>
      <x:c r="D428" s="134" t="str">
        <x:v>2026-12-15</x:v>
      </x:c>
      <x:c r="E428" s="134" t="n">
        <x:v>6</x:v>
      </x:c>
      <x:c r="F428" s="134" t="str">
        <x:v>6B</x:v>
      </x:c>
      <x:c r="G428" s="140" t="n">
        <x:v>15.54</x:v>
      </x:c>
      <x:c r="H428" s="140" t="n">
        <x:v>0</x:v>
      </x:c>
      <x:c r="I428" s="140" t="n">
        <x:v>97.23</x:v>
      </x:c>
      <x:c r="J428" s="140" t="n">
        <x:v>8.24</x:v>
      </x:c>
      <x:c r="K428" s="140" t="n">
        <x:v>18.16</x:v>
      </x:c>
      <x:c r="L428" s="140" t="n">
        <x:v>17</x:v>
      </x:c>
      <x:c r="M428" s="140" t="n">
        <x:v>12</x:v>
      </x:c>
      <x:c r="N428" s="134" t="n">
        <x:v>0</x:v>
      </x:c>
      <x:c r="O428" s="134" t="str">
        <x:v>permanece</x:v>
      </x:c>
      <x:c r="P428" s="134" t="str">
        <x:v>train</x:v>
      </x:c>
      <x:c r="Q428" s="134" t="str">
        <x:v>synthetic_scientific</x:v>
      </x:c>
      <x:c r="R428" s="135" t="str">
        <x:v>BLENKIR_V6_SYNTH_20260924</x:v>
      </x:c>
    </x:row>
    <x:row r="429" ht="32" customHeight="1">
      <x:c r="A429" s="133" t="str">
        <x:v>EST-0237</x:v>
      </x:c>
      <x:c r="B429" s="134" t="str">
        <x:v>EST-0237-T1</x:v>
      </x:c>
      <x:c r="C429" s="134" t="str">
        <x:v>2026-07-31</x:v>
      </x:c>
      <x:c r="D429" s="134" t="str">
        <x:v>2026-12-15</x:v>
      </x:c>
      <x:c r="E429" s="134" t="n">
        <x:v>6</x:v>
      </x:c>
      <x:c r="F429" s="134" t="str">
        <x:v>6B</x:v>
      </x:c>
      <x:c r="G429" s="140" t="n">
        <x:v>15.23</x:v>
      </x:c>
      <x:c r="H429" s="140" t="n">
        <x:v>0</x:v>
      </x:c>
      <x:c r="I429" s="140" t="n">
        <x:v>95.58</x:v>
      </x:c>
      <x:c r="J429" s="140" t="n">
        <x:v>10.14</x:v>
      </x:c>
      <x:c r="K429" s="140" t="n">
        <x:v>15.61</x:v>
      </x:c>
      <x:c r="L429" s="140" t="n">
        <x:v>17</x:v>
      </x:c>
      <x:c r="M429" s="140" t="n">
        <x:v>13</x:v>
      </x:c>
      <x:c r="N429" s="134" t="n">
        <x:v>0</x:v>
      </x:c>
      <x:c r="O429" s="134" t="str">
        <x:v>permanece</x:v>
      </x:c>
      <x:c r="P429" s="134" t="str">
        <x:v>train</x:v>
      </x:c>
      <x:c r="Q429" s="134" t="str">
        <x:v>synthetic_scientific</x:v>
      </x:c>
      <x:c r="R429" s="135" t="str">
        <x:v>BLENKIR_V6_SYNTH_20260924</x:v>
      </x:c>
    </x:row>
    <x:row r="430" ht="32" customHeight="1">
      <x:c r="A430" s="133" t="str">
        <x:v>EST-0237</x:v>
      </x:c>
      <x:c r="B430" s="134" t="str">
        <x:v>EST-0237-T2</x:v>
      </x:c>
      <x:c r="C430" s="134" t="str">
        <x:v>2026-09-21</x:v>
      </x:c>
      <x:c r="D430" s="134" t="str">
        <x:v>2026-12-15</x:v>
      </x:c>
      <x:c r="E430" s="134" t="n">
        <x:v>6</x:v>
      </x:c>
      <x:c r="F430" s="134" t="str">
        <x:v>6B</x:v>
      </x:c>
      <x:c r="G430" s="140" t="n">
        <x:v>16.63</x:v>
      </x:c>
      <x:c r="H430" s="140" t="n">
        <x:v>0</x:v>
      </x:c>
      <x:c r="I430" s="140" t="n">
        <x:v>92.95</x:v>
      </x:c>
      <x:c r="J430" s="140" t="n">
        <x:v>9.44</x:v>
      </x:c>
      <x:c r="K430" s="140" t="n">
        <x:v>15.76</x:v>
      </x:c>
      <x:c r="L430" s="140" t="n">
        <x:v>17</x:v>
      </x:c>
      <x:c r="M430" s="140" t="n">
        <x:v>14</x:v>
      </x:c>
      <x:c r="N430" s="134" t="n">
        <x:v>0</x:v>
      </x:c>
      <x:c r="O430" s="134" t="str">
        <x:v>permanece</x:v>
      </x:c>
      <x:c r="P430" s="134" t="str">
        <x:v>train</x:v>
      </x:c>
      <x:c r="Q430" s="134" t="str">
        <x:v>synthetic_scientific</x:v>
      </x:c>
      <x:c r="R430" s="135" t="str">
        <x:v>BLENKIR_V6_SYNTH_20260924</x:v>
      </x:c>
    </x:row>
    <x:row r="431" ht="32" customHeight="1">
      <x:c r="A431" s="133" t="str">
        <x:v>EST-0238</x:v>
      </x:c>
      <x:c r="B431" s="134" t="str">
        <x:v>EST-0238-T1</x:v>
      </x:c>
      <x:c r="C431" s="134" t="str">
        <x:v>2026-07-31</x:v>
      </x:c>
      <x:c r="D431" s="134" t="str">
        <x:v>2026-12-15</x:v>
      </x:c>
      <x:c r="E431" s="134" t="n">
        <x:v>6</x:v>
      </x:c>
      <x:c r="F431" s="134" t="str">
        <x:v>6B</x:v>
      </x:c>
      <x:c r="G431" s="140" t="n">
        <x:v>14.14</x:v>
      </x:c>
      <x:c r="H431" s="140" t="n">
        <x:v>0</x:v>
      </x:c>
      <x:c r="I431" s="140" t="n">
        <x:v>95.57</x:v>
      </x:c>
      <x:c r="J431" s="140" t="n">
        <x:v>9.95</x:v>
      </x:c>
      <x:c r="K431" s="140" t="n">
        <x:v>17.49</x:v>
      </x:c>
      <x:c r="L431" s="140" t="n">
        <x:v>17</x:v>
      </x:c>
      <x:c r="M431" s="140" t="n">
        <x:v>17</x:v>
      </x:c>
      <x:c r="N431" s="134" t="n">
        <x:v>0</x:v>
      </x:c>
      <x:c r="O431" s="134" t="str">
        <x:v>permanece</x:v>
      </x:c>
      <x:c r="P431" s="134" t="str">
        <x:v>train</x:v>
      </x:c>
      <x:c r="Q431" s="134" t="str">
        <x:v>synthetic_scientific</x:v>
      </x:c>
      <x:c r="R431" s="135" t="str">
        <x:v>BLENKIR_V6_SYNTH_20260924</x:v>
      </x:c>
    </x:row>
    <x:row r="432" ht="32" customHeight="1">
      <x:c r="A432" s="133" t="str">
        <x:v>EST-0238</x:v>
      </x:c>
      <x:c r="B432" s="134" t="str">
        <x:v>EST-0238-T2</x:v>
      </x:c>
      <x:c r="C432" s="134" t="str">
        <x:v>2026-09-21</x:v>
      </x:c>
      <x:c r="D432" s="134" t="str">
        <x:v>2026-12-15</x:v>
      </x:c>
      <x:c r="E432" s="134" t="n">
        <x:v>6</x:v>
      </x:c>
      <x:c r="F432" s="134" t="str">
        <x:v>6B</x:v>
      </x:c>
      <x:c r="G432" s="140" t="n">
        <x:v>13.86</x:v>
      </x:c>
      <x:c r="H432" s="140" t="n">
        <x:v>0</x:v>
      </x:c>
      <x:c r="I432" s="140" t="n">
        <x:v>96.51</x:v>
      </x:c>
      <x:c r="J432" s="140" t="n">
        <x:v>9.58</x:v>
      </x:c>
      <x:c r="K432" s="140" t="n">
        <x:v>18.37</x:v>
      </x:c>
      <x:c r="L432" s="140" t="n">
        <x:v>17</x:v>
      </x:c>
      <x:c r="M432" s="140" t="n">
        <x:v>16</x:v>
      </x:c>
      <x:c r="N432" s="134" t="n">
        <x:v>0</x:v>
      </x:c>
      <x:c r="O432" s="134" t="str">
        <x:v>permanece</x:v>
      </x:c>
      <x:c r="P432" s="134" t="str">
        <x:v>train</x:v>
      </x:c>
      <x:c r="Q432" s="134" t="str">
        <x:v>synthetic_scientific</x:v>
      </x:c>
      <x:c r="R432" s="135" t="str">
        <x:v>BLENKIR_V6_SYNTH_20260924</x:v>
      </x:c>
    </x:row>
    <x:row r="433" ht="32" customHeight="1">
      <x:c r="A433" s="133" t="str">
        <x:v>EST-0239</x:v>
      </x:c>
      <x:c r="B433" s="134" t="str">
        <x:v>EST-0239-T1</x:v>
      </x:c>
      <x:c r="C433" s="134" t="str">
        <x:v>2026-07-31</x:v>
      </x:c>
      <x:c r="D433" s="134" t="str">
        <x:v>2026-12-15</x:v>
      </x:c>
      <x:c r="E433" s="134" t="n">
        <x:v>6</x:v>
      </x:c>
      <x:c r="F433" s="134" t="str">
        <x:v>6B</x:v>
      </x:c>
      <x:c r="G433" s="140" t="n">
        <x:v>16</x:v>
      </x:c>
      <x:c r="H433" s="140" t="n">
        <x:v>0</x:v>
      </x:c>
      <x:c r="I433" s="140" t="n">
        <x:v>90.31</x:v>
      </x:c>
      <x:c r="J433" s="140" t="n">
        <x:v>9.32</x:v>
      </x:c>
      <x:c r="K433" s="140" t="n">
        <x:v>14.43</x:v>
      </x:c>
      <x:c r="L433" s="140" t="n">
        <x:v>13</x:v>
      </x:c>
      <x:c r="M433" s="140" t="n">
        <x:v>8</x:v>
      </x:c>
      <x:c r="N433" s="134" t="n">
        <x:v>0</x:v>
      </x:c>
      <x:c r="O433" s="134" t="str">
        <x:v>permanece</x:v>
      </x:c>
      <x:c r="P433" s="134" t="str">
        <x:v>validation</x:v>
      </x:c>
      <x:c r="Q433" s="134" t="str">
        <x:v>synthetic_scientific</x:v>
      </x:c>
      <x:c r="R433" s="135" t="str">
        <x:v>BLENKIR_V6_SYNTH_20260924</x:v>
      </x:c>
    </x:row>
    <x:row r="434" ht="32" customHeight="1">
      <x:c r="A434" s="133" t="str">
        <x:v>EST-0239</x:v>
      </x:c>
      <x:c r="B434" s="134" t="str">
        <x:v>EST-0239-T2</x:v>
      </x:c>
      <x:c r="C434" s="134" t="str">
        <x:v>2026-09-21</x:v>
      </x:c>
      <x:c r="D434" s="134" t="str">
        <x:v>2026-12-15</x:v>
      </x:c>
      <x:c r="E434" s="134" t="n">
        <x:v>6</x:v>
      </x:c>
      <x:c r="F434" s="134" t="str">
        <x:v>6B</x:v>
      </x:c>
      <x:c r="G434" s="140" t="n">
        <x:v>15.86</x:v>
      </x:c>
      <x:c r="H434" s="140" t="n">
        <x:v>0</x:v>
      </x:c>
      <x:c r="I434" s="140" t="n">
        <x:v>85.74</x:v>
      </x:c>
      <x:c r="J434" s="140" t="n">
        <x:v>8.01</x:v>
      </x:c>
      <x:c r="K434" s="140" t="n">
        <x:v>13.11</x:v>
      </x:c>
      <x:c r="L434" s="140" t="n">
        <x:v>12</x:v>
      </x:c>
      <x:c r="M434" s="140" t="n">
        <x:v>10</x:v>
      </x:c>
      <x:c r="N434" s="134" t="n">
        <x:v>0</x:v>
      </x:c>
      <x:c r="O434" s="134" t="str">
        <x:v>permanece</x:v>
      </x:c>
      <x:c r="P434" s="134" t="str">
        <x:v>validation</x:v>
      </x:c>
      <x:c r="Q434" s="134" t="str">
        <x:v>synthetic_scientific</x:v>
      </x:c>
      <x:c r="R434" s="135" t="str">
        <x:v>BLENKIR_V6_SYNTH_20260924</x:v>
      </x:c>
    </x:row>
    <x:row r="435" ht="32" customHeight="1">
      <x:c r="A435" s="133" t="str">
        <x:v>EST-0240</x:v>
      </x:c>
      <x:c r="B435" s="134" t="str">
        <x:v>EST-0240-T1</x:v>
      </x:c>
      <x:c r="C435" s="134" t="str">
        <x:v>2026-07-31</x:v>
      </x:c>
      <x:c r="D435" s="134" t="str">
        <x:v>2026-12-15</x:v>
      </x:c>
      <x:c r="E435" s="134" t="n">
        <x:v>6</x:v>
      </x:c>
      <x:c r="F435" s="134" t="str">
        <x:v>6C</x:v>
      </x:c>
      <x:c r="G435" s="140" t="n">
        <x:v>16.73</x:v>
      </x:c>
      <x:c r="H435" s="140" t="n">
        <x:v>0</x:v>
      </x:c>
      <x:c r="I435" s="140" t="n">
        <x:v>98.66</x:v>
      </x:c>
      <x:c r="J435" s="140" t="n">
        <x:v>5.81</x:v>
      </x:c>
      <x:c r="K435" s="140" t="n">
        <x:v>13.43</x:v>
      </x:c>
      <x:c r="L435" s="140" t="n">
        <x:v>14</x:v>
      </x:c>
      <x:c r="M435" s="140" t="n">
        <x:v>13</x:v>
      </x:c>
      <x:c r="N435" s="134" t="n">
        <x:v>1</x:v>
      </x:c>
      <x:c r="O435" s="134" t="str">
        <x:v>deserta</x:v>
      </x:c>
      <x:c r="P435" s="134" t="str">
        <x:v>train</x:v>
      </x:c>
      <x:c r="Q435" s="134" t="str">
        <x:v>synthetic_scientific</x:v>
      </x:c>
      <x:c r="R435" s="135" t="str">
        <x:v>BLENKIR_V6_SYNTH_20260924</x:v>
      </x:c>
    </x:row>
    <x:row r="436" ht="32" customHeight="1">
      <x:c r="A436" s="133" t="str">
        <x:v>EST-0240</x:v>
      </x:c>
      <x:c r="B436" s="134" t="str">
        <x:v>EST-0240-T2</x:v>
      </x:c>
      <x:c r="C436" s="134" t="str">
        <x:v>2026-09-21</x:v>
      </x:c>
      <x:c r="D436" s="134" t="str">
        <x:v>2026-12-15</x:v>
      </x:c>
      <x:c r="E436" s="134" t="n">
        <x:v>6</x:v>
      </x:c>
      <x:c r="F436" s="134" t="str">
        <x:v>6C</x:v>
      </x:c>
      <x:c r="G436" s="140" t="n">
        <x:v>16.22</x:v>
      </x:c>
      <x:c r="H436" s="140" t="n">
        <x:v>0</x:v>
      </x:c>
      <x:c r="I436" s="140" t="n">
        <x:v>99.5</x:v>
      </x:c>
      <x:c r="J436" s="140" t="n">
        <x:v>6.08</x:v>
      </x:c>
      <x:c r="K436" s="140" t="n">
        <x:v>13.45</x:v>
      </x:c>
      <x:c r="L436" s="140" t="n">
        <x:v>12</x:v>
      </x:c>
      <x:c r="M436" s="140" t="n">
        <x:v>11</x:v>
      </x:c>
      <x:c r="N436" s="134" t="n">
        <x:v>1</x:v>
      </x:c>
      <x:c r="O436" s="134" t="str">
        <x:v>deserta</x:v>
      </x:c>
      <x:c r="P436" s="134" t="str">
        <x:v>train</x:v>
      </x:c>
      <x:c r="Q436" s="134" t="str">
        <x:v>synthetic_scientific</x:v>
      </x:c>
      <x:c r="R436" s="135" t="str">
        <x:v>BLENKIR_V6_SYNTH_20260924</x:v>
      </x:c>
    </x:row>
    <x:row r="437" ht="32" customHeight="1">
      <x:c r="A437" s="133" t="str">
        <x:v>EST-0241</x:v>
      </x:c>
      <x:c r="B437" s="134" t="str">
        <x:v>EST-0241-T1</x:v>
      </x:c>
      <x:c r="C437" s="134" t="str">
        <x:v>2026-07-31</x:v>
      </x:c>
      <x:c r="D437" s="134" t="str">
        <x:v>2026-12-15</x:v>
      </x:c>
      <x:c r="E437" s="134" t="n">
        <x:v>6</x:v>
      </x:c>
      <x:c r="F437" s="134" t="str">
        <x:v>6C</x:v>
      </x:c>
      <x:c r="G437" s="140" t="n">
        <x:v>17.94</x:v>
      </x:c>
      <x:c r="H437" s="140" t="n">
        <x:v>0</x:v>
      </x:c>
      <x:c r="I437" s="140" t="n">
        <x:v>97.11</x:v>
      </x:c>
      <x:c r="J437" s="140" t="n">
        <x:v>7.81</x:v>
      </x:c>
      <x:c r="K437" s="140" t="n">
        <x:v>14.47</x:v>
      </x:c>
      <x:c r="L437" s="140" t="n">
        <x:v>14</x:v>
      </x:c>
      <x:c r="M437" s="140" t="n">
        <x:v>15</x:v>
      </x:c>
      <x:c r="N437" s="134" t="n">
        <x:v>0</x:v>
      </x:c>
      <x:c r="O437" s="134" t="str">
        <x:v>permanece</x:v>
      </x:c>
      <x:c r="P437" s="134" t="str">
        <x:v>train</x:v>
      </x:c>
      <x:c r="Q437" s="134" t="str">
        <x:v>synthetic_scientific</x:v>
      </x:c>
      <x:c r="R437" s="135" t="str">
        <x:v>BLENKIR_V6_SYNTH_20260924</x:v>
      </x:c>
    </x:row>
    <x:row r="438" ht="32" customHeight="1">
      <x:c r="A438" s="133" t="str">
        <x:v>EST-0241</x:v>
      </x:c>
      <x:c r="B438" s="134" t="str">
        <x:v>EST-0241-T2</x:v>
      </x:c>
      <x:c r="C438" s="134" t="str">
        <x:v>2026-09-21</x:v>
      </x:c>
      <x:c r="D438" s="134" t="str">
        <x:v>2026-12-15</x:v>
      </x:c>
      <x:c r="E438" s="134" t="n">
        <x:v>6</x:v>
      </x:c>
      <x:c r="F438" s="134" t="str">
        <x:v>6C</x:v>
      </x:c>
      <x:c r="G438" s="140" t="n">
        <x:v>17.7</x:v>
      </x:c>
      <x:c r="H438" s="140" t="n">
        <x:v>0</x:v>
      </x:c>
      <x:c r="I438" s="140" t="n">
        <x:v>97.49</x:v>
      </x:c>
      <x:c r="J438" s="140" t="n">
        <x:v>7.82</x:v>
      </x:c>
      <x:c r="K438" s="140" t="n">
        <x:v>15.07</x:v>
      </x:c>
      <x:c r="L438" s="140" t="n">
        <x:v>15</x:v>
      </x:c>
      <x:c r="M438" s="140" t="n">
        <x:v>13</x:v>
      </x:c>
      <x:c r="N438" s="134" t="n">
        <x:v>0</x:v>
      </x:c>
      <x:c r="O438" s="134" t="str">
        <x:v>permanece</x:v>
      </x:c>
      <x:c r="P438" s="134" t="str">
        <x:v>train</x:v>
      </x:c>
      <x:c r="Q438" s="134" t="str">
        <x:v>synthetic_scientific</x:v>
      </x:c>
      <x:c r="R438" s="135" t="str">
        <x:v>BLENKIR_V6_SYNTH_20260924</x:v>
      </x:c>
    </x:row>
    <x:row r="439" ht="32" customHeight="1">
      <x:c r="A439" s="133" t="str">
        <x:v>EST-0242</x:v>
      </x:c>
      <x:c r="B439" s="134" t="str">
        <x:v>EST-0242-T1</x:v>
      </x:c>
      <x:c r="C439" s="134" t="str">
        <x:v>2026-07-31</x:v>
      </x:c>
      <x:c r="D439" s="134" t="str">
        <x:v>2026-12-15</x:v>
      </x:c>
      <x:c r="E439" s="134" t="n">
        <x:v>6</x:v>
      </x:c>
      <x:c r="F439" s="134" t="str">
        <x:v>6C</x:v>
      </x:c>
      <x:c r="G439" s="140" t="n">
        <x:v>15.92</x:v>
      </x:c>
      <x:c r="H439" s="140" t="n">
        <x:v>0</x:v>
      </x:c>
      <x:c r="I439" s="140" t="n">
        <x:v>97.48</x:v>
      </x:c>
      <x:c r="J439" s="140" t="n">
        <x:v>10.8</x:v>
      </x:c>
      <x:c r="K439" s="140" t="n">
        <x:v>22.01</x:v>
      </x:c>
      <x:c r="L439" s="140" t="n">
        <x:v>15</x:v>
      </x:c>
      <x:c r="M439" s="140" t="n">
        <x:v>16</x:v>
      </x:c>
      <x:c r="N439" s="134" t="n">
        <x:v>0</x:v>
      </x:c>
      <x:c r="O439" s="134" t="str">
        <x:v>permanece</x:v>
      </x:c>
      <x:c r="P439" s="134" t="str">
        <x:v>train</x:v>
      </x:c>
      <x:c r="Q439" s="134" t="str">
        <x:v>synthetic_scientific</x:v>
      </x:c>
      <x:c r="R439" s="135" t="str">
        <x:v>BLENKIR_V6_SYNTH_20260924</x:v>
      </x:c>
    </x:row>
    <x:row r="440" ht="32" customHeight="1">
      <x:c r="A440" s="133" t="str">
        <x:v>EST-0242</x:v>
      </x:c>
      <x:c r="B440" s="134" t="str">
        <x:v>EST-0242-T2</x:v>
      </x:c>
      <x:c r="C440" s="134" t="str">
        <x:v>2026-09-21</x:v>
      </x:c>
      <x:c r="D440" s="134" t="str">
        <x:v>2026-12-15</x:v>
      </x:c>
      <x:c r="E440" s="134" t="n">
        <x:v>6</x:v>
      </x:c>
      <x:c r="F440" s="134" t="str">
        <x:v>6C</x:v>
      </x:c>
      <x:c r="G440" s="140" t="n">
        <x:v>15.09</x:v>
      </x:c>
      <x:c r="H440" s="140" t="n">
        <x:v>0</x:v>
      </x:c>
      <x:c r="I440" s="140" t="n">
        <x:v>94.97</x:v>
      </x:c>
      <x:c r="J440" s="140" t="n">
        <x:v>9.91</x:v>
      </x:c>
      <x:c r="K440" s="140" t="n">
        <x:v>18.57</x:v>
      </x:c>
      <x:c r="L440" s="140" t="n">
        <x:v>15</x:v>
      </x:c>
      <x:c r="M440" s="140" t="n">
        <x:v>15</x:v>
      </x:c>
      <x:c r="N440" s="134" t="n">
        <x:v>0</x:v>
      </x:c>
      <x:c r="O440" s="134" t="str">
        <x:v>permanece</x:v>
      </x:c>
      <x:c r="P440" s="134" t="str">
        <x:v>train</x:v>
      </x:c>
      <x:c r="Q440" s="134" t="str">
        <x:v>synthetic_scientific</x:v>
      </x:c>
      <x:c r="R440" s="135" t="str">
        <x:v>BLENKIR_V6_SYNTH_20260924</x:v>
      </x:c>
    </x:row>
    <x:row r="441" ht="32" customHeight="1">
      <x:c r="A441" s="133" t="str">
        <x:v>EST-0243</x:v>
      </x:c>
      <x:c r="B441" s="134" t="str">
        <x:v>EST-0243-T1</x:v>
      </x:c>
      <x:c r="C441" s="134" t="str">
        <x:v>2026-07-31</x:v>
      </x:c>
      <x:c r="D441" s="134" t="str">
        <x:v>2026-12-15</x:v>
      </x:c>
      <x:c r="E441" s="134" t="n">
        <x:v>6</x:v>
      </x:c>
      <x:c r="F441" s="134" t="str">
        <x:v>6C</x:v>
      </x:c>
      <x:c r="G441" s="140" t="n">
        <x:v>17.69</x:v>
      </x:c>
      <x:c r="H441" s="140" t="n">
        <x:v>0</x:v>
      </x:c>
      <x:c r="I441" s="140" t="n">
        <x:v>94.88</x:v>
      </x:c>
      <x:c r="J441" s="140" t="n">
        <x:v>9.94</x:v>
      </x:c>
      <x:c r="K441" s="140" t="n">
        <x:v>19.45</x:v>
      </x:c>
      <x:c r="L441" s="140" t="n">
        <x:v>17</x:v>
      </x:c>
      <x:c r="M441" s="140" t="n">
        <x:v>13</x:v>
      </x:c>
      <x:c r="N441" s="134" t="n">
        <x:v>1</x:v>
      </x:c>
      <x:c r="O441" s="134" t="str">
        <x:v>deserta</x:v>
      </x:c>
      <x:c r="P441" s="134" t="str">
        <x:v>train</x:v>
      </x:c>
      <x:c r="Q441" s="134" t="str">
        <x:v>synthetic_scientific</x:v>
      </x:c>
      <x:c r="R441" s="135" t="str">
        <x:v>BLENKIR_V6_SYNTH_20260924</x:v>
      </x:c>
    </x:row>
    <x:row r="442" ht="32" customHeight="1">
      <x:c r="A442" s="133" t="str">
        <x:v>EST-0243</x:v>
      </x:c>
      <x:c r="B442" s="134" t="str">
        <x:v>EST-0243-T2</x:v>
      </x:c>
      <x:c r="C442" s="134" t="str">
        <x:v>2026-09-21</x:v>
      </x:c>
      <x:c r="D442" s="134" t="str">
        <x:v>2026-12-15</x:v>
      </x:c>
      <x:c r="E442" s="134" t="n">
        <x:v>6</x:v>
      </x:c>
      <x:c r="F442" s="134" t="str">
        <x:v>6C</x:v>
      </x:c>
      <x:c r="G442" s="140" t="n">
        <x:v>16.7</x:v>
      </x:c>
      <x:c r="H442" s="140" t="n">
        <x:v>0</x:v>
      </x:c>
      <x:c r="I442" s="140" t="n">
        <x:v>93.43</x:v>
      </x:c>
      <x:c r="J442" s="140" t="n">
        <x:v>9.82</x:v>
      </x:c>
      <x:c r="K442" s="140" t="n">
        <x:v>18.64</x:v>
      </x:c>
      <x:c r="L442" s="140" t="n">
        <x:v>17</x:v>
      </x:c>
      <x:c r="M442" s="140" t="n">
        <x:v>11</x:v>
      </x:c>
      <x:c r="N442" s="134" t="n">
        <x:v>1</x:v>
      </x:c>
      <x:c r="O442" s="134" t="str">
        <x:v>deserta</x:v>
      </x:c>
      <x:c r="P442" s="134" t="str">
        <x:v>train</x:v>
      </x:c>
      <x:c r="Q442" s="134" t="str">
        <x:v>synthetic_scientific</x:v>
      </x:c>
      <x:c r="R442" s="135" t="str">
        <x:v>BLENKIR_V6_SYNTH_20260924</x:v>
      </x:c>
    </x:row>
    <x:row r="443" ht="32" customHeight="1">
      <x:c r="A443" s="133" t="str">
        <x:v>EST-0244</x:v>
      </x:c>
      <x:c r="B443" s="134" t="str">
        <x:v>EST-0244-T1</x:v>
      </x:c>
      <x:c r="C443" s="134" t="str">
        <x:v>2026-07-31</x:v>
      </x:c>
      <x:c r="D443" s="134" t="str">
        <x:v>2026-12-15</x:v>
      </x:c>
      <x:c r="E443" s="134" t="n">
        <x:v>6</x:v>
      </x:c>
      <x:c r="F443" s="134" t="str">
        <x:v>6C</x:v>
      </x:c>
      <x:c r="G443" s="140" t="n">
        <x:v>13.96</x:v>
      </x:c>
      <x:c r="H443" s="140" t="n">
        <x:v>0</x:v>
      </x:c>
      <x:c r="I443" s="140" t="n">
        <x:v>91.86</x:v>
      </x:c>
      <x:c r="J443" s="140" t="n">
        <x:v>6.85</x:v>
      </x:c>
      <x:c r="K443" s="140" t="n">
        <x:v>8.47</x:v>
      </x:c>
      <x:c r="L443" s="140" t="n">
        <x:v>17</x:v>
      </x:c>
      <x:c r="M443" s="140" t="n">
        <x:v>12</x:v>
      </x:c>
      <x:c r="N443" s="134" t="n">
        <x:v>0</x:v>
      </x:c>
      <x:c r="O443" s="134" t="str">
        <x:v>permanece</x:v>
      </x:c>
      <x:c r="P443" s="134" t="str">
        <x:v>train</x:v>
      </x:c>
      <x:c r="Q443" s="134" t="str">
        <x:v>synthetic_scientific</x:v>
      </x:c>
      <x:c r="R443" s="135" t="str">
        <x:v>BLENKIR_V6_SYNTH_20260924</x:v>
      </x:c>
    </x:row>
    <x:row r="444" ht="32" customHeight="1">
      <x:c r="A444" s="133" t="str">
        <x:v>EST-0244</x:v>
      </x:c>
      <x:c r="B444" s="134" t="str">
        <x:v>EST-0244-T2</x:v>
      </x:c>
      <x:c r="C444" s="134" t="str">
        <x:v>2026-09-21</x:v>
      </x:c>
      <x:c r="D444" s="134" t="str">
        <x:v>2026-12-15</x:v>
      </x:c>
      <x:c r="E444" s="134" t="n">
        <x:v>6</x:v>
      </x:c>
      <x:c r="F444" s="134" t="str">
        <x:v>6C</x:v>
      </x:c>
      <x:c r="G444" s="140" t="n">
        <x:v>14.56</x:v>
      </x:c>
      <x:c r="H444" s="140" t="n">
        <x:v>0</x:v>
      </x:c>
      <x:c r="I444" s="140" t="n">
        <x:v>95.41</x:v>
      </x:c>
      <x:c r="J444" s="140" t="n">
        <x:v>5.83</x:v>
      </x:c>
      <x:c r="K444" s="140" t="n">
        <x:v>11.3</x:v>
      </x:c>
      <x:c r="L444" s="140" t="n">
        <x:v>15</x:v>
      </x:c>
      <x:c r="M444" s="140" t="n">
        <x:v>11</x:v>
      </x:c>
      <x:c r="N444" s="134" t="n">
        <x:v>0</x:v>
      </x:c>
      <x:c r="O444" s="134" t="str">
        <x:v>permanece</x:v>
      </x:c>
      <x:c r="P444" s="134" t="str">
        <x:v>train</x:v>
      </x:c>
      <x:c r="Q444" s="134" t="str">
        <x:v>synthetic_scientific</x:v>
      </x:c>
      <x:c r="R444" s="135" t="str">
        <x:v>BLENKIR_V6_SYNTH_20260924</x:v>
      </x:c>
    </x:row>
    <x:row r="445" ht="32" customHeight="1">
      <x:c r="A445" s="133" t="str">
        <x:v>EST-0245</x:v>
      </x:c>
      <x:c r="B445" s="134" t="str">
        <x:v>EST-0245-T1</x:v>
      </x:c>
      <x:c r="C445" s="134" t="str">
        <x:v>2026-07-31</x:v>
      </x:c>
      <x:c r="D445" s="134" t="str">
        <x:v>2026-12-15</x:v>
      </x:c>
      <x:c r="E445" s="134" t="n">
        <x:v>6</x:v>
      </x:c>
      <x:c r="F445" s="134" t="str">
        <x:v>6C</x:v>
      </x:c>
      <x:c r="G445" s="140" t="n">
        <x:v>15.77</x:v>
      </x:c>
      <x:c r="H445" s="140" t="n">
        <x:v>0</x:v>
      </x:c>
      <x:c r="I445" s="140" t="n">
        <x:v>99.5</x:v>
      </x:c>
      <x:c r="J445" s="140" t="n">
        <x:v>9.11</x:v>
      </x:c>
      <x:c r="K445" s="140" t="n">
        <x:v>19.1</x:v>
      </x:c>
      <x:c r="L445" s="140" t="n">
        <x:v>18</x:v>
      </x:c>
      <x:c r="M445" s="140" t="n">
        <x:v>13</x:v>
      </x:c>
      <x:c r="N445" s="134" t="n">
        <x:v>0</x:v>
      </x:c>
      <x:c r="O445" s="134" t="str">
        <x:v>permanece</x:v>
      </x:c>
      <x:c r="P445" s="134" t="str">
        <x:v>train</x:v>
      </x:c>
      <x:c r="Q445" s="134" t="str">
        <x:v>synthetic_scientific</x:v>
      </x:c>
      <x:c r="R445" s="135" t="str">
        <x:v>BLENKIR_V6_SYNTH_20260924</x:v>
      </x:c>
    </x:row>
    <x:row r="446" ht="32" customHeight="1">
      <x:c r="A446" s="133" t="str">
        <x:v>EST-0245</x:v>
      </x:c>
      <x:c r="B446" s="134" t="str">
        <x:v>EST-0245-T2</x:v>
      </x:c>
      <x:c r="C446" s="134" t="str">
        <x:v>2026-09-21</x:v>
      </x:c>
      <x:c r="D446" s="134" t="str">
        <x:v>2026-12-15</x:v>
      </x:c>
      <x:c r="E446" s="134" t="n">
        <x:v>6</x:v>
      </x:c>
      <x:c r="F446" s="134" t="str">
        <x:v>6C</x:v>
      </x:c>
      <x:c r="G446" s="140" t="n">
        <x:v>15.81</x:v>
      </x:c>
      <x:c r="H446" s="140" t="n">
        <x:v>0</x:v>
      </x:c>
      <x:c r="I446" s="140" t="n">
        <x:v>99.32</x:v>
      </x:c>
      <x:c r="J446" s="140" t="n">
        <x:v>10.08</x:v>
      </x:c>
      <x:c r="K446" s="140" t="n">
        <x:v>20.76</x:v>
      </x:c>
      <x:c r="L446" s="140" t="n">
        <x:v>17</x:v>
      </x:c>
      <x:c r="M446" s="140" t="n">
        <x:v>14</x:v>
      </x:c>
      <x:c r="N446" s="134" t="n">
        <x:v>0</x:v>
      </x:c>
      <x:c r="O446" s="134" t="str">
        <x:v>permanece</x:v>
      </x:c>
      <x:c r="P446" s="134" t="str">
        <x:v>train</x:v>
      </x:c>
      <x:c r="Q446" s="134" t="str">
        <x:v>synthetic_scientific</x:v>
      </x:c>
      <x:c r="R446" s="135" t="str">
        <x:v>BLENKIR_V6_SYNTH_20260924</x:v>
      </x:c>
    </x:row>
    <x:row r="447" ht="32" customHeight="1">
      <x:c r="A447" s="133" t="str">
        <x:v>EST-0246</x:v>
      </x:c>
      <x:c r="B447" s="134" t="str">
        <x:v>EST-0246-T1</x:v>
      </x:c>
      <x:c r="C447" s="134" t="str">
        <x:v>2026-07-31</x:v>
      </x:c>
      <x:c r="D447" s="134" t="str">
        <x:v>2026-12-15</x:v>
      </x:c>
      <x:c r="E447" s="134" t="n">
        <x:v>6</x:v>
      </x:c>
      <x:c r="F447" s="134" t="str">
        <x:v>6C</x:v>
      </x:c>
      <x:c r="G447" s="140" t="n">
        <x:v>16.28</x:v>
      </x:c>
      <x:c r="H447" s="140" t="n">
        <x:v>0</x:v>
      </x:c>
      <x:c r="I447" s="140" t="n">
        <x:v>99.5</x:v>
      </x:c>
      <x:c r="J447" s="140" t="n">
        <x:v>7.61</x:v>
      </x:c>
      <x:c r="K447" s="140" t="n">
        <x:v>12.77</x:v>
      </x:c>
      <x:c r="L447" s="140" t="n">
        <x:v>13</x:v>
      </x:c>
      <x:c r="M447" s="140" t="n">
        <x:v>10</x:v>
      </x:c>
      <x:c r="N447" s="134" t="n">
        <x:v>0</x:v>
      </x:c>
      <x:c r="O447" s="134" t="str">
        <x:v>permanece</x:v>
      </x:c>
      <x:c r="P447" s="134" t="str">
        <x:v>train</x:v>
      </x:c>
      <x:c r="Q447" s="134" t="str">
        <x:v>synthetic_scientific</x:v>
      </x:c>
      <x:c r="R447" s="135" t="str">
        <x:v>BLENKIR_V6_SYNTH_20260924</x:v>
      </x:c>
    </x:row>
    <x:row r="448" ht="32" customHeight="1">
      <x:c r="A448" s="133" t="str">
        <x:v>EST-0246</x:v>
      </x:c>
      <x:c r="B448" s="134" t="str">
        <x:v>EST-0246-T2</x:v>
      </x:c>
      <x:c r="C448" s="134" t="str">
        <x:v>2026-09-21</x:v>
      </x:c>
      <x:c r="D448" s="134" t="str">
        <x:v>2026-12-15</x:v>
      </x:c>
      <x:c r="E448" s="134" t="n">
        <x:v>6</x:v>
      </x:c>
      <x:c r="F448" s="134" t="str">
        <x:v>6C</x:v>
      </x:c>
      <x:c r="G448" s="140" t="n">
        <x:v>15.98</x:v>
      </x:c>
      <x:c r="H448" s="140" t="n">
        <x:v>0</x:v>
      </x:c>
      <x:c r="I448" s="140" t="n">
        <x:v>98.45</x:v>
      </x:c>
      <x:c r="J448" s="140" t="n">
        <x:v>6.46</x:v>
      </x:c>
      <x:c r="K448" s="140" t="n">
        <x:v>12.54</x:v>
      </x:c>
      <x:c r="L448" s="140" t="n">
        <x:v>11</x:v>
      </x:c>
      <x:c r="M448" s="140" t="n">
        <x:v>9</x:v>
      </x:c>
      <x:c r="N448" s="134" t="n">
        <x:v>0</x:v>
      </x:c>
      <x:c r="O448" s="134" t="str">
        <x:v>permanece</x:v>
      </x:c>
      <x:c r="P448" s="134" t="str">
        <x:v>train</x:v>
      </x:c>
      <x:c r="Q448" s="134" t="str">
        <x:v>synthetic_scientific</x:v>
      </x:c>
      <x:c r="R448" s="135" t="str">
        <x:v>BLENKIR_V6_SYNTH_20260924</x:v>
      </x:c>
    </x:row>
    <x:row r="449" ht="32" customHeight="1">
      <x:c r="A449" s="133" t="str">
        <x:v>EST-0248</x:v>
      </x:c>
      <x:c r="B449" s="134" t="str">
        <x:v>EST-0248-T1</x:v>
      </x:c>
      <x:c r="C449" s="134" t="str">
        <x:v>2026-07-31</x:v>
      </x:c>
      <x:c r="D449" s="134" t="str">
        <x:v>2026-12-15</x:v>
      </x:c>
      <x:c r="E449" s="134" t="n">
        <x:v>6</x:v>
      </x:c>
      <x:c r="F449" s="134" t="str">
        <x:v>6C</x:v>
      </x:c>
      <x:c r="G449" s="140" t="n">
        <x:v>14.5</x:v>
      </x:c>
      <x:c r="H449" s="140" t="n">
        <x:v>0</x:v>
      </x:c>
      <x:c r="I449" s="140" t="n">
        <x:v>92.12</x:v>
      </x:c>
      <x:c r="J449" s="140" t="n">
        <x:v>11.29</x:v>
      </x:c>
      <x:c r="K449" s="140" t="n">
        <x:v>18.63</x:v>
      </x:c>
      <x:c r="L449" s="140" t="n">
        <x:v>19</x:v>
      </x:c>
      <x:c r="M449" s="140" t="n">
        <x:v>15</x:v>
      </x:c>
      <x:c r="N449" s="134" t="n">
        <x:v>0</x:v>
      </x:c>
      <x:c r="O449" s="134" t="str">
        <x:v>permanece</x:v>
      </x:c>
      <x:c r="P449" s="134" t="str">
        <x:v>validation</x:v>
      </x:c>
      <x:c r="Q449" s="134" t="str">
        <x:v>synthetic_scientific</x:v>
      </x:c>
      <x:c r="R449" s="135" t="str">
        <x:v>BLENKIR_V6_SYNTH_20260924</x:v>
      </x:c>
    </x:row>
    <x:row r="450" ht="32" customHeight="1">
      <x:c r="A450" s="133" t="str">
        <x:v>EST-0248</x:v>
      </x:c>
      <x:c r="B450" s="134" t="str">
        <x:v>EST-0248-T2</x:v>
      </x:c>
      <x:c r="C450" s="134" t="str">
        <x:v>2026-09-21</x:v>
      </x:c>
      <x:c r="D450" s="134" t="str">
        <x:v>2026-12-15</x:v>
      </x:c>
      <x:c r="E450" s="134" t="n">
        <x:v>6</x:v>
      </x:c>
      <x:c r="F450" s="134" t="str">
        <x:v>6C</x:v>
      </x:c>
      <x:c r="G450" s="140" t="n">
        <x:v>14.46</x:v>
      </x:c>
      <x:c r="H450" s="140" t="n">
        <x:v>0</x:v>
      </x:c>
      <x:c r="I450" s="140" t="n">
        <x:v>89.94</x:v>
      </x:c>
      <x:c r="J450" s="140" t="n">
        <x:v>10.73</x:v>
      </x:c>
      <x:c r="K450" s="140" t="n">
        <x:v>20.41</x:v>
      </x:c>
      <x:c r="L450" s="140" t="n">
        <x:v>19</x:v>
      </x:c>
      <x:c r="M450" s="140" t="n">
        <x:v>15</x:v>
      </x:c>
      <x:c r="N450" s="134" t="n">
        <x:v>0</x:v>
      </x:c>
      <x:c r="O450" s="134" t="str">
        <x:v>permanece</x:v>
      </x:c>
      <x:c r="P450" s="134" t="str">
        <x:v>validation</x:v>
      </x:c>
      <x:c r="Q450" s="134" t="str">
        <x:v>synthetic_scientific</x:v>
      </x:c>
      <x:c r="R450" s="135" t="str">
        <x:v>BLENKIR_V6_SYNTH_20260924</x:v>
      </x:c>
    </x:row>
    <x:row r="451" ht="32" customHeight="1">
      <x:c r="A451" s="133" t="str">
        <x:v>EST-0249</x:v>
      </x:c>
      <x:c r="B451" s="134" t="str">
        <x:v>EST-0249-T1</x:v>
      </x:c>
      <x:c r="C451" s="134" t="str">
        <x:v>2026-07-31</x:v>
      </x:c>
      <x:c r="D451" s="134" t="str">
        <x:v>2026-12-15</x:v>
      </x:c>
      <x:c r="E451" s="134" t="n">
        <x:v>6</x:v>
      </x:c>
      <x:c r="F451" s="134" t="str">
        <x:v>6C</x:v>
      </x:c>
      <x:c r="G451" s="140" t="n">
        <x:v>14.76</x:v>
      </x:c>
      <x:c r="H451" s="140" t="n">
        <x:v>0</x:v>
      </x:c>
      <x:c r="I451" s="140" t="n">
        <x:v>89.96</x:v>
      </x:c>
      <x:c r="J451" s="140" t="n">
        <x:v>5.18</x:v>
      </x:c>
      <x:c r="K451" s="140" t="n">
        <x:v>13.18</x:v>
      </x:c>
      <x:c r="L451" s="140" t="n">
        <x:v>12</x:v>
      </x:c>
      <x:c r="M451" s="140" t="n">
        <x:v>10</x:v>
      </x:c>
      <x:c r="N451" s="134" t="n">
        <x:v>0</x:v>
      </x:c>
      <x:c r="O451" s="134" t="str">
        <x:v>permanece</x:v>
      </x:c>
      <x:c r="P451" s="134" t="str">
        <x:v>train</x:v>
      </x:c>
      <x:c r="Q451" s="134" t="str">
        <x:v>synthetic_scientific</x:v>
      </x:c>
      <x:c r="R451" s="135" t="str">
        <x:v>BLENKIR_V6_SYNTH_20260924</x:v>
      </x:c>
    </x:row>
    <x:row r="452" ht="32" customHeight="1">
      <x:c r="A452" s="133" t="str">
        <x:v>EST-0249</x:v>
      </x:c>
      <x:c r="B452" s="134" t="str">
        <x:v>EST-0249-T2</x:v>
      </x:c>
      <x:c r="C452" s="134" t="str">
        <x:v>2026-09-21</x:v>
      </x:c>
      <x:c r="D452" s="134" t="str">
        <x:v>2026-12-15</x:v>
      </x:c>
      <x:c r="E452" s="134" t="n">
        <x:v>6</x:v>
      </x:c>
      <x:c r="F452" s="134" t="str">
        <x:v>6C</x:v>
      </x:c>
      <x:c r="G452" s="140" t="n">
        <x:v>14.35</x:v>
      </x:c>
      <x:c r="H452" s="140" t="n">
        <x:v>0</x:v>
      </x:c>
      <x:c r="I452" s="140" t="n">
        <x:v>89.22</x:v>
      </x:c>
      <x:c r="J452" s="140" t="n">
        <x:v>5.15</x:v>
      </x:c>
      <x:c r="K452" s="140" t="n">
        <x:v>10.52</x:v>
      </x:c>
      <x:c r="L452" s="140" t="n">
        <x:v>11</x:v>
      </x:c>
      <x:c r="M452" s="140" t="n">
        <x:v>10</x:v>
      </x:c>
      <x:c r="N452" s="134" t="n">
        <x:v>0</x:v>
      </x:c>
      <x:c r="O452" s="134" t="str">
        <x:v>permanece</x:v>
      </x:c>
      <x:c r="P452" s="134" t="str">
        <x:v>train</x:v>
      </x:c>
      <x:c r="Q452" s="134" t="str">
        <x:v>synthetic_scientific</x:v>
      </x:c>
      <x:c r="R452" s="135" t="str">
        <x:v>BLENKIR_V6_SYNTH_20260924</x:v>
      </x:c>
    </x:row>
    <x:row r="453" ht="32" customHeight="1">
      <x:c r="A453" s="133" t="str">
        <x:v>EST-0250</x:v>
      </x:c>
      <x:c r="B453" s="134" t="str">
        <x:v>EST-0250-T1</x:v>
      </x:c>
      <x:c r="C453" s="134" t="str">
        <x:v>2026-07-31</x:v>
      </x:c>
      <x:c r="D453" s="134" t="str">
        <x:v>2026-12-15</x:v>
      </x:c>
      <x:c r="E453" s="134" t="n">
        <x:v>6</x:v>
      </x:c>
      <x:c r="F453" s="134" t="str">
        <x:v>6C</x:v>
      </x:c>
      <x:c r="G453" s="140" t="n">
        <x:v>17.12</x:v>
      </x:c>
      <x:c r="H453" s="140" t="n">
        <x:v>0</x:v>
      </x:c>
      <x:c r="I453" s="140" t="n">
        <x:v>92.35</x:v>
      </x:c>
      <x:c r="J453" s="140" t="n">
        <x:v>2.08</x:v>
      </x:c>
      <x:c r="K453" s="140" t="n">
        <x:v>6.75</x:v>
      </x:c>
      <x:c r="L453" s="140" t="n">
        <x:v>8</x:v>
      </x:c>
      <x:c r="M453" s="140" t="n">
        <x:v>5</x:v>
      </x:c>
      <x:c r="N453" s="134" t="n">
        <x:v>0</x:v>
      </x:c>
      <x:c r="O453" s="134" t="str">
        <x:v>permanece</x:v>
      </x:c>
      <x:c r="P453" s="134" t="str">
        <x:v>train</x:v>
      </x:c>
      <x:c r="Q453" s="134" t="str">
        <x:v>synthetic_scientific</x:v>
      </x:c>
      <x:c r="R453" s="135" t="str">
        <x:v>BLENKIR_V6_SYNTH_20260924</x:v>
      </x:c>
    </x:row>
    <x:row r="454" ht="32" customHeight="1">
      <x:c r="A454" s="136" t="str">
        <x:v>EST-0250</x:v>
      </x:c>
      <x:c r="B454" s="137" t="str">
        <x:v>EST-0250-T2</x:v>
      </x:c>
      <x:c r="C454" s="137" t="str">
        <x:v>2026-09-21</x:v>
      </x:c>
      <x:c r="D454" s="137" t="str">
        <x:v>2026-12-15</x:v>
      </x:c>
      <x:c r="E454" s="137" t="n">
        <x:v>6</x:v>
      </x:c>
      <x:c r="F454" s="137" t="str">
        <x:v>6C</x:v>
      </x:c>
      <x:c r="G454" s="141" t="n">
        <x:v>16.97</x:v>
      </x:c>
      <x:c r="H454" s="141" t="n">
        <x:v>0</x:v>
      </x:c>
      <x:c r="I454" s="141" t="n">
        <x:v>91.55</x:v>
      </x:c>
      <x:c r="J454" s="141" t="n">
        <x:v>3.82</x:v>
      </x:c>
      <x:c r="K454" s="141" t="n">
        <x:v>6.38</x:v>
      </x:c>
      <x:c r="L454" s="141" t="n">
        <x:v>10</x:v>
      </x:c>
      <x:c r="M454" s="141" t="n">
        <x:v>5</x:v>
      </x:c>
      <x:c r="N454" s="137" t="n">
        <x:v>0</x:v>
      </x:c>
      <x:c r="O454" s="137" t="str">
        <x:v>permanece</x:v>
      </x:c>
      <x:c r="P454" s="137" t="str">
        <x:v>train</x:v>
      </x:c>
      <x:c r="Q454" s="137" t="str">
        <x:v>synthetic_scientific</x:v>
      </x:c>
      <x:c r="R454" s="138" t="str">
        <x:v>BLENKIR_V6_SYNTH_20260924</x:v>
      </x:c>
    </x:row>
  </x:sheetData>
  <x:mergeCells>
    <x:mergeCell ref="A1:R1"/>
    <x:mergeCell ref="A2:R2"/>
  </x:mergeCells>
  <x:conditionalFormatting sqref="N5:N454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d657f7d7484b9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15" hidden="0" customWidth="1"/>
    <x:col min="4" max="4" width="26" hidden="0" customWidth="1"/>
    <x:col min="5" max="5" width="15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4" hidden="0" customWidth="1"/>
    <x:col min="11" max="11" width="58" hidden="0" customWidth="1"/>
  </x:cols>
  <x:sheetData>
    <x:row r="1" ht="34" customHeight="1">
      <x:c r="A1" s="101" t="str">
        <x:v>ML V6 — Outcome y auditoría del generador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</x:row>
    <x:row r="2" ht="45" customHeight="1">
      <x:c r="A2" s="105" t="str">
        <x:v>prob_generador y score_generador existen únicamente para auditar la simulación. NO deben entrar al entrenamiento, a la API de inferencia ni al Feature Builder.</x:v>
      </x:c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</x:row>
    <x:row r="4" ht="48" customHeight="1">
      <x:c r="A4" s="110" t="str">
        <x:v>student_code</x:v>
      </x:c>
      <x:c r="B4" s="110" t="str">
        <x:v>grado</x:v>
      </x:c>
      <x:c r="C4" s="110" t="str">
        <x:v>seccion_codigo</x:v>
      </x:c>
      <x:c r="D4" s="110" t="str">
        <x:v>estado_elegibilidad</x:v>
      </x:c>
      <x:c r="E4" s="110" t="str">
        <x:v>outcome_date</x:v>
      </x:c>
      <x:c r="F4" s="110" t="str">
        <x:v>target_desercion</x:v>
      </x:c>
      <x:c r="G4" s="110" t="str">
        <x:v>target_label</x:v>
      </x:c>
      <x:c r="H4" s="110" t="str">
        <x:v>prob_generador</x:v>
      </x:c>
      <x:c r="I4" s="110" t="str">
        <x:v>score_generador</x:v>
      </x:c>
      <x:c r="J4" s="110" t="str">
        <x:v>split</x:v>
      </x:c>
      <x:c r="K4" s="110" t="str">
        <x:v>regla</x:v>
      </x:c>
    </x:row>
    <x:row r="5" ht="34" customHeight="1">
      <x:c r="A5" s="130" t="str">
        <x:v>EST-0002</x:v>
      </x:c>
      <x:c r="B5" s="131" t="n">
        <x:v>1</x:v>
      </x:c>
      <x:c r="C5" s="131" t="str">
        <x:v>1A</x:v>
      </x:c>
      <x:c r="D5" s="131" t="str">
        <x:v>elegible_activo</x:v>
      </x:c>
      <x:c r="E5" s="131" t="str">
        <x:v>2026-12-15</x:v>
      </x:c>
      <x:c r="F5" s="131" t="n">
        <x:v>1</x:v>
      </x:c>
      <x:c r="G5" s="131" t="str">
        <x:v>deserta</x:v>
      </x:c>
      <x:c r="H5" s="142" t="n">
        <x:v>0.3376</x:v>
      </x:c>
      <x:c r="I5" s="142" t="n">
        <x:v>0.8825</x:v>
      </x:c>
      <x:c r="J5" s="131" t="str">
        <x:v>holdout</x:v>
      </x:c>
      <x:c r="K5" s="132" t="str">
        <x:v>NO USAR prob_generador/score_generador COMO PREDICTOR</x:v>
      </x:c>
    </x:row>
    <x:row r="6" ht="34" customHeight="1">
      <x:c r="A6" s="133" t="str">
        <x:v>EST-0003</x:v>
      </x:c>
      <x:c r="B6" s="134" t="n">
        <x:v>1</x:v>
      </x:c>
      <x:c r="C6" s="134" t="str">
        <x:v>1A</x:v>
      </x:c>
      <x:c r="D6" s="134" t="str">
        <x:v>elegible_activo</x:v>
      </x:c>
      <x:c r="E6" s="134" t="str">
        <x:v>2026-12-15</x:v>
      </x:c>
      <x:c r="F6" s="134" t="n">
        <x:v>0</x:v>
      </x:c>
      <x:c r="G6" s="134" t="str">
        <x:v>permanece</x:v>
      </x:c>
      <x:c r="H6" s="143" t="n">
        <x:v>0.0618</x:v>
      </x:c>
      <x:c r="I6" s="143" t="n">
        <x:v>-1.1642</x:v>
      </x:c>
      <x:c r="J6" s="134" t="str">
        <x:v>train</x:v>
      </x:c>
      <x:c r="K6" s="135" t="str">
        <x:v>NO USAR prob_generador/score_generador COMO PREDICTOR</x:v>
      </x:c>
    </x:row>
    <x:row r="7" ht="34" customHeight="1">
      <x:c r="A7" s="133" t="str">
        <x:v>EST-0004</x:v>
      </x:c>
      <x:c r="B7" s="134" t="n">
        <x:v>1</x:v>
      </x:c>
      <x:c r="C7" s="134" t="str">
        <x:v>1A</x:v>
      </x:c>
      <x:c r="D7" s="134" t="str">
        <x:v>elegible_activo</x:v>
      </x:c>
      <x:c r="E7" s="134" t="str">
        <x:v>2026-12-15</x:v>
      </x:c>
      <x:c r="F7" s="134" t="n">
        <x:v>0</x:v>
      </x:c>
      <x:c r="G7" s="134" t="str">
        <x:v>permanece</x:v>
      </x:c>
      <x:c r="H7" s="143" t="n">
        <x:v>0.1133</x:v>
      </x:c>
      <x:c r="I7" s="143" t="n">
        <x:v>-0.5006</x:v>
      </x:c>
      <x:c r="J7" s="134" t="str">
        <x:v>validation</x:v>
      </x:c>
      <x:c r="K7" s="135" t="str">
        <x:v>NO USAR prob_generador/score_generador COMO PREDICTOR</x:v>
      </x:c>
    </x:row>
    <x:row r="8" ht="34" customHeight="1">
      <x:c r="A8" s="133" t="str">
        <x:v>EST-0005</x:v>
      </x:c>
      <x:c r="B8" s="134" t="n">
        <x:v>1</x:v>
      </x:c>
      <x:c r="C8" s="134" t="str">
        <x:v>1A</x:v>
      </x:c>
      <x:c r="D8" s="134" t="str">
        <x:v>elegible_activo</x:v>
      </x:c>
      <x:c r="E8" s="134" t="str">
        <x:v>2026-12-15</x:v>
      </x:c>
      <x:c r="F8" s="134" t="n">
        <x:v>0</x:v>
      </x:c>
      <x:c r="G8" s="134" t="str">
        <x:v>permanece</x:v>
      </x:c>
      <x:c r="H8" s="143" t="n">
        <x:v>0.1606</x:v>
      </x:c>
      <x:c r="I8" s="143" t="n">
        <x:v>-0.0971</x:v>
      </x:c>
      <x:c r="J8" s="134" t="str">
        <x:v>train</x:v>
      </x:c>
      <x:c r="K8" s="135" t="str">
        <x:v>NO USAR prob_generador/score_generador COMO PREDICTOR</x:v>
      </x:c>
    </x:row>
    <x:row r="9" ht="34" customHeight="1">
      <x:c r="A9" s="133" t="str">
        <x:v>EST-0006</x:v>
      </x:c>
      <x:c r="B9" s="134" t="n">
        <x:v>1</x:v>
      </x:c>
      <x:c r="C9" s="134" t="str">
        <x:v>1A</x:v>
      </x:c>
      <x:c r="D9" s="134" t="str">
        <x:v>elegible_activo</x:v>
      </x:c>
      <x:c r="E9" s="134" t="str">
        <x:v>2026-12-15</x:v>
      </x:c>
      <x:c r="F9" s="134" t="n">
        <x:v>0</x:v>
      </x:c>
      <x:c r="G9" s="134" t="str">
        <x:v>permanece</x:v>
      </x:c>
      <x:c r="H9" s="143" t="n">
        <x:v>0.0591</x:v>
      </x:c>
      <x:c r="I9" s="143" t="n">
        <x:v>-1.2118</x:v>
      </x:c>
      <x:c r="J9" s="134" t="str">
        <x:v>train</x:v>
      </x:c>
      <x:c r="K9" s="135" t="str">
        <x:v>NO USAR prob_generador/score_generador COMO PREDICTOR</x:v>
      </x:c>
    </x:row>
    <x:row r="10" ht="34" customHeight="1">
      <x:c r="A10" s="133" t="str">
        <x:v>EST-0007</x:v>
      </x:c>
      <x:c r="B10" s="134" t="n">
        <x:v>1</x:v>
      </x:c>
      <x:c r="C10" s="134" t="str">
        <x:v>1A</x:v>
      </x:c>
      <x:c r="D10" s="134" t="str">
        <x:v>elegible_activo</x:v>
      </x:c>
      <x:c r="E10" s="134" t="str">
        <x:v>2026-12-15</x:v>
      </x:c>
      <x:c r="F10" s="134" t="n">
        <x:v>0</x:v>
      </x:c>
      <x:c r="G10" s="134" t="str">
        <x:v>permanece</x:v>
      </x:c>
      <x:c r="H10" s="143" t="n">
        <x:v>0.0566</x:v>
      </x:c>
      <x:c r="I10" s="143" t="n">
        <x:v>-1.2572</x:v>
      </x:c>
      <x:c r="J10" s="134" t="str">
        <x:v>train</x:v>
      </x:c>
      <x:c r="K10" s="135" t="str">
        <x:v>NO USAR prob_generador/score_generador COMO PREDICTOR</x:v>
      </x:c>
    </x:row>
    <x:row r="11" ht="34" customHeight="1">
      <x:c r="A11" s="133" t="str">
        <x:v>EST-0008</x:v>
      </x:c>
      <x:c r="B11" s="134" t="n">
        <x:v>1</x:v>
      </x:c>
      <x:c r="C11" s="134" t="str">
        <x:v>1A</x:v>
      </x:c>
      <x:c r="D11" s="134" t="str">
        <x:v>elegible_activo</x:v>
      </x:c>
      <x:c r="E11" s="134" t="str">
        <x:v>2026-12-15</x:v>
      </x:c>
      <x:c r="F11" s="134" t="n">
        <x:v>1</x:v>
      </x:c>
      <x:c r="G11" s="134" t="str">
        <x:v>deserta</x:v>
      </x:c>
      <x:c r="H11" s="143" t="n">
        <x:v>0.2347</x:v>
      </x:c>
      <x:c r="I11" s="143" t="n">
        <x:v>0.3743</x:v>
      </x:c>
      <x:c r="J11" s="134" t="str">
        <x:v>train</x:v>
      </x:c>
      <x:c r="K11" s="135" t="str">
        <x:v>NO USAR prob_generador/score_generador COMO PREDICTOR</x:v>
      </x:c>
    </x:row>
    <x:row r="12" ht="34" customHeight="1">
      <x:c r="A12" s="133" t="str">
        <x:v>EST-0009</x:v>
      </x:c>
      <x:c r="B12" s="134" t="n">
        <x:v>1</x:v>
      </x:c>
      <x:c r="C12" s="134" t="str">
        <x:v>1A</x:v>
      </x:c>
      <x:c r="D12" s="134" t="str">
        <x:v>elegible_activo</x:v>
      </x:c>
      <x:c r="E12" s="134" t="str">
        <x:v>2026-12-15</x:v>
      </x:c>
      <x:c r="F12" s="134" t="n">
        <x:v>0</x:v>
      </x:c>
      <x:c r="G12" s="134" t="str">
        <x:v>permanece</x:v>
      </x:c>
      <x:c r="H12" s="143" t="n">
        <x:v>0.0343</x:v>
      </x:c>
      <x:c r="I12" s="143" t="n">
        <x:v>-1.7824</x:v>
      </x:c>
      <x:c r="J12" s="134" t="str">
        <x:v>train</x:v>
      </x:c>
      <x:c r="K12" s="135" t="str">
        <x:v>NO USAR prob_generador/score_generador COMO PREDICTOR</x:v>
      </x:c>
    </x:row>
    <x:row r="13" ht="34" customHeight="1">
      <x:c r="A13" s="133" t="str">
        <x:v>EST-0011</x:v>
      </x:c>
      <x:c r="B13" s="134" t="n">
        <x:v>1</x:v>
      </x:c>
      <x:c r="C13" s="134" t="str">
        <x:v>1A</x:v>
      </x:c>
      <x:c r="D13" s="134" t="str">
        <x:v>elegible_activo</x:v>
      </x:c>
      <x:c r="E13" s="134" t="str">
        <x:v>2026-12-15</x:v>
      </x:c>
      <x:c r="F13" s="134" t="n">
        <x:v>0</x:v>
      </x:c>
      <x:c r="G13" s="134" t="str">
        <x:v>permanece</x:v>
      </x:c>
      <x:c r="H13" s="143" t="n">
        <x:v>0.3046</x:v>
      </x:c>
      <x:c r="I13" s="143" t="n">
        <x:v>0.7312</x:v>
      </x:c>
      <x:c r="J13" s="134" t="str">
        <x:v>train</x:v>
      </x:c>
      <x:c r="K13" s="135" t="str">
        <x:v>NO USAR prob_generador/score_generador COMO PREDICTOR</x:v>
      </x:c>
    </x:row>
    <x:row r="14" ht="34" customHeight="1">
      <x:c r="A14" s="133" t="str">
        <x:v>EST-0012</x:v>
      </x:c>
      <x:c r="B14" s="134" t="n">
        <x:v>1</x:v>
      </x:c>
      <x:c r="C14" s="134" t="str">
        <x:v>1A</x:v>
      </x:c>
      <x:c r="D14" s="134" t="str">
        <x:v>elegible_activo</x:v>
      </x:c>
      <x:c r="E14" s="134" t="str">
        <x:v>2026-12-15</x:v>
      </x:c>
      <x:c r="F14" s="134" t="n">
        <x:v>1</x:v>
      </x:c>
      <x:c r="G14" s="134" t="str">
        <x:v>deserta</x:v>
      </x:c>
      <x:c r="H14" s="143" t="n">
        <x:v>0.0882</x:v>
      </x:c>
      <x:c r="I14" s="143" t="n">
        <x:v>-0.7799</x:v>
      </x:c>
      <x:c r="J14" s="134" t="str">
        <x:v>train</x:v>
      </x:c>
      <x:c r="K14" s="135" t="str">
        <x:v>NO USAR prob_generador/score_generador COMO PREDICTOR</x:v>
      </x:c>
    </x:row>
    <x:row r="15" ht="34" customHeight="1">
      <x:c r="A15" s="133" t="str">
        <x:v>EST-0013</x:v>
      </x:c>
      <x:c r="B15" s="134" t="n">
        <x:v>1</x:v>
      </x:c>
      <x:c r="C15" s="134" t="str">
        <x:v>1B</x:v>
      </x:c>
      <x:c r="D15" s="134" t="str">
        <x:v>elegible_activo</x:v>
      </x:c>
      <x:c r="E15" s="134" t="str">
        <x:v>2026-12-15</x:v>
      </x:c>
      <x:c r="F15" s="134" t="n">
        <x:v>0</x:v>
      </x:c>
      <x:c r="G15" s="134" t="str">
        <x:v>permanece</x:v>
      </x:c>
      <x:c r="H15" s="143" t="n">
        <x:v>0.1302</x:v>
      </x:c>
      <x:c r="I15" s="143" t="n">
        <x:v>-0.3429</x:v>
      </x:c>
      <x:c r="J15" s="134" t="str">
        <x:v>train</x:v>
      </x:c>
      <x:c r="K15" s="135" t="str">
        <x:v>NO USAR prob_generador/score_generador COMO PREDICTOR</x:v>
      </x:c>
    </x:row>
    <x:row r="16" ht="34" customHeight="1">
      <x:c r="A16" s="133" t="str">
        <x:v>EST-0014</x:v>
      </x:c>
      <x:c r="B16" s="134" t="n">
        <x:v>1</x:v>
      </x:c>
      <x:c r="C16" s="134" t="str">
        <x:v>1B</x:v>
      </x:c>
      <x:c r="D16" s="134" t="str">
        <x:v>elegible_activo</x:v>
      </x:c>
      <x:c r="E16" s="134" t="str">
        <x:v>2026-12-15</x:v>
      </x:c>
      <x:c r="F16" s="134" t="n">
        <x:v>0</x:v>
      </x:c>
      <x:c r="G16" s="134" t="str">
        <x:v>permanece</x:v>
      </x:c>
      <x:c r="H16" s="143" t="n">
        <x:v>0.0289</x:v>
      </x:c>
      <x:c r="I16" s="143" t="n">
        <x:v>-1.9564</x:v>
      </x:c>
      <x:c r="J16" s="134" t="str">
        <x:v>train</x:v>
      </x:c>
      <x:c r="K16" s="135" t="str">
        <x:v>NO USAR prob_generador/score_generador COMO PREDICTOR</x:v>
      </x:c>
    </x:row>
    <x:row r="17" ht="34" customHeight="1">
      <x:c r="A17" s="133" t="str">
        <x:v>EST-0015</x:v>
      </x:c>
      <x:c r="B17" s="134" t="n">
        <x:v>1</x:v>
      </x:c>
      <x:c r="C17" s="134" t="str">
        <x:v>1B</x:v>
      </x:c>
      <x:c r="D17" s="134" t="str">
        <x:v>elegible_activo</x:v>
      </x:c>
      <x:c r="E17" s="134" t="str">
        <x:v>2026-12-15</x:v>
      </x:c>
      <x:c r="F17" s="134" t="n">
        <x:v>0</x:v>
      </x:c>
      <x:c r="G17" s="134" t="str">
        <x:v>permanece</x:v>
      </x:c>
      <x:c r="H17" s="143" t="n">
        <x:v>0.1089</x:v>
      </x:c>
      <x:c r="I17" s="143" t="n">
        <x:v>-0.5458</x:v>
      </x:c>
      <x:c r="J17" s="134" t="str">
        <x:v>train</x:v>
      </x:c>
      <x:c r="K17" s="135" t="str">
        <x:v>NO USAR prob_generador/score_generador COMO PREDICTOR</x:v>
      </x:c>
    </x:row>
    <x:row r="18" ht="34" customHeight="1">
      <x:c r="A18" s="133" t="str">
        <x:v>EST-0016</x:v>
      </x:c>
      <x:c r="B18" s="134" t="n">
        <x:v>1</x:v>
      </x:c>
      <x:c r="C18" s="134" t="str">
        <x:v>1B</x:v>
      </x:c>
      <x:c r="D18" s="134" t="str">
        <x:v>elegible_activo</x:v>
      </x:c>
      <x:c r="E18" s="134" t="str">
        <x:v>2026-12-15</x:v>
      </x:c>
      <x:c r="F18" s="134" t="n">
        <x:v>1</x:v>
      </x:c>
      <x:c r="G18" s="134" t="str">
        <x:v>deserta</x:v>
      </x:c>
      <x:c r="H18" s="143" t="n">
        <x:v>0.7654</x:v>
      </x:c>
      <x:c r="I18" s="143" t="n">
        <x:v>2.7388</x:v>
      </x:c>
      <x:c r="J18" s="134" t="str">
        <x:v>holdout</x:v>
      </x:c>
      <x:c r="K18" s="135" t="str">
        <x:v>NO USAR prob_generador/score_generador COMO PREDICTOR</x:v>
      </x:c>
    </x:row>
    <x:row r="19" ht="34" customHeight="1">
      <x:c r="A19" s="133" t="str">
        <x:v>EST-0017</x:v>
      </x:c>
      <x:c r="B19" s="134" t="n">
        <x:v>1</x:v>
      </x:c>
      <x:c r="C19" s="134" t="str">
        <x:v>1B</x:v>
      </x:c>
      <x:c r="D19" s="134" t="str">
        <x:v>elegible_activo</x:v>
      </x:c>
      <x:c r="E19" s="134" t="str">
        <x:v>2026-12-15</x:v>
      </x:c>
      <x:c r="F19" s="134" t="n">
        <x:v>0</x:v>
      </x:c>
      <x:c r="G19" s="134" t="str">
        <x:v>permanece</x:v>
      </x:c>
      <x:c r="H19" s="143" t="n">
        <x:v>0.0618</x:v>
      </x:c>
      <x:c r="I19" s="143" t="n">
        <x:v>-1.1629</x:v>
      </x:c>
      <x:c r="J19" s="134" t="str">
        <x:v>train</x:v>
      </x:c>
      <x:c r="K19" s="135" t="str">
        <x:v>NO USAR prob_generador/score_generador COMO PREDICTOR</x:v>
      </x:c>
    </x:row>
    <x:row r="20" ht="34" customHeight="1">
      <x:c r="A20" s="133" t="str">
        <x:v>EST-0018</x:v>
      </x:c>
      <x:c r="B20" s="134" t="n">
        <x:v>1</x:v>
      </x:c>
      <x:c r="C20" s="134" t="str">
        <x:v>1B</x:v>
      </x:c>
      <x:c r="D20" s="134" t="str">
        <x:v>elegible_activo</x:v>
      </x:c>
      <x:c r="E20" s="134" t="str">
        <x:v>2026-12-15</x:v>
      </x:c>
      <x:c r="F20" s="134" t="n">
        <x:v>1</x:v>
      </x:c>
      <x:c r="G20" s="134" t="str">
        <x:v>deserta</x:v>
      </x:c>
      <x:c r="H20" s="143" t="n">
        <x:v>0.3601</x:v>
      </x:c>
      <x:c r="I20" s="143" t="n">
        <x:v>0.9815</x:v>
      </x:c>
      <x:c r="J20" s="134" t="str">
        <x:v>train</x:v>
      </x:c>
      <x:c r="K20" s="135" t="str">
        <x:v>NO USAR prob_generador/score_generador COMO PREDICTOR</x:v>
      </x:c>
    </x:row>
    <x:row r="21" ht="34" customHeight="1">
      <x:c r="A21" s="133" t="str">
        <x:v>EST-0020</x:v>
      </x:c>
      <x:c r="B21" s="134" t="n">
        <x:v>1</x:v>
      </x:c>
      <x:c r="C21" s="134" t="str">
        <x:v>1B</x:v>
      </x:c>
      <x:c r="D21" s="134" t="str">
        <x:v>elegible_activo</x:v>
      </x:c>
      <x:c r="E21" s="134" t="str">
        <x:v>2026-12-15</x:v>
      </x:c>
      <x:c r="F21" s="134" t="n">
        <x:v>0</x:v>
      </x:c>
      <x:c r="G21" s="134" t="str">
        <x:v>permanece</x:v>
      </x:c>
      <x:c r="H21" s="143" t="n">
        <x:v>0.0172</x:v>
      </x:c>
      <x:c r="I21" s="143" t="n">
        <x:v>-2.4887</x:v>
      </x:c>
      <x:c r="J21" s="134" t="str">
        <x:v>train</x:v>
      </x:c>
      <x:c r="K21" s="135" t="str">
        <x:v>NO USAR prob_generador/score_generador COMO PREDICTOR</x:v>
      </x:c>
    </x:row>
    <x:row r="22" ht="34" customHeight="1">
      <x:c r="A22" s="133" t="str">
        <x:v>EST-0021</x:v>
      </x:c>
      <x:c r="B22" s="134" t="n">
        <x:v>1</x:v>
      </x:c>
      <x:c r="C22" s="134" t="str">
        <x:v>1B</x:v>
      </x:c>
      <x:c r="D22" s="134" t="str">
        <x:v>elegible_activo</x:v>
      </x:c>
      <x:c r="E22" s="134" t="str">
        <x:v>2026-12-15</x:v>
      </x:c>
      <x:c r="F22" s="134" t="n">
        <x:v>0</x:v>
      </x:c>
      <x:c r="G22" s="134" t="str">
        <x:v>permanece</x:v>
      </x:c>
      <x:c r="H22" s="143" t="n">
        <x:v>0.1325</x:v>
      </x:c>
      <x:c r="I22" s="143" t="n">
        <x:v>-0.3226</x:v>
      </x:c>
      <x:c r="J22" s="134" t="str">
        <x:v>validation</x:v>
      </x:c>
      <x:c r="K22" s="135" t="str">
        <x:v>NO USAR prob_generador/score_generador COMO PREDICTOR</x:v>
      </x:c>
    </x:row>
    <x:row r="23" ht="34" customHeight="1">
      <x:c r="A23" s="133" t="str">
        <x:v>EST-0022</x:v>
      </x:c>
      <x:c r="B23" s="134" t="n">
        <x:v>1</x:v>
      </x:c>
      <x:c r="C23" s="134" t="str">
        <x:v>1B</x:v>
      </x:c>
      <x:c r="D23" s="134" t="str">
        <x:v>elegible_activo</x:v>
      </x:c>
      <x:c r="E23" s="134" t="str">
        <x:v>2026-12-15</x:v>
      </x:c>
      <x:c r="F23" s="134" t="n">
        <x:v>1</x:v>
      </x:c>
      <x:c r="G23" s="134" t="str">
        <x:v>deserta</x:v>
      </x:c>
      <x:c r="H23" s="143" t="n">
        <x:v>0.1123</x:v>
      </x:c>
      <x:c r="I23" s="143" t="n">
        <x:v>-0.5112</x:v>
      </x:c>
      <x:c r="J23" s="134" t="str">
        <x:v>train</x:v>
      </x:c>
      <x:c r="K23" s="135" t="str">
        <x:v>NO USAR prob_generador/score_generador COMO PREDICTOR</x:v>
      </x:c>
    </x:row>
    <x:row r="24" ht="34" customHeight="1">
      <x:c r="A24" s="133" t="str">
        <x:v>EST-0023</x:v>
      </x:c>
      <x:c r="B24" s="134" t="n">
        <x:v>1</x:v>
      </x:c>
      <x:c r="C24" s="134" t="str">
        <x:v>1B</x:v>
      </x:c>
      <x:c r="D24" s="134" t="str">
        <x:v>elegible_activo</x:v>
      </x:c>
      <x:c r="E24" s="134" t="str">
        <x:v>2026-12-15</x:v>
      </x:c>
      <x:c r="F24" s="134" t="n">
        <x:v>0</x:v>
      </x:c>
      <x:c r="G24" s="134" t="str">
        <x:v>permanece</x:v>
      </x:c>
      <x:c r="H24" s="143" t="n">
        <x:v>0.0784</x:v>
      </x:c>
      <x:c r="I24" s="143" t="n">
        <x:v>-0.9078</x:v>
      </x:c>
      <x:c r="J24" s="134" t="str">
        <x:v>train</x:v>
      </x:c>
      <x:c r="K24" s="135" t="str">
        <x:v>NO USAR prob_generador/score_generador COMO PREDICTOR</x:v>
      </x:c>
    </x:row>
    <x:row r="25" ht="34" customHeight="1">
      <x:c r="A25" s="133" t="str">
        <x:v>EST-0024</x:v>
      </x:c>
      <x:c r="B25" s="134" t="n">
        <x:v>1</x:v>
      </x:c>
      <x:c r="C25" s="134" t="str">
        <x:v>1B</x:v>
      </x:c>
      <x:c r="D25" s="134" t="str">
        <x:v>elegible_activo</x:v>
      </x:c>
      <x:c r="E25" s="134" t="str">
        <x:v>2026-12-15</x:v>
      </x:c>
      <x:c r="F25" s="134" t="n">
        <x:v>0</x:v>
      </x:c>
      <x:c r="G25" s="134" t="str">
        <x:v>permanece</x:v>
      </x:c>
      <x:c r="H25" s="143" t="n">
        <x:v>0.2843</x:v>
      </x:c>
      <x:c r="I25" s="143" t="n">
        <x:v>0.6331</x:v>
      </x:c>
      <x:c r="J25" s="134" t="str">
        <x:v>validation</x:v>
      </x:c>
      <x:c r="K25" s="135" t="str">
        <x:v>NO USAR prob_generador/score_generador COMO PREDICTOR</x:v>
      </x:c>
    </x:row>
    <x:row r="26" ht="34" customHeight="1">
      <x:c r="A26" s="133" t="str">
        <x:v>EST-0025</x:v>
      </x:c>
      <x:c r="B26" s="134" t="n">
        <x:v>1</x:v>
      </x:c>
      <x:c r="C26" s="134" t="str">
        <x:v>1C</x:v>
      </x:c>
      <x:c r="D26" s="134" t="str">
        <x:v>elegible_activo</x:v>
      </x:c>
      <x:c r="E26" s="134" t="str">
        <x:v>2026-12-15</x:v>
      </x:c>
      <x:c r="F26" s="134" t="n">
        <x:v>0</x:v>
      </x:c>
      <x:c r="G26" s="134" t="str">
        <x:v>permanece</x:v>
      </x:c>
      <x:c r="H26" s="143" t="n">
        <x:v>0.1853</x:v>
      </x:c>
      <x:c r="I26" s="143" t="n">
        <x:v>0.0757</x:v>
      </x:c>
      <x:c r="J26" s="134" t="str">
        <x:v>holdout</x:v>
      </x:c>
      <x:c r="K26" s="135" t="str">
        <x:v>NO USAR prob_generador/score_generador COMO PREDICTOR</x:v>
      </x:c>
    </x:row>
    <x:row r="27" ht="34" customHeight="1">
      <x:c r="A27" s="133" t="str">
        <x:v>EST-0026</x:v>
      </x:c>
      <x:c r="B27" s="134" t="n">
        <x:v>1</x:v>
      </x:c>
      <x:c r="C27" s="134" t="str">
        <x:v>1C</x:v>
      </x:c>
      <x:c r="D27" s="134" t="str">
        <x:v>elegible_activo</x:v>
      </x:c>
      <x:c r="E27" s="134" t="str">
        <x:v>2026-12-15</x:v>
      </x:c>
      <x:c r="F27" s="134" t="n">
        <x:v>0</x:v>
      </x:c>
      <x:c r="G27" s="134" t="str">
        <x:v>permanece</x:v>
      </x:c>
      <x:c r="H27" s="143" t="n">
        <x:v>0.0715</x:v>
      </x:c>
      <x:c r="I27" s="143" t="n">
        <x:v>-1.0074</x:v>
      </x:c>
      <x:c r="J27" s="134" t="str">
        <x:v>holdout</x:v>
      </x:c>
      <x:c r="K27" s="135" t="str">
        <x:v>NO USAR prob_generador/score_generador COMO PREDICTOR</x:v>
      </x:c>
    </x:row>
    <x:row r="28" ht="34" customHeight="1">
      <x:c r="A28" s="133" t="str">
        <x:v>EST-0027</x:v>
      </x:c>
      <x:c r="B28" s="134" t="n">
        <x:v>1</x:v>
      </x:c>
      <x:c r="C28" s="134" t="str">
        <x:v>1C</x:v>
      </x:c>
      <x:c r="D28" s="134" t="str">
        <x:v>elegible_activo</x:v>
      </x:c>
      <x:c r="E28" s="134" t="str">
        <x:v>2026-12-15</x:v>
      </x:c>
      <x:c r="F28" s="134" t="n">
        <x:v>0</x:v>
      </x:c>
      <x:c r="G28" s="134" t="str">
        <x:v>permanece</x:v>
      </x:c>
      <x:c r="H28" s="143" t="n">
        <x:v>0.2545</x:v>
      </x:c>
      <x:c r="I28" s="143" t="n">
        <x:v>0.4815</x:v>
      </x:c>
      <x:c r="J28" s="134" t="str">
        <x:v>holdout</x:v>
      </x:c>
      <x:c r="K28" s="135" t="str">
        <x:v>NO USAR prob_generador/score_generador COMO PREDICTOR</x:v>
      </x:c>
    </x:row>
    <x:row r="29" ht="34" customHeight="1">
      <x:c r="A29" s="133" t="str">
        <x:v>EST-0029</x:v>
      </x:c>
      <x:c r="B29" s="134" t="n">
        <x:v>1</x:v>
      </x:c>
      <x:c r="C29" s="134" t="str">
        <x:v>1C</x:v>
      </x:c>
      <x:c r="D29" s="134" t="str">
        <x:v>elegible_activo</x:v>
      </x:c>
      <x:c r="E29" s="134" t="str">
        <x:v>2026-12-15</x:v>
      </x:c>
      <x:c r="F29" s="134" t="n">
        <x:v>0</x:v>
      </x:c>
      <x:c r="G29" s="134" t="str">
        <x:v>permanece</x:v>
      </x:c>
      <x:c r="H29" s="143" t="n">
        <x:v>0.1479</x:v>
      </x:c>
      <x:c r="I29" s="143" t="n">
        <x:v>-0.1947</x:v>
      </x:c>
      <x:c r="J29" s="134" t="str">
        <x:v>holdout</x:v>
      </x:c>
      <x:c r="K29" s="135" t="str">
        <x:v>NO USAR prob_generador/score_generador COMO PREDICTOR</x:v>
      </x:c>
    </x:row>
    <x:row r="30" ht="34" customHeight="1">
      <x:c r="A30" s="133" t="str">
        <x:v>EST-0030</x:v>
      </x:c>
      <x:c r="B30" s="134" t="n">
        <x:v>1</x:v>
      </x:c>
      <x:c r="C30" s="134" t="str">
        <x:v>1C</x:v>
      </x:c>
      <x:c r="D30" s="134" t="str">
        <x:v>elegible_activo</x:v>
      </x:c>
      <x:c r="E30" s="134" t="str">
        <x:v>2026-12-15</x:v>
      </x:c>
      <x:c r="F30" s="134" t="n">
        <x:v>0</x:v>
      </x:c>
      <x:c r="G30" s="134" t="str">
        <x:v>permanece</x:v>
      </x:c>
      <x:c r="H30" s="143" t="n">
        <x:v>0.218</x:v>
      </x:c>
      <x:c r="I30" s="143" t="n">
        <x:v>0.2789</x:v>
      </x:c>
      <x:c r="J30" s="134" t="str">
        <x:v>validation</x:v>
      </x:c>
      <x:c r="K30" s="135" t="str">
        <x:v>NO USAR prob_generador/score_generador COMO PREDICTOR</x:v>
      </x:c>
    </x:row>
    <x:row r="31" ht="34" customHeight="1">
      <x:c r="A31" s="133" t="str">
        <x:v>EST-0031</x:v>
      </x:c>
      <x:c r="B31" s="134" t="n">
        <x:v>1</x:v>
      </x:c>
      <x:c r="C31" s="134" t="str">
        <x:v>1C</x:v>
      </x:c>
      <x:c r="D31" s="134" t="str">
        <x:v>elegible_activo</x:v>
      </x:c>
      <x:c r="E31" s="134" t="str">
        <x:v>2026-12-15</x:v>
      </x:c>
      <x:c r="F31" s="134" t="n">
        <x:v>0</x:v>
      </x:c>
      <x:c r="G31" s="134" t="str">
        <x:v>permanece</x:v>
      </x:c>
      <x:c r="H31" s="143" t="n">
        <x:v>0.0084</x:v>
      </x:c>
      <x:c r="I31" s="143" t="n">
        <x:v>-3.2091</x:v>
      </x:c>
      <x:c r="J31" s="134" t="str">
        <x:v>train</x:v>
      </x:c>
      <x:c r="K31" s="135" t="str">
        <x:v>NO USAR prob_generador/score_generador COMO PREDICTOR</x:v>
      </x:c>
    </x:row>
    <x:row r="32" ht="34" customHeight="1">
      <x:c r="A32" s="133" t="str">
        <x:v>EST-0032</x:v>
      </x:c>
      <x:c r="B32" s="134" t="n">
        <x:v>1</x:v>
      </x:c>
      <x:c r="C32" s="134" t="str">
        <x:v>1C</x:v>
      </x:c>
      <x:c r="D32" s="134" t="str">
        <x:v>elegible_activo</x:v>
      </x:c>
      <x:c r="E32" s="134" t="str">
        <x:v>2026-12-15</x:v>
      </x:c>
      <x:c r="F32" s="134" t="n">
        <x:v>1</x:v>
      </x:c>
      <x:c r="G32" s="134" t="str">
        <x:v>deserta</x:v>
      </x:c>
      <x:c r="H32" s="143" t="n">
        <x:v>0.0948</x:v>
      </x:c>
      <x:c r="I32" s="143" t="n">
        <x:v>-0.6995</x:v>
      </x:c>
      <x:c r="J32" s="134" t="str">
        <x:v>holdout</x:v>
      </x:c>
      <x:c r="K32" s="135" t="str">
        <x:v>NO USAR prob_generador/score_generador COMO PREDICTOR</x:v>
      </x:c>
    </x:row>
    <x:row r="33" ht="34" customHeight="1">
      <x:c r="A33" s="133" t="str">
        <x:v>EST-0033</x:v>
      </x:c>
      <x:c r="B33" s="134" t="n">
        <x:v>1</x:v>
      </x:c>
      <x:c r="C33" s="134" t="str">
        <x:v>1C</x:v>
      </x:c>
      <x:c r="D33" s="134" t="str">
        <x:v>elegible_activo</x:v>
      </x:c>
      <x:c r="E33" s="134" t="str">
        <x:v>2026-12-15</x:v>
      </x:c>
      <x:c r="F33" s="134" t="n">
        <x:v>0</x:v>
      </x:c>
      <x:c r="G33" s="134" t="str">
        <x:v>permanece</x:v>
      </x:c>
      <x:c r="H33" s="143" t="n">
        <x:v>0.212</x:v>
      </x:c>
      <x:c r="I33" s="143" t="n">
        <x:v>0.2435</x:v>
      </x:c>
      <x:c r="J33" s="134" t="str">
        <x:v>train</x:v>
      </x:c>
      <x:c r="K33" s="135" t="str">
        <x:v>NO USAR prob_generador/score_generador COMO PREDICTOR</x:v>
      </x:c>
    </x:row>
    <x:row r="34" ht="34" customHeight="1">
      <x:c r="A34" s="133" t="str">
        <x:v>EST-0034</x:v>
      </x:c>
      <x:c r="B34" s="134" t="n">
        <x:v>1</x:v>
      </x:c>
      <x:c r="C34" s="134" t="str">
        <x:v>1C</x:v>
      </x:c>
      <x:c r="D34" s="134" t="str">
        <x:v>elegible_activo</x:v>
      </x:c>
      <x:c r="E34" s="134" t="str">
        <x:v>2026-12-15</x:v>
      </x:c>
      <x:c r="F34" s="134" t="n">
        <x:v>0</x:v>
      </x:c>
      <x:c r="G34" s="134" t="str">
        <x:v>permanece</x:v>
      </x:c>
      <x:c r="H34" s="143" t="n">
        <x:v>0.0417</x:v>
      </x:c>
      <x:c r="I34" s="143" t="n">
        <x:v>-1.5773</x:v>
      </x:c>
      <x:c r="J34" s="134" t="str">
        <x:v>holdout</x:v>
      </x:c>
      <x:c r="K34" s="135" t="str">
        <x:v>NO USAR prob_generador/score_generador COMO PREDICTOR</x:v>
      </x:c>
    </x:row>
    <x:row r="35" ht="34" customHeight="1">
      <x:c r="A35" s="133" t="str">
        <x:v>EST-0035</x:v>
      </x:c>
      <x:c r="B35" s="134" t="n">
        <x:v>1</x:v>
      </x:c>
      <x:c r="C35" s="134" t="str">
        <x:v>1C</x:v>
      </x:c>
      <x:c r="D35" s="134" t="str">
        <x:v>elegible_activo</x:v>
      </x:c>
      <x:c r="E35" s="134" t="str">
        <x:v>2026-12-15</x:v>
      </x:c>
      <x:c r="F35" s="134" t="n">
        <x:v>0</x:v>
      </x:c>
      <x:c r="G35" s="134" t="str">
        <x:v>permanece</x:v>
      </x:c>
      <x:c r="H35" s="143" t="n">
        <x:v>0.1149</x:v>
      </x:c>
      <x:c r="I35" s="143" t="n">
        <x:v>-0.4849</x:v>
      </x:c>
      <x:c r="J35" s="134" t="str">
        <x:v>train</x:v>
      </x:c>
      <x:c r="K35" s="135" t="str">
        <x:v>NO USAR prob_generador/score_generador COMO PREDICTOR</x:v>
      </x:c>
    </x:row>
    <x:row r="36" ht="34" customHeight="1">
      <x:c r="A36" s="133" t="str">
        <x:v>EST-0036</x:v>
      </x:c>
      <x:c r="B36" s="134" t="n">
        <x:v>1</x:v>
      </x:c>
      <x:c r="C36" s="134" t="str">
        <x:v>1D</x:v>
      </x:c>
      <x:c r="D36" s="134" t="str">
        <x:v>elegible_activo</x:v>
      </x:c>
      <x:c r="E36" s="134" t="str">
        <x:v>2026-12-15</x:v>
      </x:c>
      <x:c r="F36" s="134" t="n">
        <x:v>1</x:v>
      </x:c>
      <x:c r="G36" s="134" t="str">
        <x:v>deserta</x:v>
      </x:c>
      <x:c r="H36" s="143" t="n">
        <x:v>0.5518</x:v>
      </x:c>
      <x:c r="I36" s="143" t="n">
        <x:v>1.7644</x:v>
      </x:c>
      <x:c r="J36" s="134" t="str">
        <x:v>train</x:v>
      </x:c>
      <x:c r="K36" s="135" t="str">
        <x:v>NO USAR prob_generador/score_generador COMO PREDICTOR</x:v>
      </x:c>
    </x:row>
    <x:row r="37" ht="34" customHeight="1">
      <x:c r="A37" s="133" t="str">
        <x:v>EST-0038</x:v>
      </x:c>
      <x:c r="B37" s="134" t="n">
        <x:v>1</x:v>
      </x:c>
      <x:c r="C37" s="134" t="str">
        <x:v>1D</x:v>
      </x:c>
      <x:c r="D37" s="134" t="str">
        <x:v>elegible_activo</x:v>
      </x:c>
      <x:c r="E37" s="134" t="str">
        <x:v>2026-12-15</x:v>
      </x:c>
      <x:c r="F37" s="134" t="n">
        <x:v>0</x:v>
      </x:c>
      <x:c r="G37" s="134" t="str">
        <x:v>permanece</x:v>
      </x:c>
      <x:c r="H37" s="143" t="n">
        <x:v>0.0502</x:v>
      </x:c>
      <x:c r="I37" s="143" t="n">
        <x:v>-1.3832</x:v>
      </x:c>
      <x:c r="J37" s="134" t="str">
        <x:v>validation</x:v>
      </x:c>
      <x:c r="K37" s="135" t="str">
        <x:v>NO USAR prob_generador/score_generador COMO PREDICTOR</x:v>
      </x:c>
    </x:row>
    <x:row r="38" ht="34" customHeight="1">
      <x:c r="A38" s="133" t="str">
        <x:v>EST-0039</x:v>
      </x:c>
      <x:c r="B38" s="134" t="n">
        <x:v>1</x:v>
      </x:c>
      <x:c r="C38" s="134" t="str">
        <x:v>1D</x:v>
      </x:c>
      <x:c r="D38" s="134" t="str">
        <x:v>elegible_activo</x:v>
      </x:c>
      <x:c r="E38" s="134" t="str">
        <x:v>2026-12-15</x:v>
      </x:c>
      <x:c r="F38" s="134" t="n">
        <x:v>0</x:v>
      </x:c>
      <x:c r="G38" s="134" t="str">
        <x:v>permanece</x:v>
      </x:c>
      <x:c r="H38" s="143" t="n">
        <x:v>0.0883</x:v>
      </x:c>
      <x:c r="I38" s="143" t="n">
        <x:v>-0.7784</x:v>
      </x:c>
      <x:c r="J38" s="134" t="str">
        <x:v>train</x:v>
      </x:c>
      <x:c r="K38" s="135" t="str">
        <x:v>NO USAR prob_generador/score_generador COMO PREDICTOR</x:v>
      </x:c>
    </x:row>
    <x:row r="39" ht="34" customHeight="1">
      <x:c r="A39" s="133" t="str">
        <x:v>EST-0040</x:v>
      </x:c>
      <x:c r="B39" s="134" t="n">
        <x:v>1</x:v>
      </x:c>
      <x:c r="C39" s="134" t="str">
        <x:v>1D</x:v>
      </x:c>
      <x:c r="D39" s="134" t="str">
        <x:v>elegible_activo</x:v>
      </x:c>
      <x:c r="E39" s="134" t="str">
        <x:v>2026-12-15</x:v>
      </x:c>
      <x:c r="F39" s="134" t="n">
        <x:v>0</x:v>
      </x:c>
      <x:c r="G39" s="134" t="str">
        <x:v>permanece</x:v>
      </x:c>
      <x:c r="H39" s="143" t="n">
        <x:v>0.2204</x:v>
      </x:c>
      <x:c r="I39" s="143" t="n">
        <x:v>0.2929</x:v>
      </x:c>
      <x:c r="J39" s="134" t="str">
        <x:v>train</x:v>
      </x:c>
      <x:c r="K39" s="135" t="str">
        <x:v>NO USAR prob_generador/score_generador COMO PREDICTOR</x:v>
      </x:c>
    </x:row>
    <x:row r="40" ht="34" customHeight="1">
      <x:c r="A40" s="133" t="str">
        <x:v>EST-0041</x:v>
      </x:c>
      <x:c r="B40" s="134" t="n">
        <x:v>1</x:v>
      </x:c>
      <x:c r="C40" s="134" t="str">
        <x:v>1D</x:v>
      </x:c>
      <x:c r="D40" s="134" t="str">
        <x:v>elegible_activo</x:v>
      </x:c>
      <x:c r="E40" s="134" t="str">
        <x:v>2026-12-15</x:v>
      </x:c>
      <x:c r="F40" s="134" t="n">
        <x:v>0</x:v>
      </x:c>
      <x:c r="G40" s="134" t="str">
        <x:v>permanece</x:v>
      </x:c>
      <x:c r="H40" s="143" t="n">
        <x:v>0.1479</x:v>
      </x:c>
      <x:c r="I40" s="143" t="n">
        <x:v>-0.195</x:v>
      </x:c>
      <x:c r="J40" s="134" t="str">
        <x:v>train</x:v>
      </x:c>
      <x:c r="K40" s="135" t="str">
        <x:v>NO USAR prob_generador/score_generador COMO PREDICTOR</x:v>
      </x:c>
    </x:row>
    <x:row r="41" ht="34" customHeight="1">
      <x:c r="A41" s="133" t="str">
        <x:v>EST-0042</x:v>
      </x:c>
      <x:c r="B41" s="134" t="n">
        <x:v>1</x:v>
      </x:c>
      <x:c r="C41" s="134" t="str">
        <x:v>1D</x:v>
      </x:c>
      <x:c r="D41" s="134" t="str">
        <x:v>elegible_activo</x:v>
      </x:c>
      <x:c r="E41" s="134" t="str">
        <x:v>2026-12-15</x:v>
      </x:c>
      <x:c r="F41" s="134" t="n">
        <x:v>0</x:v>
      </x:c>
      <x:c r="G41" s="134" t="str">
        <x:v>permanece</x:v>
      </x:c>
      <x:c r="H41" s="143" t="n">
        <x:v>0.6379</x:v>
      </x:c>
      <x:c r="I41" s="143" t="n">
        <x:v>2.1226</x:v>
      </x:c>
      <x:c r="J41" s="134" t="str">
        <x:v>train</x:v>
      </x:c>
      <x:c r="K41" s="135" t="str">
        <x:v>NO USAR prob_generador/score_generador COMO PREDICTOR</x:v>
      </x:c>
    </x:row>
    <x:row r="42" ht="34" customHeight="1">
      <x:c r="A42" s="133" t="str">
        <x:v>EST-0043</x:v>
      </x:c>
      <x:c r="B42" s="134" t="n">
        <x:v>1</x:v>
      </x:c>
      <x:c r="C42" s="134" t="str">
        <x:v>1D</x:v>
      </x:c>
      <x:c r="D42" s="134" t="str">
        <x:v>elegible_activo</x:v>
      </x:c>
      <x:c r="E42" s="134" t="str">
        <x:v>2026-12-15</x:v>
      </x:c>
      <x:c r="F42" s="134" t="n">
        <x:v>0</x:v>
      </x:c>
      <x:c r="G42" s="134" t="str">
        <x:v>permanece</x:v>
      </x:c>
      <x:c r="H42" s="143" t="n">
        <x:v>0.2449</x:v>
      </x:c>
      <x:c r="I42" s="143" t="n">
        <x:v>0.4302</x:v>
      </x:c>
      <x:c r="J42" s="134" t="str">
        <x:v>holdout</x:v>
      </x:c>
      <x:c r="K42" s="135" t="str">
        <x:v>NO USAR prob_generador/score_generador COMO PREDICTOR</x:v>
      </x:c>
    </x:row>
    <x:row r="43" ht="34" customHeight="1">
      <x:c r="A43" s="133" t="str">
        <x:v>EST-0044</x:v>
      </x:c>
      <x:c r="B43" s="134" t="n">
        <x:v>1</x:v>
      </x:c>
      <x:c r="C43" s="134" t="str">
        <x:v>1D</x:v>
      </x:c>
      <x:c r="D43" s="134" t="str">
        <x:v>elegible_activo</x:v>
      </x:c>
      <x:c r="E43" s="134" t="str">
        <x:v>2026-12-15</x:v>
      </x:c>
      <x:c r="F43" s="134" t="n">
        <x:v>0</x:v>
      </x:c>
      <x:c r="G43" s="134" t="str">
        <x:v>permanece</x:v>
      </x:c>
      <x:c r="H43" s="143" t="n">
        <x:v>0.0703</x:v>
      </x:c>
      <x:c r="I43" s="143" t="n">
        <x:v>-1.0259</x:v>
      </x:c>
      <x:c r="J43" s="134" t="str">
        <x:v>train</x:v>
      </x:c>
      <x:c r="K43" s="135" t="str">
        <x:v>NO USAR prob_generador/score_generador COMO PREDICTOR</x:v>
      </x:c>
    </x:row>
    <x:row r="44" ht="34" customHeight="1">
      <x:c r="A44" s="133" t="str">
        <x:v>EST-0045</x:v>
      </x:c>
      <x:c r="B44" s="134" t="n">
        <x:v>1</x:v>
      </x:c>
      <x:c r="C44" s="134" t="str">
        <x:v>1D</x:v>
      </x:c>
      <x:c r="D44" s="134" t="str">
        <x:v>elegible_activo</x:v>
      </x:c>
      <x:c r="E44" s="134" t="str">
        <x:v>2026-12-15</x:v>
      </x:c>
      <x:c r="F44" s="134" t="n">
        <x:v>0</x:v>
      </x:c>
      <x:c r="G44" s="134" t="str">
        <x:v>permanece</x:v>
      </x:c>
      <x:c r="H44" s="143" t="n">
        <x:v>0.0114</x:v>
      </x:c>
      <x:c r="I44" s="143" t="n">
        <x:v>-2.9031</x:v>
      </x:c>
      <x:c r="J44" s="134" t="str">
        <x:v>validation</x:v>
      </x:c>
      <x:c r="K44" s="135" t="str">
        <x:v>NO USAR prob_generador/score_generador COMO PREDICTOR</x:v>
      </x:c>
    </x:row>
    <x:row r="45" ht="34" customHeight="1">
      <x:c r="A45" s="133" t="str">
        <x:v>EST-0047</x:v>
      </x:c>
      <x:c r="B45" s="134" t="n">
        <x:v>2</x:v>
      </x:c>
      <x:c r="C45" s="134" t="str">
        <x:v>2A</x:v>
      </x:c>
      <x:c r="D45" s="134" t="str">
        <x:v>elegible_activo</x:v>
      </x:c>
      <x:c r="E45" s="134" t="str">
        <x:v>2026-12-15</x:v>
      </x:c>
      <x:c r="F45" s="134" t="n">
        <x:v>1</x:v>
      </x:c>
      <x:c r="G45" s="134" t="str">
        <x:v>deserta</x:v>
      </x:c>
      <x:c r="H45" s="143" t="n">
        <x:v>0.337</x:v>
      </x:c>
      <x:c r="I45" s="143" t="n">
        <x:v>0.8796</x:v>
      </x:c>
      <x:c r="J45" s="134" t="str">
        <x:v>validation</x:v>
      </x:c>
      <x:c r="K45" s="135" t="str">
        <x:v>NO USAR prob_generador/score_generador COMO PREDICTOR</x:v>
      </x:c>
    </x:row>
    <x:row r="46" ht="34" customHeight="1">
      <x:c r="A46" s="133" t="str">
        <x:v>EST-0048</x:v>
      </x:c>
      <x:c r="B46" s="134" t="n">
        <x:v>2</x:v>
      </x:c>
      <x:c r="C46" s="134" t="str">
        <x:v>2A</x:v>
      </x:c>
      <x:c r="D46" s="134" t="str">
        <x:v>elegible_activo</x:v>
      </x:c>
      <x:c r="E46" s="134" t="str">
        <x:v>2026-12-15</x:v>
      </x:c>
      <x:c r="F46" s="134" t="n">
        <x:v>1</x:v>
      </x:c>
      <x:c r="G46" s="134" t="str">
        <x:v>deserta</x:v>
      </x:c>
      <x:c r="H46" s="143" t="n">
        <x:v>0.0618</x:v>
      </x:c>
      <x:c r="I46" s="143" t="n">
        <x:v>-1.1629</x:v>
      </x:c>
      <x:c r="J46" s="134" t="str">
        <x:v>validation</x:v>
      </x:c>
      <x:c r="K46" s="135" t="str">
        <x:v>NO USAR prob_generador/score_generador COMO PREDICTOR</x:v>
      </x:c>
    </x:row>
    <x:row r="47" ht="34" customHeight="1">
      <x:c r="A47" s="133" t="str">
        <x:v>EST-0049</x:v>
      </x:c>
      <x:c r="B47" s="134" t="n">
        <x:v>2</x:v>
      </x:c>
      <x:c r="C47" s="134" t="str">
        <x:v>2A</x:v>
      </x:c>
      <x:c r="D47" s="134" t="str">
        <x:v>elegible_activo</x:v>
      </x:c>
      <x:c r="E47" s="134" t="str">
        <x:v>2026-12-15</x:v>
      </x:c>
      <x:c r="F47" s="134" t="n">
        <x:v>1</x:v>
      </x:c>
      <x:c r="G47" s="134" t="str">
        <x:v>deserta</x:v>
      </x:c>
      <x:c r="H47" s="143" t="n">
        <x:v>0.3133</x:v>
      </x:c>
      <x:c r="I47" s="143" t="n">
        <x:v>0.7719</x:v>
      </x:c>
      <x:c r="J47" s="134" t="str">
        <x:v>holdout</x:v>
      </x:c>
      <x:c r="K47" s="135" t="str">
        <x:v>NO USAR prob_generador/score_generador COMO PREDICTOR</x:v>
      </x:c>
    </x:row>
    <x:row r="48" ht="34" customHeight="1">
      <x:c r="A48" s="133" t="str">
        <x:v>EST-0050</x:v>
      </x:c>
      <x:c r="B48" s="134" t="n">
        <x:v>2</x:v>
      </x:c>
      <x:c r="C48" s="134" t="str">
        <x:v>2A</x:v>
      </x:c>
      <x:c r="D48" s="134" t="str">
        <x:v>elegible_activo</x:v>
      </x:c>
      <x:c r="E48" s="134" t="str">
        <x:v>2026-12-15</x:v>
      </x:c>
      <x:c r="F48" s="134" t="n">
        <x:v>0</x:v>
      </x:c>
      <x:c r="G48" s="134" t="str">
        <x:v>permanece</x:v>
      </x:c>
      <x:c r="H48" s="143" t="n">
        <x:v>0.2151</x:v>
      </x:c>
      <x:c r="I48" s="143" t="n">
        <x:v>0.262</x:v>
      </x:c>
      <x:c r="J48" s="134" t="str">
        <x:v>train</x:v>
      </x:c>
      <x:c r="K48" s="135" t="str">
        <x:v>NO USAR prob_generador/score_generador COMO PREDICTOR</x:v>
      </x:c>
    </x:row>
    <x:row r="49" ht="34" customHeight="1">
      <x:c r="A49" s="133" t="str">
        <x:v>EST-0051</x:v>
      </x:c>
      <x:c r="B49" s="134" t="n">
        <x:v>2</x:v>
      </x:c>
      <x:c r="C49" s="134" t="str">
        <x:v>2A</x:v>
      </x:c>
      <x:c r="D49" s="134" t="str">
        <x:v>elegible_activo</x:v>
      </x:c>
      <x:c r="E49" s="134" t="str">
        <x:v>2026-12-15</x:v>
      </x:c>
      <x:c r="F49" s="134" t="n">
        <x:v>0</x:v>
      </x:c>
      <x:c r="G49" s="134" t="str">
        <x:v>permanece</x:v>
      </x:c>
      <x:c r="H49" s="143" t="n">
        <x:v>0.3695</x:v>
      </x:c>
      <x:c r="I49" s="143" t="n">
        <x:v>1.022</x:v>
      </x:c>
      <x:c r="J49" s="134" t="str">
        <x:v>train</x:v>
      </x:c>
      <x:c r="K49" s="135" t="str">
        <x:v>NO USAR prob_generador/score_generador COMO PREDICTOR</x:v>
      </x:c>
    </x:row>
    <x:row r="50" ht="34" customHeight="1">
      <x:c r="A50" s="133" t="str">
        <x:v>EST-0052</x:v>
      </x:c>
      <x:c r="B50" s="134" t="n">
        <x:v>2</x:v>
      </x:c>
      <x:c r="C50" s="134" t="str">
        <x:v>2A</x:v>
      </x:c>
      <x:c r="D50" s="134" t="str">
        <x:v>elegible_activo</x:v>
      </x:c>
      <x:c r="E50" s="134" t="str">
        <x:v>2026-12-15</x:v>
      </x:c>
      <x:c r="F50" s="134" t="n">
        <x:v>1</x:v>
      </x:c>
      <x:c r="G50" s="134" t="str">
        <x:v>deserta</x:v>
      </x:c>
      <x:c r="H50" s="143" t="n">
        <x:v>0.6828</x:v>
      </x:c>
      <x:c r="I50" s="143" t="n">
        <x:v>2.3233</x:v>
      </x:c>
      <x:c r="J50" s="134" t="str">
        <x:v>train</x:v>
      </x:c>
      <x:c r="K50" s="135" t="str">
        <x:v>NO USAR prob_generador/score_generador COMO PREDICTOR</x:v>
      </x:c>
    </x:row>
    <x:row r="51" ht="34" customHeight="1">
      <x:c r="A51" s="133" t="str">
        <x:v>EST-0053</x:v>
      </x:c>
      <x:c r="B51" s="134" t="n">
        <x:v>2</x:v>
      </x:c>
      <x:c r="C51" s="134" t="str">
        <x:v>2A</x:v>
      </x:c>
      <x:c r="D51" s="134" t="str">
        <x:v>elegible_activo</x:v>
      </x:c>
      <x:c r="E51" s="134" t="str">
        <x:v>2026-12-15</x:v>
      </x:c>
      <x:c r="F51" s="134" t="n">
        <x:v>1</x:v>
      </x:c>
      <x:c r="G51" s="134" t="str">
        <x:v>deserta</x:v>
      </x:c>
      <x:c r="H51" s="143" t="n">
        <x:v>0.7375</x:v>
      </x:c>
      <x:c r="I51" s="143" t="n">
        <x:v>2.5893</x:v>
      </x:c>
      <x:c r="J51" s="134" t="str">
        <x:v>train</x:v>
      </x:c>
      <x:c r="K51" s="135" t="str">
        <x:v>NO USAR prob_generador/score_generador COMO PREDICTOR</x:v>
      </x:c>
    </x:row>
    <x:row r="52" ht="34" customHeight="1">
      <x:c r="A52" s="133" t="str">
        <x:v>EST-0054</x:v>
      </x:c>
      <x:c r="B52" s="134" t="n">
        <x:v>2</x:v>
      </x:c>
      <x:c r="C52" s="134" t="str">
        <x:v>2A</x:v>
      </x:c>
      <x:c r="D52" s="134" t="str">
        <x:v>elegible_activo</x:v>
      </x:c>
      <x:c r="E52" s="134" t="str">
        <x:v>2026-12-15</x:v>
      </x:c>
      <x:c r="F52" s="134" t="n">
        <x:v>0</x:v>
      </x:c>
      <x:c r="G52" s="134" t="str">
        <x:v>permanece</x:v>
      </x:c>
      <x:c r="H52" s="143" t="n">
        <x:v>0.115</x:v>
      </x:c>
      <x:c r="I52" s="143" t="n">
        <x:v>-0.4838</x:v>
      </x:c>
      <x:c r="J52" s="134" t="str">
        <x:v>train</x:v>
      </x:c>
      <x:c r="K52" s="135" t="str">
        <x:v>NO USAR prob_generador/score_generador COMO PREDICTOR</x:v>
      </x:c>
    </x:row>
    <x:row r="53" ht="34" customHeight="1">
      <x:c r="A53" s="133" t="str">
        <x:v>EST-0056</x:v>
      </x:c>
      <x:c r="B53" s="134" t="n">
        <x:v>2</x:v>
      </x:c>
      <x:c r="C53" s="134" t="str">
        <x:v>2A</x:v>
      </x:c>
      <x:c r="D53" s="134" t="str">
        <x:v>elegible_activo</x:v>
      </x:c>
      <x:c r="E53" s="134" t="str">
        <x:v>2026-12-15</x:v>
      </x:c>
      <x:c r="F53" s="134" t="n">
        <x:v>0</x:v>
      </x:c>
      <x:c r="G53" s="134" t="str">
        <x:v>permanece</x:v>
      </x:c>
      <x:c r="H53" s="143" t="n">
        <x:v>0.1183</x:v>
      </x:c>
      <x:c r="I53" s="143" t="n">
        <x:v>-0.4522</x:v>
      </x:c>
      <x:c r="J53" s="134" t="str">
        <x:v>train</x:v>
      </x:c>
      <x:c r="K53" s="135" t="str">
        <x:v>NO USAR prob_generador/score_generador COMO PREDICTOR</x:v>
      </x:c>
    </x:row>
    <x:row r="54" ht="34" customHeight="1">
      <x:c r="A54" s="133" t="str">
        <x:v>EST-0057</x:v>
      </x:c>
      <x:c r="B54" s="134" t="n">
        <x:v>2</x:v>
      </x:c>
      <x:c r="C54" s="134" t="str">
        <x:v>2A</x:v>
      </x:c>
      <x:c r="D54" s="134" t="str">
        <x:v>elegible_activo</x:v>
      </x:c>
      <x:c r="E54" s="134" t="str">
        <x:v>2026-12-15</x:v>
      </x:c>
      <x:c r="F54" s="134" t="n">
        <x:v>1</x:v>
      </x:c>
      <x:c r="G54" s="134" t="str">
        <x:v>deserta</x:v>
      </x:c>
      <x:c r="H54" s="143" t="n">
        <x:v>0.2763</x:v>
      </x:c>
      <x:c r="I54" s="143" t="n">
        <x:v>0.5934</x:v>
      </x:c>
      <x:c r="J54" s="134" t="str">
        <x:v>train</x:v>
      </x:c>
      <x:c r="K54" s="135" t="str">
        <x:v>NO USAR prob_generador/score_generador COMO PREDICTOR</x:v>
      </x:c>
    </x:row>
    <x:row r="55" ht="34" customHeight="1">
      <x:c r="A55" s="133" t="str">
        <x:v>EST-0058</x:v>
      </x:c>
      <x:c r="B55" s="134" t="n">
        <x:v>2</x:v>
      </x:c>
      <x:c r="C55" s="134" t="str">
        <x:v>2A</x:v>
      </x:c>
      <x:c r="D55" s="134" t="str">
        <x:v>elegible_activo</x:v>
      </x:c>
      <x:c r="E55" s="134" t="str">
        <x:v>2026-12-15</x:v>
      </x:c>
      <x:c r="F55" s="134" t="n">
        <x:v>1</x:v>
      </x:c>
      <x:c r="G55" s="134" t="str">
        <x:v>deserta</x:v>
      </x:c>
      <x:c r="H55" s="143" t="n">
        <x:v>0.4972</x:v>
      </x:c>
      <x:c r="I55" s="143" t="n">
        <x:v>1.5452</x:v>
      </x:c>
      <x:c r="J55" s="134" t="str">
        <x:v>validation</x:v>
      </x:c>
      <x:c r="K55" s="135" t="str">
        <x:v>NO USAR prob_generador/score_generador COMO PREDICTOR</x:v>
      </x:c>
    </x:row>
    <x:row r="56" ht="34" customHeight="1">
      <x:c r="A56" s="133" t="str">
        <x:v>EST-0059</x:v>
      </x:c>
      <x:c r="B56" s="134" t="n">
        <x:v>2</x:v>
      </x:c>
      <x:c r="C56" s="134" t="str">
        <x:v>2B</x:v>
      </x:c>
      <x:c r="D56" s="134" t="str">
        <x:v>elegible_activo</x:v>
      </x:c>
      <x:c r="E56" s="134" t="str">
        <x:v>2026-12-15</x:v>
      </x:c>
      <x:c r="F56" s="134" t="n">
        <x:v>0</x:v>
      </x:c>
      <x:c r="G56" s="134" t="str">
        <x:v>permanece</x:v>
      </x:c>
      <x:c r="H56" s="143" t="n">
        <x:v>0.241</x:v>
      </x:c>
      <x:c r="I56" s="143" t="n">
        <x:v>0.4091</x:v>
      </x:c>
      <x:c r="J56" s="134" t="str">
        <x:v>validation</x:v>
      </x:c>
      <x:c r="K56" s="135" t="str">
        <x:v>NO USAR prob_generador/score_generador COMO PREDICTOR</x:v>
      </x:c>
    </x:row>
    <x:row r="57" ht="34" customHeight="1">
      <x:c r="A57" s="133" t="str">
        <x:v>EST-0060</x:v>
      </x:c>
      <x:c r="B57" s="134" t="n">
        <x:v>2</x:v>
      </x:c>
      <x:c r="C57" s="134" t="str">
        <x:v>2B</x:v>
      </x:c>
      <x:c r="D57" s="134" t="str">
        <x:v>elegible_activo</x:v>
      </x:c>
      <x:c r="E57" s="134" t="str">
        <x:v>2026-12-15</x:v>
      </x:c>
      <x:c r="F57" s="134" t="n">
        <x:v>0</x:v>
      </x:c>
      <x:c r="G57" s="134" t="str">
        <x:v>permanece</x:v>
      </x:c>
      <x:c r="H57" s="143" t="n">
        <x:v>0.0301</x:v>
      </x:c>
      <x:c r="I57" s="143" t="n">
        <x:v>-1.915</x:v>
      </x:c>
      <x:c r="J57" s="134" t="str">
        <x:v>holdout</x:v>
      </x:c>
      <x:c r="K57" s="135" t="str">
        <x:v>NO USAR prob_generador/score_generador COMO PREDICTOR</x:v>
      </x:c>
    </x:row>
    <x:row r="58" ht="34" customHeight="1">
      <x:c r="A58" s="133" t="str">
        <x:v>EST-0061</x:v>
      </x:c>
      <x:c r="B58" s="134" t="n">
        <x:v>2</x:v>
      </x:c>
      <x:c r="C58" s="134" t="str">
        <x:v>2B</x:v>
      </x:c>
      <x:c r="D58" s="134" t="str">
        <x:v>elegible_activo</x:v>
      </x:c>
      <x:c r="E58" s="134" t="str">
        <x:v>2026-12-15</x:v>
      </x:c>
      <x:c r="F58" s="134" t="n">
        <x:v>0</x:v>
      </x:c>
      <x:c r="G58" s="134" t="str">
        <x:v>permanece</x:v>
      </x:c>
      <x:c r="H58" s="143" t="n">
        <x:v>0.0598</x:v>
      </x:c>
      <x:c r="I58" s="143" t="n">
        <x:v>-1.199</x:v>
      </x:c>
      <x:c r="J58" s="134" t="str">
        <x:v>train</x:v>
      </x:c>
      <x:c r="K58" s="135" t="str">
        <x:v>NO USAR prob_generador/score_generador COMO PREDICTOR</x:v>
      </x:c>
    </x:row>
    <x:row r="59" ht="34" customHeight="1">
      <x:c r="A59" s="133" t="str">
        <x:v>EST-0062</x:v>
      </x:c>
      <x:c r="B59" s="134" t="n">
        <x:v>2</x:v>
      </x:c>
      <x:c r="C59" s="134" t="str">
        <x:v>2B</x:v>
      </x:c>
      <x:c r="D59" s="134" t="str">
        <x:v>elegible_activo</x:v>
      </x:c>
      <x:c r="E59" s="134" t="str">
        <x:v>2026-12-15</x:v>
      </x:c>
      <x:c r="F59" s="134" t="n">
        <x:v>0</x:v>
      </x:c>
      <x:c r="G59" s="134" t="str">
        <x:v>permanece</x:v>
      </x:c>
      <x:c r="H59" s="143" t="n">
        <x:v>0.1042</x:v>
      </x:c>
      <x:c r="I59" s="143" t="n">
        <x:v>-0.5953</x:v>
      </x:c>
      <x:c r="J59" s="134" t="str">
        <x:v>train</x:v>
      </x:c>
      <x:c r="K59" s="135" t="str">
        <x:v>NO USAR prob_generador/score_generador COMO PREDICTOR</x:v>
      </x:c>
    </x:row>
    <x:row r="60" ht="34" customHeight="1">
      <x:c r="A60" s="133" t="str">
        <x:v>EST-0063</x:v>
      </x:c>
      <x:c r="B60" s="134" t="n">
        <x:v>2</x:v>
      </x:c>
      <x:c r="C60" s="134" t="str">
        <x:v>2B</x:v>
      </x:c>
      <x:c r="D60" s="134" t="str">
        <x:v>elegible_activo</x:v>
      </x:c>
      <x:c r="E60" s="134" t="str">
        <x:v>2026-12-15</x:v>
      </x:c>
      <x:c r="F60" s="134" t="n">
        <x:v>0</x:v>
      </x:c>
      <x:c r="G60" s="134" t="str">
        <x:v>permanece</x:v>
      </x:c>
      <x:c r="H60" s="143" t="n">
        <x:v>0.0846</x:v>
      </x:c>
      <x:c r="I60" s="143" t="n">
        <x:v>-0.8249</x:v>
      </x:c>
      <x:c r="J60" s="134" t="str">
        <x:v>validation</x:v>
      </x:c>
      <x:c r="K60" s="135" t="str">
        <x:v>NO USAR prob_generador/score_generador COMO PREDICTOR</x:v>
      </x:c>
    </x:row>
    <x:row r="61" ht="34" customHeight="1">
      <x:c r="A61" s="133" t="str">
        <x:v>EST-0065</x:v>
      </x:c>
      <x:c r="B61" s="134" t="n">
        <x:v>2</x:v>
      </x:c>
      <x:c r="C61" s="134" t="str">
        <x:v>2B</x:v>
      </x:c>
      <x:c r="D61" s="134" t="str">
        <x:v>elegible_activo</x:v>
      </x:c>
      <x:c r="E61" s="134" t="str">
        <x:v>2026-12-15</x:v>
      </x:c>
      <x:c r="F61" s="134" t="n">
        <x:v>0</x:v>
      </x:c>
      <x:c r="G61" s="134" t="str">
        <x:v>permanece</x:v>
      </x:c>
      <x:c r="H61" s="143" t="n">
        <x:v>0.2756</x:v>
      </x:c>
      <x:c r="I61" s="143" t="n">
        <x:v>0.5903</x:v>
      </x:c>
      <x:c r="J61" s="134" t="str">
        <x:v>holdout</x:v>
      </x:c>
      <x:c r="K61" s="135" t="str">
        <x:v>NO USAR prob_generador/score_generador COMO PREDICTOR</x:v>
      </x:c>
    </x:row>
    <x:row r="62" ht="34" customHeight="1">
      <x:c r="A62" s="133" t="str">
        <x:v>EST-0066</x:v>
      </x:c>
      <x:c r="B62" s="134" t="n">
        <x:v>2</x:v>
      </x:c>
      <x:c r="C62" s="134" t="str">
        <x:v>2B</x:v>
      </x:c>
      <x:c r="D62" s="134" t="str">
        <x:v>elegible_activo</x:v>
      </x:c>
      <x:c r="E62" s="134" t="str">
        <x:v>2026-12-15</x:v>
      </x:c>
      <x:c r="F62" s="134" t="n">
        <x:v>0</x:v>
      </x:c>
      <x:c r="G62" s="134" t="str">
        <x:v>permanece</x:v>
      </x:c>
      <x:c r="H62" s="143" t="n">
        <x:v>0.0126</x:v>
      </x:c>
      <x:c r="I62" s="143" t="n">
        <x:v>-2.8025</x:v>
      </x:c>
      <x:c r="J62" s="134" t="str">
        <x:v>train</x:v>
      </x:c>
      <x:c r="K62" s="135" t="str">
        <x:v>NO USAR prob_generador/score_generador COMO PREDICTOR</x:v>
      </x:c>
    </x:row>
    <x:row r="63" ht="34" customHeight="1">
      <x:c r="A63" s="133" t="str">
        <x:v>EST-0067</x:v>
      </x:c>
      <x:c r="B63" s="134" t="n">
        <x:v>2</x:v>
      </x:c>
      <x:c r="C63" s="134" t="str">
        <x:v>2B</x:v>
      </x:c>
      <x:c r="D63" s="134" t="str">
        <x:v>elegible_activo</x:v>
      </x:c>
      <x:c r="E63" s="134" t="str">
        <x:v>2026-12-15</x:v>
      </x:c>
      <x:c r="F63" s="134" t="n">
        <x:v>0</x:v>
      </x:c>
      <x:c r="G63" s="134" t="str">
        <x:v>permanece</x:v>
      </x:c>
      <x:c r="H63" s="143" t="n">
        <x:v>0.0958</x:v>
      </x:c>
      <x:c r="I63" s="143" t="n">
        <x:v>-0.6885</x:v>
      </x:c>
      <x:c r="J63" s="134" t="str">
        <x:v>train</x:v>
      </x:c>
      <x:c r="K63" s="135" t="str">
        <x:v>NO USAR prob_generador/score_generador COMO PREDICTOR</x:v>
      </x:c>
    </x:row>
    <x:row r="64" ht="34" customHeight="1">
      <x:c r="A64" s="133" t="str">
        <x:v>EST-0068</x:v>
      </x:c>
      <x:c r="B64" s="134" t="n">
        <x:v>2</x:v>
      </x:c>
      <x:c r="C64" s="134" t="str">
        <x:v>2B</x:v>
      </x:c>
      <x:c r="D64" s="134" t="str">
        <x:v>elegible_activo</x:v>
      </x:c>
      <x:c r="E64" s="134" t="str">
        <x:v>2026-12-15</x:v>
      </x:c>
      <x:c r="F64" s="134" t="n">
        <x:v>0</x:v>
      </x:c>
      <x:c r="G64" s="134" t="str">
        <x:v>permanece</x:v>
      </x:c>
      <x:c r="H64" s="143" t="n">
        <x:v>0.1464</x:v>
      </x:c>
      <x:c r="I64" s="143" t="n">
        <x:v>-0.2064</x:v>
      </x:c>
      <x:c r="J64" s="134" t="str">
        <x:v>holdout</x:v>
      </x:c>
      <x:c r="K64" s="135" t="str">
        <x:v>NO USAR prob_generador/score_generador COMO PREDICTOR</x:v>
      </x:c>
    </x:row>
    <x:row r="65" ht="34" customHeight="1">
      <x:c r="A65" s="133" t="str">
        <x:v>EST-0069</x:v>
      </x:c>
      <x:c r="B65" s="134" t="n">
        <x:v>2</x:v>
      </x:c>
      <x:c r="C65" s="134" t="str">
        <x:v>2B</x:v>
      </x:c>
      <x:c r="D65" s="134" t="str">
        <x:v>elegible_activo</x:v>
      </x:c>
      <x:c r="E65" s="134" t="str">
        <x:v>2026-12-15</x:v>
      </x:c>
      <x:c r="F65" s="134" t="n">
        <x:v>0</x:v>
      </x:c>
      <x:c r="G65" s="134" t="str">
        <x:v>permanece</x:v>
      </x:c>
      <x:c r="H65" s="143" t="n">
        <x:v>0.0587</x:v>
      </x:c>
      <x:c r="I65" s="143" t="n">
        <x:v>-1.2187</x:v>
      </x:c>
      <x:c r="J65" s="134" t="str">
        <x:v>train</x:v>
      </x:c>
      <x:c r="K65" s="135" t="str">
        <x:v>NO USAR prob_generador/score_generador COMO PREDICTOR</x:v>
      </x:c>
    </x:row>
    <x:row r="66" ht="34" customHeight="1">
      <x:c r="A66" s="133" t="str">
        <x:v>EST-0070</x:v>
      </x:c>
      <x:c r="B66" s="134" t="n">
        <x:v>2</x:v>
      </x:c>
      <x:c r="C66" s="134" t="str">
        <x:v>2B</x:v>
      </x:c>
      <x:c r="D66" s="134" t="str">
        <x:v>elegible_activo</x:v>
      </x:c>
      <x:c r="E66" s="134" t="str">
        <x:v>2026-12-15</x:v>
      </x:c>
      <x:c r="F66" s="134" t="n">
        <x:v>0</x:v>
      </x:c>
      <x:c r="G66" s="134" t="str">
        <x:v>permanece</x:v>
      </x:c>
      <x:c r="H66" s="143" t="n">
        <x:v>0.0395</x:v>
      </x:c>
      <x:c r="I66" s="143" t="n">
        <x:v>-1.6337</x:v>
      </x:c>
      <x:c r="J66" s="134" t="str">
        <x:v>train</x:v>
      </x:c>
      <x:c r="K66" s="135" t="str">
        <x:v>NO USAR prob_generador/score_generador COMO PREDICTOR</x:v>
      </x:c>
    </x:row>
    <x:row r="67" ht="34" customHeight="1">
      <x:c r="A67" s="133" t="str">
        <x:v>EST-0071</x:v>
      </x:c>
      <x:c r="B67" s="134" t="n">
        <x:v>2</x:v>
      </x:c>
      <x:c r="C67" s="134" t="str">
        <x:v>2C</x:v>
      </x:c>
      <x:c r="D67" s="134" t="str">
        <x:v>elegible_activo</x:v>
      </x:c>
      <x:c r="E67" s="134" t="str">
        <x:v>2026-12-15</x:v>
      </x:c>
      <x:c r="F67" s="134" t="n">
        <x:v>0</x:v>
      </x:c>
      <x:c r="G67" s="134" t="str">
        <x:v>permanece</x:v>
      </x:c>
      <x:c r="H67" s="143" t="n">
        <x:v>0.229</x:v>
      </x:c>
      <x:c r="I67" s="143" t="n">
        <x:v>0.3423</x:v>
      </x:c>
      <x:c r="J67" s="134" t="str">
        <x:v>validation</x:v>
      </x:c>
      <x:c r="K67" s="135" t="str">
        <x:v>NO USAR prob_generador/score_generador COMO PREDICTOR</x:v>
      </x:c>
    </x:row>
    <x:row r="68" ht="34" customHeight="1">
      <x:c r="A68" s="133" t="str">
        <x:v>EST-0072</x:v>
      </x:c>
      <x:c r="B68" s="134" t="n">
        <x:v>2</x:v>
      </x:c>
      <x:c r="C68" s="134" t="str">
        <x:v>2C</x:v>
      </x:c>
      <x:c r="D68" s="134" t="str">
        <x:v>elegible_activo</x:v>
      </x:c>
      <x:c r="E68" s="134" t="str">
        <x:v>2026-12-15</x:v>
      </x:c>
      <x:c r="F68" s="134" t="n">
        <x:v>0</x:v>
      </x:c>
      <x:c r="G68" s="134" t="str">
        <x:v>permanece</x:v>
      </x:c>
      <x:c r="H68" s="143" t="n">
        <x:v>0.0593</x:v>
      </x:c>
      <x:c r="I68" s="143" t="n">
        <x:v>-1.2078</x:v>
      </x:c>
      <x:c r="J68" s="134" t="str">
        <x:v>train</x:v>
      </x:c>
      <x:c r="K68" s="135" t="str">
        <x:v>NO USAR prob_generador/score_generador COMO PREDICTOR</x:v>
      </x:c>
    </x:row>
    <x:row r="69" ht="34" customHeight="1">
      <x:c r="A69" s="133" t="str">
        <x:v>EST-0074</x:v>
      </x:c>
      <x:c r="B69" s="134" t="n">
        <x:v>2</x:v>
      </x:c>
      <x:c r="C69" s="134" t="str">
        <x:v>2C</x:v>
      </x:c>
      <x:c r="D69" s="134" t="str">
        <x:v>elegible_activo</x:v>
      </x:c>
      <x:c r="E69" s="134" t="str">
        <x:v>2026-12-15</x:v>
      </x:c>
      <x:c r="F69" s="134" t="n">
        <x:v>0</x:v>
      </x:c>
      <x:c r="G69" s="134" t="str">
        <x:v>permanece</x:v>
      </x:c>
      <x:c r="H69" s="143" t="n">
        <x:v>0.414</x:v>
      </x:c>
      <x:c r="I69" s="143" t="n">
        <x:v>1.209</x:v>
      </x:c>
      <x:c r="J69" s="134" t="str">
        <x:v>train</x:v>
      </x:c>
      <x:c r="K69" s="135" t="str">
        <x:v>NO USAR prob_generador/score_generador COMO PREDICTOR</x:v>
      </x:c>
    </x:row>
    <x:row r="70" ht="34" customHeight="1">
      <x:c r="A70" s="133" t="str">
        <x:v>EST-0075</x:v>
      </x:c>
      <x:c r="B70" s="134" t="n">
        <x:v>2</x:v>
      </x:c>
      <x:c r="C70" s="134" t="str">
        <x:v>2C</x:v>
      </x:c>
      <x:c r="D70" s="134" t="str">
        <x:v>elegible_activo</x:v>
      </x:c>
      <x:c r="E70" s="134" t="str">
        <x:v>2026-12-15</x:v>
      </x:c>
      <x:c r="F70" s="134" t="n">
        <x:v>1</x:v>
      </x:c>
      <x:c r="G70" s="134" t="str">
        <x:v>deserta</x:v>
      </x:c>
      <x:c r="H70" s="143" t="n">
        <x:v>0.2935</x:v>
      </x:c>
      <x:c r="I70" s="143" t="n">
        <x:v>0.6778</x:v>
      </x:c>
      <x:c r="J70" s="134" t="str">
        <x:v>train</x:v>
      </x:c>
      <x:c r="K70" s="135" t="str">
        <x:v>NO USAR prob_generador/score_generador COMO PREDICTOR</x:v>
      </x:c>
    </x:row>
    <x:row r="71" ht="34" customHeight="1">
      <x:c r="A71" s="133" t="str">
        <x:v>EST-0076</x:v>
      </x:c>
      <x:c r="B71" s="134" t="n">
        <x:v>2</x:v>
      </x:c>
      <x:c r="C71" s="134" t="str">
        <x:v>2C</x:v>
      </x:c>
      <x:c r="D71" s="134" t="str">
        <x:v>elegible_activo</x:v>
      </x:c>
      <x:c r="E71" s="134" t="str">
        <x:v>2026-12-15</x:v>
      </x:c>
      <x:c r="F71" s="134" t="n">
        <x:v>0</x:v>
      </x:c>
      <x:c r="G71" s="134" t="str">
        <x:v>permanece</x:v>
      </x:c>
      <x:c r="H71" s="143" t="n">
        <x:v>0.2154</x:v>
      </x:c>
      <x:c r="I71" s="143" t="n">
        <x:v>0.2636</x:v>
      </x:c>
      <x:c r="J71" s="134" t="str">
        <x:v>holdout</x:v>
      </x:c>
      <x:c r="K71" s="135" t="str">
        <x:v>NO USAR prob_generador/score_generador COMO PREDICTOR</x:v>
      </x:c>
    </x:row>
    <x:row r="72" ht="34" customHeight="1">
      <x:c r="A72" s="133" t="str">
        <x:v>EST-0077</x:v>
      </x:c>
      <x:c r="B72" s="134" t="n">
        <x:v>2</x:v>
      </x:c>
      <x:c r="C72" s="134" t="str">
        <x:v>2C</x:v>
      </x:c>
      <x:c r="D72" s="134" t="str">
        <x:v>elegible_activo</x:v>
      </x:c>
      <x:c r="E72" s="134" t="str">
        <x:v>2026-12-15</x:v>
      </x:c>
      <x:c r="F72" s="134" t="n">
        <x:v>1</x:v>
      </x:c>
      <x:c r="G72" s="134" t="str">
        <x:v>deserta</x:v>
      </x:c>
      <x:c r="H72" s="143" t="n">
        <x:v>0.3158</x:v>
      </x:c>
      <x:c r="I72" s="143" t="n">
        <x:v>0.7835</x:v>
      </x:c>
      <x:c r="J72" s="134" t="str">
        <x:v>train</x:v>
      </x:c>
      <x:c r="K72" s="135" t="str">
        <x:v>NO USAR prob_generador/score_generador COMO PREDICTOR</x:v>
      </x:c>
    </x:row>
    <x:row r="73" ht="34" customHeight="1">
      <x:c r="A73" s="133" t="str">
        <x:v>EST-0078</x:v>
      </x:c>
      <x:c r="B73" s="134" t="n">
        <x:v>2</x:v>
      </x:c>
      <x:c r="C73" s="134" t="str">
        <x:v>2C</x:v>
      </x:c>
      <x:c r="D73" s="134" t="str">
        <x:v>elegible_activo</x:v>
      </x:c>
      <x:c r="E73" s="134" t="str">
        <x:v>2026-12-15</x:v>
      </x:c>
      <x:c r="F73" s="134" t="n">
        <x:v>0</x:v>
      </x:c>
      <x:c r="G73" s="134" t="str">
        <x:v>permanece</x:v>
      </x:c>
      <x:c r="H73" s="143" t="n">
        <x:v>0.0836</x:v>
      </x:c>
      <x:c r="I73" s="143" t="n">
        <x:v>-0.8385</x:v>
      </x:c>
      <x:c r="J73" s="134" t="str">
        <x:v>train</x:v>
      </x:c>
      <x:c r="K73" s="135" t="str">
        <x:v>NO USAR prob_generador/score_generador COMO PREDICTOR</x:v>
      </x:c>
    </x:row>
    <x:row r="74" ht="34" customHeight="1">
      <x:c r="A74" s="133" t="str">
        <x:v>EST-0079</x:v>
      </x:c>
      <x:c r="B74" s="134" t="n">
        <x:v>2</x:v>
      </x:c>
      <x:c r="C74" s="134" t="str">
        <x:v>2C</x:v>
      </x:c>
      <x:c r="D74" s="134" t="str">
        <x:v>elegible_activo</x:v>
      </x:c>
      <x:c r="E74" s="134" t="str">
        <x:v>2026-12-15</x:v>
      </x:c>
      <x:c r="F74" s="134" t="n">
        <x:v>0</x:v>
      </x:c>
      <x:c r="G74" s="134" t="str">
        <x:v>permanece</x:v>
      </x:c>
      <x:c r="H74" s="143" t="n">
        <x:v>0.0321</x:v>
      </x:c>
      <x:c r="I74" s="143" t="n">
        <x:v>-1.849</x:v>
      </x:c>
      <x:c r="J74" s="134" t="str">
        <x:v>train</x:v>
      </x:c>
      <x:c r="K74" s="135" t="str">
        <x:v>NO USAR prob_generador/score_generador COMO PREDICTOR</x:v>
      </x:c>
    </x:row>
    <x:row r="75" ht="34" customHeight="1">
      <x:c r="A75" s="133" t="str">
        <x:v>EST-0080</x:v>
      </x:c>
      <x:c r="B75" s="134" t="n">
        <x:v>2</x:v>
      </x:c>
      <x:c r="C75" s="134" t="str">
        <x:v>2C</x:v>
      </x:c>
      <x:c r="D75" s="134" t="str">
        <x:v>elegible_activo</x:v>
      </x:c>
      <x:c r="E75" s="134" t="str">
        <x:v>2026-12-15</x:v>
      </x:c>
      <x:c r="F75" s="134" t="n">
        <x:v>1</x:v>
      </x:c>
      <x:c r="G75" s="134" t="str">
        <x:v>deserta</x:v>
      </x:c>
      <x:c r="H75" s="143" t="n">
        <x:v>0.2013</x:v>
      </x:c>
      <x:c r="I75" s="143" t="n">
        <x:v>0.1784</x:v>
      </x:c>
      <x:c r="J75" s="134" t="str">
        <x:v>train</x:v>
      </x:c>
      <x:c r="K75" s="135" t="str">
        <x:v>NO USAR prob_generador/score_generador COMO PREDICTOR</x:v>
      </x:c>
    </x:row>
    <x:row r="76" ht="34" customHeight="1">
      <x:c r="A76" s="133" t="str">
        <x:v>EST-0081</x:v>
      </x:c>
      <x:c r="B76" s="134" t="n">
        <x:v>2</x:v>
      </x:c>
      <x:c r="C76" s="134" t="str">
        <x:v>2C</x:v>
      </x:c>
      <x:c r="D76" s="134" t="str">
        <x:v>elegible_activo</x:v>
      </x:c>
      <x:c r="E76" s="134" t="str">
        <x:v>2026-12-15</x:v>
      </x:c>
      <x:c r="F76" s="134" t="n">
        <x:v>0</x:v>
      </x:c>
      <x:c r="G76" s="134" t="str">
        <x:v>permanece</x:v>
      </x:c>
      <x:c r="H76" s="143" t="n">
        <x:v>0.0435</x:v>
      </x:c>
      <x:c r="I76" s="143" t="n">
        <x:v>-1.533</x:v>
      </x:c>
      <x:c r="J76" s="134" t="str">
        <x:v>holdout</x:v>
      </x:c>
      <x:c r="K76" s="135" t="str">
        <x:v>NO USAR prob_generador/score_generador COMO PREDICTOR</x:v>
      </x:c>
    </x:row>
    <x:row r="77" ht="34" customHeight="1">
      <x:c r="A77" s="133" t="str">
        <x:v>EST-0083</x:v>
      </x:c>
      <x:c r="B77" s="134" t="n">
        <x:v>2</x:v>
      </x:c>
      <x:c r="C77" s="134" t="str">
        <x:v>2D</x:v>
      </x:c>
      <x:c r="D77" s="134" t="str">
        <x:v>elegible_activo</x:v>
      </x:c>
      <x:c r="E77" s="134" t="str">
        <x:v>2026-12-15</x:v>
      </x:c>
      <x:c r="F77" s="134" t="n">
        <x:v>0</x:v>
      </x:c>
      <x:c r="G77" s="134" t="str">
        <x:v>permanece</x:v>
      </x:c>
      <x:c r="H77" s="143" t="n">
        <x:v>0.027</x:v>
      </x:c>
      <x:c r="I77" s="143" t="n">
        <x:v>-2.0299</x:v>
      </x:c>
      <x:c r="J77" s="134" t="str">
        <x:v>holdout</x:v>
      </x:c>
      <x:c r="K77" s="135" t="str">
        <x:v>NO USAR prob_generador/score_generador COMO PREDICTOR</x:v>
      </x:c>
    </x:row>
    <x:row r="78" ht="34" customHeight="1">
      <x:c r="A78" s="133" t="str">
        <x:v>EST-0084</x:v>
      </x:c>
      <x:c r="B78" s="134" t="n">
        <x:v>2</x:v>
      </x:c>
      <x:c r="C78" s="134" t="str">
        <x:v>2D</x:v>
      </x:c>
      <x:c r="D78" s="134" t="str">
        <x:v>elegible_activo</x:v>
      </x:c>
      <x:c r="E78" s="134" t="str">
        <x:v>2026-12-15</x:v>
      </x:c>
      <x:c r="F78" s="134" t="n">
        <x:v>1</x:v>
      </x:c>
      <x:c r="G78" s="134" t="str">
        <x:v>deserta</x:v>
      </x:c>
      <x:c r="H78" s="143" t="n">
        <x:v>0.3062</x:v>
      </x:c>
      <x:c r="I78" s="143" t="n">
        <x:v>0.7386</x:v>
      </x:c>
      <x:c r="J78" s="134" t="str">
        <x:v>validation</x:v>
      </x:c>
      <x:c r="K78" s="135" t="str">
        <x:v>NO USAR prob_generador/score_generador COMO PREDICTOR</x:v>
      </x:c>
    </x:row>
    <x:row r="79" ht="34" customHeight="1">
      <x:c r="A79" s="133" t="str">
        <x:v>EST-0085</x:v>
      </x:c>
      <x:c r="B79" s="134" t="n">
        <x:v>2</x:v>
      </x:c>
      <x:c r="C79" s="134" t="str">
        <x:v>2D</x:v>
      </x:c>
      <x:c r="D79" s="134" t="str">
        <x:v>elegible_activo</x:v>
      </x:c>
      <x:c r="E79" s="134" t="str">
        <x:v>2026-12-15</x:v>
      </x:c>
      <x:c r="F79" s="134" t="n">
        <x:v>1</x:v>
      </x:c>
      <x:c r="G79" s="134" t="str">
        <x:v>deserta</x:v>
      </x:c>
      <x:c r="H79" s="143" t="n">
        <x:v>0.1183</x:v>
      </x:c>
      <x:c r="I79" s="143" t="n">
        <x:v>-0.4525</x:v>
      </x:c>
      <x:c r="J79" s="134" t="str">
        <x:v>train</x:v>
      </x:c>
      <x:c r="K79" s="135" t="str">
        <x:v>NO USAR prob_generador/score_generador COMO PREDICTOR</x:v>
      </x:c>
    </x:row>
    <x:row r="80" ht="34" customHeight="1">
      <x:c r="A80" s="133" t="str">
        <x:v>EST-0086</x:v>
      </x:c>
      <x:c r="B80" s="134" t="n">
        <x:v>2</x:v>
      </x:c>
      <x:c r="C80" s="134" t="str">
        <x:v>2D</x:v>
      </x:c>
      <x:c r="D80" s="134" t="str">
        <x:v>elegible_activo</x:v>
      </x:c>
      <x:c r="E80" s="134" t="str">
        <x:v>2026-12-15</x:v>
      </x:c>
      <x:c r="F80" s="134" t="n">
        <x:v>0</x:v>
      </x:c>
      <x:c r="G80" s="134" t="str">
        <x:v>permanece</x:v>
      </x:c>
      <x:c r="H80" s="143" t="n">
        <x:v>0.4961</x:v>
      </x:c>
      <x:c r="I80" s="143" t="n">
        <x:v>1.5408</x:v>
      </x:c>
      <x:c r="J80" s="134" t="str">
        <x:v>train</x:v>
      </x:c>
      <x:c r="K80" s="135" t="str">
        <x:v>NO USAR prob_generador/score_generador COMO PREDICTOR</x:v>
      </x:c>
    </x:row>
    <x:row r="81" ht="34" customHeight="1">
      <x:c r="A81" s="133" t="str">
        <x:v>EST-0087</x:v>
      </x:c>
      <x:c r="B81" s="134" t="n">
        <x:v>2</x:v>
      </x:c>
      <x:c r="C81" s="134" t="str">
        <x:v>2D</x:v>
      </x:c>
      <x:c r="D81" s="134" t="str">
        <x:v>elegible_activo</x:v>
      </x:c>
      <x:c r="E81" s="134" t="str">
        <x:v>2026-12-15</x:v>
      </x:c>
      <x:c r="F81" s="134" t="n">
        <x:v>1</x:v>
      </x:c>
      <x:c r="G81" s="134" t="str">
        <x:v>deserta</x:v>
      </x:c>
      <x:c r="H81" s="143" t="n">
        <x:v>0.0405</x:v>
      </x:c>
      <x:c r="I81" s="143" t="n">
        <x:v>-1.6085</x:v>
      </x:c>
      <x:c r="J81" s="134" t="str">
        <x:v>train</x:v>
      </x:c>
      <x:c r="K81" s="135" t="str">
        <x:v>NO USAR prob_generador/score_generador COMO PREDICTOR</x:v>
      </x:c>
    </x:row>
    <x:row r="82" ht="34" customHeight="1">
      <x:c r="A82" s="133" t="str">
        <x:v>EST-0088</x:v>
      </x:c>
      <x:c r="B82" s="134" t="n">
        <x:v>2</x:v>
      </x:c>
      <x:c r="C82" s="134" t="str">
        <x:v>2D</x:v>
      </x:c>
      <x:c r="D82" s="134" t="str">
        <x:v>elegible_activo</x:v>
      </x:c>
      <x:c r="E82" s="134" t="str">
        <x:v>2026-12-15</x:v>
      </x:c>
      <x:c r="F82" s="134" t="n">
        <x:v>0</x:v>
      </x:c>
      <x:c r="G82" s="134" t="str">
        <x:v>permanece</x:v>
      </x:c>
      <x:c r="H82" s="143" t="n">
        <x:v>0.1057</x:v>
      </x:c>
      <x:c r="I82" s="143" t="n">
        <x:v>-0.5786</x:v>
      </x:c>
      <x:c r="J82" s="134" t="str">
        <x:v>train</x:v>
      </x:c>
      <x:c r="K82" s="135" t="str">
        <x:v>NO USAR prob_generador/score_generador COMO PREDICTOR</x:v>
      </x:c>
    </x:row>
    <x:row r="83" ht="34" customHeight="1">
      <x:c r="A83" s="133" t="str">
        <x:v>EST-0089</x:v>
      </x:c>
      <x:c r="B83" s="134" t="n">
        <x:v>2</x:v>
      </x:c>
      <x:c r="C83" s="134" t="str">
        <x:v>2D</x:v>
      </x:c>
      <x:c r="D83" s="134" t="str">
        <x:v>elegible_activo</x:v>
      </x:c>
      <x:c r="E83" s="134" t="str">
        <x:v>2026-12-15</x:v>
      </x:c>
      <x:c r="F83" s="134" t="n">
        <x:v>0</x:v>
      </x:c>
      <x:c r="G83" s="134" t="str">
        <x:v>permanece</x:v>
      </x:c>
      <x:c r="H83" s="143" t="n">
        <x:v>0.0243</x:v>
      </x:c>
      <x:c r="I83" s="143" t="n">
        <x:v>-2.1375</x:v>
      </x:c>
      <x:c r="J83" s="134" t="str">
        <x:v>train</x:v>
      </x:c>
      <x:c r="K83" s="135" t="str">
        <x:v>NO USAR prob_generador/score_generador COMO PREDICTOR</x:v>
      </x:c>
    </x:row>
    <x:row r="84" ht="34" customHeight="1">
      <x:c r="A84" s="133" t="str">
        <x:v>EST-0090</x:v>
      </x:c>
      <x:c r="B84" s="134" t="n">
        <x:v>2</x:v>
      </x:c>
      <x:c r="C84" s="134" t="str">
        <x:v>2D</x:v>
      </x:c>
      <x:c r="D84" s="134" t="str">
        <x:v>elegible_activo</x:v>
      </x:c>
      <x:c r="E84" s="134" t="str">
        <x:v>2026-12-15</x:v>
      </x:c>
      <x:c r="F84" s="134" t="n">
        <x:v>0</x:v>
      </x:c>
      <x:c r="G84" s="134" t="str">
        <x:v>permanece</x:v>
      </x:c>
      <x:c r="H84" s="143" t="n">
        <x:v>0.2767</x:v>
      </x:c>
      <x:c r="I84" s="143" t="n">
        <x:v>0.5953</x:v>
      </x:c>
      <x:c r="J84" s="134" t="str">
        <x:v>train</x:v>
      </x:c>
      <x:c r="K84" s="135" t="str">
        <x:v>NO USAR prob_generador/score_generador COMO PREDICTOR</x:v>
      </x:c>
    </x:row>
    <x:row r="85" ht="34" customHeight="1">
      <x:c r="A85" s="133" t="str">
        <x:v>EST-0091</x:v>
      </x:c>
      <x:c r="B85" s="134" t="n">
        <x:v>2</x:v>
      </x:c>
      <x:c r="C85" s="134" t="str">
        <x:v>2D</x:v>
      </x:c>
      <x:c r="D85" s="134" t="str">
        <x:v>elegible_activo</x:v>
      </x:c>
      <x:c r="E85" s="134" t="str">
        <x:v>2026-12-15</x:v>
      </x:c>
      <x:c r="F85" s="134" t="n">
        <x:v>1</x:v>
      </x:c>
      <x:c r="G85" s="134" t="str">
        <x:v>deserta</x:v>
      </x:c>
      <x:c r="H85" s="143" t="n">
        <x:v>0.3455</x:v>
      </x:c>
      <x:c r="I85" s="143" t="n">
        <x:v>0.9177</x:v>
      </x:c>
      <x:c r="J85" s="134" t="str">
        <x:v>train</x:v>
      </x:c>
      <x:c r="K85" s="135" t="str">
        <x:v>NO USAR prob_generador/score_generador COMO PREDICTOR</x:v>
      </x:c>
    </x:row>
    <x:row r="86" ht="34" customHeight="1">
      <x:c r="A86" s="133" t="str">
        <x:v>EST-0092</x:v>
      </x:c>
      <x:c r="B86" s="134" t="n">
        <x:v>2</x:v>
      </x:c>
      <x:c r="C86" s="134" t="str">
        <x:v>2D</x:v>
      </x:c>
      <x:c r="D86" s="134" t="str">
        <x:v>elegible_activo</x:v>
      </x:c>
      <x:c r="E86" s="134" t="str">
        <x:v>2026-12-15</x:v>
      </x:c>
      <x:c r="F86" s="134" t="n">
        <x:v>0</x:v>
      </x:c>
      <x:c r="G86" s="134" t="str">
        <x:v>permanece</x:v>
      </x:c>
      <x:c r="H86" s="143" t="n">
        <x:v>0.041</x:v>
      </x:c>
      <x:c r="I86" s="143" t="n">
        <x:v>-1.5969</x:v>
      </x:c>
      <x:c r="J86" s="134" t="str">
        <x:v>holdout</x:v>
      </x:c>
      <x:c r="K86" s="135" t="str">
        <x:v>NO USAR prob_generador/score_generador COMO PREDICTOR</x:v>
      </x:c>
    </x:row>
    <x:row r="87" ht="34" customHeight="1">
      <x:c r="A87" s="133" t="str">
        <x:v>EST-0094</x:v>
      </x:c>
      <x:c r="B87" s="134" t="n">
        <x:v>3</x:v>
      </x:c>
      <x:c r="C87" s="134" t="str">
        <x:v>3A</x:v>
      </x:c>
      <x:c r="D87" s="134" t="str">
        <x:v>elegible_activo</x:v>
      </x:c>
      <x:c r="E87" s="134" t="str">
        <x:v>2026-12-15</x:v>
      </x:c>
      <x:c r="F87" s="134" t="n">
        <x:v>0</x:v>
      </x:c>
      <x:c r="G87" s="134" t="str">
        <x:v>permanece</x:v>
      </x:c>
      <x:c r="H87" s="143" t="n">
        <x:v>0.0908</x:v>
      </x:c>
      <x:c r="I87" s="143" t="n">
        <x:v>-0.7475</x:v>
      </x:c>
      <x:c r="J87" s="134" t="str">
        <x:v>train</x:v>
      </x:c>
      <x:c r="K87" s="135" t="str">
        <x:v>NO USAR prob_generador/score_generador COMO PREDICTOR</x:v>
      </x:c>
    </x:row>
    <x:row r="88" ht="34" customHeight="1">
      <x:c r="A88" s="133" t="str">
        <x:v>EST-0095</x:v>
      </x:c>
      <x:c r="B88" s="134" t="n">
        <x:v>3</x:v>
      </x:c>
      <x:c r="C88" s="134" t="str">
        <x:v>3A</x:v>
      </x:c>
      <x:c r="D88" s="134" t="str">
        <x:v>elegible_activo</x:v>
      </x:c>
      <x:c r="E88" s="134" t="str">
        <x:v>2026-12-15</x:v>
      </x:c>
      <x:c r="F88" s="134" t="n">
        <x:v>0</x:v>
      </x:c>
      <x:c r="G88" s="134" t="str">
        <x:v>permanece</x:v>
      </x:c>
      <x:c r="H88" s="143" t="n">
        <x:v>0.2705</x:v>
      </x:c>
      <x:c r="I88" s="143" t="n">
        <x:v>0.5644</x:v>
      </x:c>
      <x:c r="J88" s="134" t="str">
        <x:v>holdout</x:v>
      </x:c>
      <x:c r="K88" s="135" t="str">
        <x:v>NO USAR prob_generador/score_generador COMO PREDICTOR</x:v>
      </x:c>
    </x:row>
    <x:row r="89" ht="34" customHeight="1">
      <x:c r="A89" s="133" t="str">
        <x:v>EST-0096</x:v>
      </x:c>
      <x:c r="B89" s="134" t="n">
        <x:v>3</x:v>
      </x:c>
      <x:c r="C89" s="134" t="str">
        <x:v>3A</x:v>
      </x:c>
      <x:c r="D89" s="134" t="str">
        <x:v>elegible_activo</x:v>
      </x:c>
      <x:c r="E89" s="134" t="str">
        <x:v>2026-12-15</x:v>
      </x:c>
      <x:c r="F89" s="134" t="n">
        <x:v>0</x:v>
      </x:c>
      <x:c r="G89" s="134" t="str">
        <x:v>permanece</x:v>
      </x:c>
      <x:c r="H89" s="143" t="n">
        <x:v>0.0688</x:v>
      </x:c>
      <x:c r="I89" s="143" t="n">
        <x:v>-1.0487</x:v>
      </x:c>
      <x:c r="J89" s="134" t="str">
        <x:v>holdout</x:v>
      </x:c>
      <x:c r="K89" s="135" t="str">
        <x:v>NO USAR prob_generador/score_generador COMO PREDICTOR</x:v>
      </x:c>
    </x:row>
    <x:row r="90" ht="34" customHeight="1">
      <x:c r="A90" s="133" t="str">
        <x:v>EST-0097</x:v>
      </x:c>
      <x:c r="B90" s="134" t="n">
        <x:v>3</x:v>
      </x:c>
      <x:c r="C90" s="134" t="str">
        <x:v>3A</x:v>
      </x:c>
      <x:c r="D90" s="134" t="str">
        <x:v>elegible_activo</x:v>
      </x:c>
      <x:c r="E90" s="134" t="str">
        <x:v>2026-12-15</x:v>
      </x:c>
      <x:c r="F90" s="134" t="n">
        <x:v>0</x:v>
      </x:c>
      <x:c r="G90" s="134" t="str">
        <x:v>permanece</x:v>
      </x:c>
      <x:c r="H90" s="143" t="n">
        <x:v>0.6979</x:v>
      </x:c>
      <x:c r="I90" s="143" t="n">
        <x:v>2.3935</x:v>
      </x:c>
      <x:c r="J90" s="134" t="str">
        <x:v>validation</x:v>
      </x:c>
      <x:c r="K90" s="135" t="str">
        <x:v>NO USAR prob_generador/score_generador COMO PREDICTOR</x:v>
      </x:c>
    </x:row>
    <x:row r="91" ht="34" customHeight="1">
      <x:c r="A91" s="133" t="str">
        <x:v>EST-0098</x:v>
      </x:c>
      <x:c r="B91" s="134" t="n">
        <x:v>3</x:v>
      </x:c>
      <x:c r="C91" s="134" t="str">
        <x:v>3A</x:v>
      </x:c>
      <x:c r="D91" s="134" t="str">
        <x:v>elegible_activo</x:v>
      </x:c>
      <x:c r="E91" s="134" t="str">
        <x:v>2026-12-15</x:v>
      </x:c>
      <x:c r="F91" s="134" t="n">
        <x:v>0</x:v>
      </x:c>
      <x:c r="G91" s="134" t="str">
        <x:v>permanece</x:v>
      </x:c>
      <x:c r="H91" s="143" t="n">
        <x:v>0.2558</x:v>
      </x:c>
      <x:c r="I91" s="143" t="n">
        <x:v>0.4883</x:v>
      </x:c>
      <x:c r="J91" s="134" t="str">
        <x:v>train</x:v>
      </x:c>
      <x:c r="K91" s="135" t="str">
        <x:v>NO USAR prob_generador/score_generador COMO PREDICTOR</x:v>
      </x:c>
    </x:row>
    <x:row r="92" ht="34" customHeight="1">
      <x:c r="A92" s="133" t="str">
        <x:v>EST-0099</x:v>
      </x:c>
      <x:c r="B92" s="134" t="n">
        <x:v>3</x:v>
      </x:c>
      <x:c r="C92" s="134" t="str">
        <x:v>3A</x:v>
      </x:c>
      <x:c r="D92" s="134" t="str">
        <x:v>elegible_activo</x:v>
      </x:c>
      <x:c r="E92" s="134" t="str">
        <x:v>2026-12-15</x:v>
      </x:c>
      <x:c r="F92" s="134" t="n">
        <x:v>0</x:v>
      </x:c>
      <x:c r="G92" s="134" t="str">
        <x:v>permanece</x:v>
      </x:c>
      <x:c r="H92" s="143" t="n">
        <x:v>0.1779</x:v>
      </x:c>
      <x:c r="I92" s="143" t="n">
        <x:v>0.0257</x:v>
      </x:c>
      <x:c r="J92" s="134" t="str">
        <x:v>train</x:v>
      </x:c>
      <x:c r="K92" s="135" t="str">
        <x:v>NO USAR prob_generador/score_generador COMO PREDICTOR</x:v>
      </x:c>
    </x:row>
    <x:row r="93" ht="34" customHeight="1">
      <x:c r="A93" s="133" t="str">
        <x:v>EST-0100</x:v>
      </x:c>
      <x:c r="B93" s="134" t="n">
        <x:v>3</x:v>
      </x:c>
      <x:c r="C93" s="134" t="str">
        <x:v>3A</x:v>
      </x:c>
      <x:c r="D93" s="134" t="str">
        <x:v>elegible_activo</x:v>
      </x:c>
      <x:c r="E93" s="134" t="str">
        <x:v>2026-12-15</x:v>
      </x:c>
      <x:c r="F93" s="134" t="n">
        <x:v>1</x:v>
      </x:c>
      <x:c r="G93" s="134" t="str">
        <x:v>deserta</x:v>
      </x:c>
      <x:c r="H93" s="143" t="n">
        <x:v>0.0924</x:v>
      </x:c>
      <x:c r="I93" s="143" t="n">
        <x:v>-0.728</x:v>
      </x:c>
      <x:c r="J93" s="134" t="str">
        <x:v>train</x:v>
      </x:c>
      <x:c r="K93" s="135" t="str">
        <x:v>NO USAR prob_generador/score_generador COMO PREDICTOR</x:v>
      </x:c>
    </x:row>
    <x:row r="94" ht="34" customHeight="1">
      <x:c r="A94" s="133" t="str">
        <x:v>EST-0101</x:v>
      </x:c>
      <x:c r="B94" s="134" t="n">
        <x:v>3</x:v>
      </x:c>
      <x:c r="C94" s="134" t="str">
        <x:v>3A</x:v>
      </x:c>
      <x:c r="D94" s="134" t="str">
        <x:v>elegible_activo</x:v>
      </x:c>
      <x:c r="E94" s="134" t="str">
        <x:v>2026-12-15</x:v>
      </x:c>
      <x:c r="F94" s="134" t="n">
        <x:v>0</x:v>
      </x:c>
      <x:c r="G94" s="134" t="str">
        <x:v>permanece</x:v>
      </x:c>
      <x:c r="H94" s="143" t="n">
        <x:v>0.015</x:v>
      </x:c>
      <x:c r="I94" s="143" t="n">
        <x:v>-2.6254</x:v>
      </x:c>
      <x:c r="J94" s="134" t="str">
        <x:v>train</x:v>
      </x:c>
      <x:c r="K94" s="135" t="str">
        <x:v>NO USAR prob_generador/score_generador COMO PREDICTOR</x:v>
      </x:c>
    </x:row>
    <x:row r="95" ht="34" customHeight="1">
      <x:c r="A95" s="133" t="str">
        <x:v>EST-0102</x:v>
      </x:c>
      <x:c r="B95" s="134" t="n">
        <x:v>3</x:v>
      </x:c>
      <x:c r="C95" s="134" t="str">
        <x:v>3A</x:v>
      </x:c>
      <x:c r="D95" s="134" t="str">
        <x:v>elegible_activo</x:v>
      </x:c>
      <x:c r="E95" s="134" t="str">
        <x:v>2026-12-15</x:v>
      </x:c>
      <x:c r="F95" s="134" t="n">
        <x:v>0</x:v>
      </x:c>
      <x:c r="G95" s="134" t="str">
        <x:v>permanece</x:v>
      </x:c>
      <x:c r="H95" s="143" t="n">
        <x:v>0.1871</x:v>
      </x:c>
      <x:c r="I95" s="143" t="n">
        <x:v>0.0875</x:v>
      </x:c>
      <x:c r="J95" s="134" t="str">
        <x:v>train</x:v>
      </x:c>
      <x:c r="K95" s="135" t="str">
        <x:v>NO USAR prob_generador/score_generador COMO PREDICTOR</x:v>
      </x:c>
    </x:row>
    <x:row r="96" ht="34" customHeight="1">
      <x:c r="A96" s="133" t="str">
        <x:v>EST-0103</x:v>
      </x:c>
      <x:c r="B96" s="134" t="n">
        <x:v>3</x:v>
      </x:c>
      <x:c r="C96" s="134" t="str">
        <x:v>3A</x:v>
      </x:c>
      <x:c r="D96" s="134" t="str">
        <x:v>elegible_activo</x:v>
      </x:c>
      <x:c r="E96" s="134" t="str">
        <x:v>2026-12-15</x:v>
      </x:c>
      <x:c r="F96" s="134" t="n">
        <x:v>0</x:v>
      </x:c>
      <x:c r="G96" s="134" t="str">
        <x:v>permanece</x:v>
      </x:c>
      <x:c r="H96" s="143" t="n">
        <x:v>0.0923</x:v>
      </x:c>
      <x:c r="I96" s="143" t="n">
        <x:v>-0.7291</x:v>
      </x:c>
      <x:c r="J96" s="134" t="str">
        <x:v>train</x:v>
      </x:c>
      <x:c r="K96" s="135" t="str">
        <x:v>NO USAR prob_generador/score_generador COMO PREDICTOR</x:v>
      </x:c>
    </x:row>
    <x:row r="97" ht="34" customHeight="1">
      <x:c r="A97" s="133" t="str">
        <x:v>EST-0105</x:v>
      </x:c>
      <x:c r="B97" s="134" t="n">
        <x:v>3</x:v>
      </x:c>
      <x:c r="C97" s="134" t="str">
        <x:v>3B</x:v>
      </x:c>
      <x:c r="D97" s="134" t="str">
        <x:v>elegible_activo</x:v>
      </x:c>
      <x:c r="E97" s="134" t="str">
        <x:v>2026-12-15</x:v>
      </x:c>
      <x:c r="F97" s="134" t="n">
        <x:v>0</x:v>
      </x:c>
      <x:c r="G97" s="134" t="str">
        <x:v>permanece</x:v>
      </x:c>
      <x:c r="H97" s="143" t="n">
        <x:v>0.0616</x:v>
      </x:c>
      <x:c r="I97" s="143" t="n">
        <x:v>-1.1672</x:v>
      </x:c>
      <x:c r="J97" s="134" t="str">
        <x:v>train</x:v>
      </x:c>
      <x:c r="K97" s="135" t="str">
        <x:v>NO USAR prob_generador/score_generador COMO PREDICTOR</x:v>
      </x:c>
    </x:row>
    <x:row r="98" ht="34" customHeight="1">
      <x:c r="A98" s="133" t="str">
        <x:v>EST-0106</x:v>
      </x:c>
      <x:c r="B98" s="134" t="n">
        <x:v>3</x:v>
      </x:c>
      <x:c r="C98" s="134" t="str">
        <x:v>3B</x:v>
      </x:c>
      <x:c r="D98" s="134" t="str">
        <x:v>elegible_activo</x:v>
      </x:c>
      <x:c r="E98" s="134" t="str">
        <x:v>2026-12-15</x:v>
      </x:c>
      <x:c r="F98" s="134" t="n">
        <x:v>0</x:v>
      </x:c>
      <x:c r="G98" s="134" t="str">
        <x:v>permanece</x:v>
      </x:c>
      <x:c r="H98" s="143" t="n">
        <x:v>0.026</x:v>
      </x:c>
      <x:c r="I98" s="143" t="n">
        <x:v>-2.065</x:v>
      </x:c>
      <x:c r="J98" s="134" t="str">
        <x:v>train</x:v>
      </x:c>
      <x:c r="K98" s="135" t="str">
        <x:v>NO USAR prob_generador/score_generador COMO PREDICTOR</x:v>
      </x:c>
    </x:row>
    <x:row r="99" ht="34" customHeight="1">
      <x:c r="A99" s="133" t="str">
        <x:v>EST-0107</x:v>
      </x:c>
      <x:c r="B99" s="134" t="n">
        <x:v>3</x:v>
      </x:c>
      <x:c r="C99" s="134" t="str">
        <x:v>3B</x:v>
      </x:c>
      <x:c r="D99" s="134" t="str">
        <x:v>elegible_activo</x:v>
      </x:c>
      <x:c r="E99" s="134" t="str">
        <x:v>2026-12-15</x:v>
      </x:c>
      <x:c r="F99" s="134" t="n">
        <x:v>0</x:v>
      </x:c>
      <x:c r="G99" s="134" t="str">
        <x:v>permanece</x:v>
      </x:c>
      <x:c r="H99" s="143" t="n">
        <x:v>0.2812</x:v>
      </x:c>
      <x:c r="I99" s="143" t="n">
        <x:v>0.6181</x:v>
      </x:c>
      <x:c r="J99" s="134" t="str">
        <x:v>train</x:v>
      </x:c>
      <x:c r="K99" s="135" t="str">
        <x:v>NO USAR prob_generador/score_generador COMO PREDICTOR</x:v>
      </x:c>
    </x:row>
    <x:row r="100" ht="34" customHeight="1">
      <x:c r="A100" s="133" t="str">
        <x:v>EST-0108</x:v>
      </x:c>
      <x:c r="B100" s="134" t="n">
        <x:v>3</x:v>
      </x:c>
      <x:c r="C100" s="134" t="str">
        <x:v>3B</x:v>
      </x:c>
      <x:c r="D100" s="134" t="str">
        <x:v>elegible_activo</x:v>
      </x:c>
      <x:c r="E100" s="134" t="str">
        <x:v>2026-12-15</x:v>
      </x:c>
      <x:c r="F100" s="134" t="n">
        <x:v>0</x:v>
      </x:c>
      <x:c r="G100" s="134" t="str">
        <x:v>permanece</x:v>
      </x:c>
      <x:c r="H100" s="143" t="n">
        <x:v>0.143</x:v>
      </x:c>
      <x:c r="I100" s="143" t="n">
        <x:v>-0.2345</x:v>
      </x:c>
      <x:c r="J100" s="134" t="str">
        <x:v>train</x:v>
      </x:c>
      <x:c r="K100" s="135" t="str">
        <x:v>NO USAR prob_generador/score_generador COMO PREDICTOR</x:v>
      </x:c>
    </x:row>
    <x:row r="101" ht="34" customHeight="1">
      <x:c r="A101" s="133" t="str">
        <x:v>EST-0109</x:v>
      </x:c>
      <x:c r="B101" s="134" t="n">
        <x:v>3</x:v>
      </x:c>
      <x:c r="C101" s="134" t="str">
        <x:v>3B</x:v>
      </x:c>
      <x:c r="D101" s="134" t="str">
        <x:v>elegible_activo</x:v>
      </x:c>
      <x:c r="E101" s="134" t="str">
        <x:v>2026-12-15</x:v>
      </x:c>
      <x:c r="F101" s="134" t="n">
        <x:v>1</x:v>
      </x:c>
      <x:c r="G101" s="134" t="str">
        <x:v>deserta</x:v>
      </x:c>
      <x:c r="H101" s="143" t="n">
        <x:v>0.337</x:v>
      </x:c>
      <x:c r="I101" s="143" t="n">
        <x:v>0.8796</x:v>
      </x:c>
      <x:c r="J101" s="134" t="str">
        <x:v>holdout</x:v>
      </x:c>
      <x:c r="K101" s="135" t="str">
        <x:v>NO USAR prob_generador/score_generador COMO PREDICTOR</x:v>
      </x:c>
    </x:row>
    <x:row r="102" ht="34" customHeight="1">
      <x:c r="A102" s="133" t="str">
        <x:v>EST-0110</x:v>
      </x:c>
      <x:c r="B102" s="134" t="n">
        <x:v>3</x:v>
      </x:c>
      <x:c r="C102" s="134" t="str">
        <x:v>3B</x:v>
      </x:c>
      <x:c r="D102" s="134" t="str">
        <x:v>elegible_activo</x:v>
      </x:c>
      <x:c r="E102" s="134" t="str">
        <x:v>2026-12-15</x:v>
      </x:c>
      <x:c r="F102" s="134" t="n">
        <x:v>1</x:v>
      </x:c>
      <x:c r="G102" s="134" t="str">
        <x:v>deserta</x:v>
      </x:c>
      <x:c r="H102" s="143" t="n">
        <x:v>0.083</x:v>
      </x:c>
      <x:c r="I102" s="143" t="n">
        <x:v>-0.846</x:v>
      </x:c>
      <x:c r="J102" s="134" t="str">
        <x:v>train</x:v>
      </x:c>
      <x:c r="K102" s="135" t="str">
        <x:v>NO USAR prob_generador/score_generador COMO PREDICTOR</x:v>
      </x:c>
    </x:row>
    <x:row r="103" ht="34" customHeight="1">
      <x:c r="A103" s="133" t="str">
        <x:v>EST-0111</x:v>
      </x:c>
      <x:c r="B103" s="134" t="n">
        <x:v>3</x:v>
      </x:c>
      <x:c r="C103" s="134" t="str">
        <x:v>3B</x:v>
      </x:c>
      <x:c r="D103" s="134" t="str">
        <x:v>elegible_activo</x:v>
      </x:c>
      <x:c r="E103" s="134" t="str">
        <x:v>2026-12-15</x:v>
      </x:c>
      <x:c r="F103" s="134" t="n">
        <x:v>0</x:v>
      </x:c>
      <x:c r="G103" s="134" t="str">
        <x:v>permanece</x:v>
      </x:c>
      <x:c r="H103" s="143" t="n">
        <x:v>0.0049</x:v>
      </x:c>
      <x:c r="I103" s="143" t="n">
        <x:v>-3.7537</x:v>
      </x:c>
      <x:c r="J103" s="134" t="str">
        <x:v>train</x:v>
      </x:c>
      <x:c r="K103" s="135" t="str">
        <x:v>NO USAR prob_generador/score_generador COMO PREDICTOR</x:v>
      </x:c>
    </x:row>
    <x:row r="104" ht="34" customHeight="1">
      <x:c r="A104" s="133" t="str">
        <x:v>EST-0112</x:v>
      </x:c>
      <x:c r="B104" s="134" t="n">
        <x:v>3</x:v>
      </x:c>
      <x:c r="C104" s="134" t="str">
        <x:v>3B</x:v>
      </x:c>
      <x:c r="D104" s="134" t="str">
        <x:v>elegible_activo</x:v>
      </x:c>
      <x:c r="E104" s="134" t="str">
        <x:v>2026-12-15</x:v>
      </x:c>
      <x:c r="F104" s="134" t="n">
        <x:v>1</x:v>
      </x:c>
      <x:c r="G104" s="134" t="str">
        <x:v>deserta</x:v>
      </x:c>
      <x:c r="H104" s="143" t="n">
        <x:v>0.1884</x:v>
      </x:c>
      <x:c r="I104" s="143" t="n">
        <x:v>0.0961</x:v>
      </x:c>
      <x:c r="J104" s="134" t="str">
        <x:v>holdout</x:v>
      </x:c>
      <x:c r="K104" s="135" t="str">
        <x:v>NO USAR prob_generador/score_generador COMO PREDICTOR</x:v>
      </x:c>
    </x:row>
    <x:row r="105" ht="34" customHeight="1">
      <x:c r="A105" s="133" t="str">
        <x:v>EST-0113</x:v>
      </x:c>
      <x:c r="B105" s="134" t="n">
        <x:v>3</x:v>
      </x:c>
      <x:c r="C105" s="134" t="str">
        <x:v>3B</x:v>
      </x:c>
      <x:c r="D105" s="134" t="str">
        <x:v>elegible_activo</x:v>
      </x:c>
      <x:c r="E105" s="134" t="str">
        <x:v>2026-12-15</x:v>
      </x:c>
      <x:c r="F105" s="134" t="n">
        <x:v>1</x:v>
      </x:c>
      <x:c r="G105" s="134" t="str">
        <x:v>deserta</x:v>
      </x:c>
      <x:c r="H105" s="143" t="n">
        <x:v>0.3055</x:v>
      </x:c>
      <x:c r="I105" s="143" t="n">
        <x:v>0.7351</x:v>
      </x:c>
      <x:c r="J105" s="134" t="str">
        <x:v>train</x:v>
      </x:c>
      <x:c r="K105" s="135" t="str">
        <x:v>NO USAR prob_generador/score_generador COMO PREDICTOR</x:v>
      </x:c>
    </x:row>
    <x:row r="106" ht="34" customHeight="1">
      <x:c r="A106" s="133" t="str">
        <x:v>EST-0114</x:v>
      </x:c>
      <x:c r="B106" s="134" t="n">
        <x:v>3</x:v>
      </x:c>
      <x:c r="C106" s="134" t="str">
        <x:v>3B</x:v>
      </x:c>
      <x:c r="D106" s="134" t="str">
        <x:v>elegible_activo</x:v>
      </x:c>
      <x:c r="E106" s="134" t="str">
        <x:v>2026-12-15</x:v>
      </x:c>
      <x:c r="F106" s="134" t="n">
        <x:v>0</x:v>
      </x:c>
      <x:c r="G106" s="134" t="str">
        <x:v>permanece</x:v>
      </x:c>
      <x:c r="H106" s="143" t="n">
        <x:v>0.1746</x:v>
      </x:c>
      <x:c r="I106" s="143" t="n">
        <x:v>0.0034</x:v>
      </x:c>
      <x:c r="J106" s="134" t="str">
        <x:v>train</x:v>
      </x:c>
      <x:c r="K106" s="135" t="str">
        <x:v>NO USAR prob_generador/score_generador COMO PREDICTOR</x:v>
      </x:c>
    </x:row>
    <x:row r="107" ht="34" customHeight="1">
      <x:c r="A107" s="133" t="str">
        <x:v>EST-0116</x:v>
      </x:c>
      <x:c r="B107" s="134" t="n">
        <x:v>3</x:v>
      </x:c>
      <x:c r="C107" s="134" t="str">
        <x:v>3B</x:v>
      </x:c>
      <x:c r="D107" s="134" t="str">
        <x:v>elegible_activo</x:v>
      </x:c>
      <x:c r="E107" s="134" t="str">
        <x:v>2026-12-15</x:v>
      </x:c>
      <x:c r="F107" s="134" t="n">
        <x:v>1</x:v>
      </x:c>
      <x:c r="G107" s="134" t="str">
        <x:v>deserta</x:v>
      </x:c>
      <x:c r="H107" s="143" t="n">
        <x:v>0.3377</x:v>
      </x:c>
      <x:c r="I107" s="143" t="n">
        <x:v>0.8827</x:v>
      </x:c>
      <x:c r="J107" s="134" t="str">
        <x:v>train</x:v>
      </x:c>
      <x:c r="K107" s="135" t="str">
        <x:v>NO USAR prob_generador/score_generador COMO PREDICTOR</x:v>
      </x:c>
    </x:row>
    <x:row r="108" ht="34" customHeight="1">
      <x:c r="A108" s="133" t="str">
        <x:v>EST-0117</x:v>
      </x:c>
      <x:c r="B108" s="134" t="n">
        <x:v>3</x:v>
      </x:c>
      <x:c r="C108" s="134" t="str">
        <x:v>3C</x:v>
      </x:c>
      <x:c r="D108" s="134" t="str">
        <x:v>elegible_activo</x:v>
      </x:c>
      <x:c r="E108" s="134" t="str">
        <x:v>2026-12-15</x:v>
      </x:c>
      <x:c r="F108" s="134" t="n">
        <x:v>0</x:v>
      </x:c>
      <x:c r="G108" s="134" t="str">
        <x:v>permanece</x:v>
      </x:c>
      <x:c r="H108" s="143" t="n">
        <x:v>0.067</x:v>
      </x:c>
      <x:c r="I108" s="143" t="n">
        <x:v>-1.0772</x:v>
      </x:c>
      <x:c r="J108" s="134" t="str">
        <x:v>train</x:v>
      </x:c>
      <x:c r="K108" s="135" t="str">
        <x:v>NO USAR prob_generador/score_generador COMO PREDICTOR</x:v>
      </x:c>
    </x:row>
    <x:row r="109" ht="34" customHeight="1">
      <x:c r="A109" s="133" t="str">
        <x:v>EST-0118</x:v>
      </x:c>
      <x:c r="B109" s="134" t="n">
        <x:v>3</x:v>
      </x:c>
      <x:c r="C109" s="134" t="str">
        <x:v>3C</x:v>
      </x:c>
      <x:c r="D109" s="134" t="str">
        <x:v>elegible_activo</x:v>
      </x:c>
      <x:c r="E109" s="134" t="str">
        <x:v>2026-12-15</x:v>
      </x:c>
      <x:c r="F109" s="134" t="n">
        <x:v>0</x:v>
      </x:c>
      <x:c r="G109" s="134" t="str">
        <x:v>permanece</x:v>
      </x:c>
      <x:c r="H109" s="143" t="n">
        <x:v>0.0438</x:v>
      </x:c>
      <x:c r="I109" s="143" t="n">
        <x:v>-1.5262</x:v>
      </x:c>
      <x:c r="J109" s="134" t="str">
        <x:v>train</x:v>
      </x:c>
      <x:c r="K109" s="135" t="str">
        <x:v>NO USAR prob_generador/score_generador COMO PREDICTOR</x:v>
      </x:c>
    </x:row>
    <x:row r="110" ht="34" customHeight="1">
      <x:c r="A110" s="133" t="str">
        <x:v>EST-0119</x:v>
      </x:c>
      <x:c r="B110" s="134" t="n">
        <x:v>3</x:v>
      </x:c>
      <x:c r="C110" s="134" t="str">
        <x:v>3C</x:v>
      </x:c>
      <x:c r="D110" s="134" t="str">
        <x:v>elegible_activo</x:v>
      </x:c>
      <x:c r="E110" s="134" t="str">
        <x:v>2026-12-15</x:v>
      </x:c>
      <x:c r="F110" s="134" t="n">
        <x:v>0</x:v>
      </x:c>
      <x:c r="G110" s="134" t="str">
        <x:v>permanece</x:v>
      </x:c>
      <x:c r="H110" s="143" t="n">
        <x:v>0.1165</x:v>
      </x:c>
      <x:c r="I110" s="143" t="n">
        <x:v>-0.4696</x:v>
      </x:c>
      <x:c r="J110" s="134" t="str">
        <x:v>train</x:v>
      </x:c>
      <x:c r="K110" s="135" t="str">
        <x:v>NO USAR prob_generador/score_generador COMO PREDICTOR</x:v>
      </x:c>
    </x:row>
    <x:row r="111" ht="34" customHeight="1">
      <x:c r="A111" s="133" t="str">
        <x:v>EST-0120</x:v>
      </x:c>
      <x:c r="B111" s="134" t="n">
        <x:v>3</x:v>
      </x:c>
      <x:c r="C111" s="134" t="str">
        <x:v>3C</x:v>
      </x:c>
      <x:c r="D111" s="134" t="str">
        <x:v>elegible_activo</x:v>
      </x:c>
      <x:c r="E111" s="134" t="str">
        <x:v>2026-12-15</x:v>
      </x:c>
      <x:c r="F111" s="134" t="n">
        <x:v>0</x:v>
      </x:c>
      <x:c r="G111" s="134" t="str">
        <x:v>permanece</x:v>
      </x:c>
      <x:c r="H111" s="143" t="n">
        <x:v>0.042</x:v>
      </x:c>
      <x:c r="I111" s="143" t="n">
        <x:v>-1.5697</x:v>
      </x:c>
      <x:c r="J111" s="134" t="str">
        <x:v>train</x:v>
      </x:c>
      <x:c r="K111" s="135" t="str">
        <x:v>NO USAR prob_generador/score_generador COMO PREDICTOR</x:v>
      </x:c>
    </x:row>
    <x:row r="112" ht="34" customHeight="1">
      <x:c r="A112" s="133" t="str">
        <x:v>EST-0121</x:v>
      </x:c>
      <x:c r="B112" s="134" t="n">
        <x:v>3</x:v>
      </x:c>
      <x:c r="C112" s="134" t="str">
        <x:v>3C</x:v>
      </x:c>
      <x:c r="D112" s="134" t="str">
        <x:v>elegible_activo</x:v>
      </x:c>
      <x:c r="E112" s="134" t="str">
        <x:v>2026-12-15</x:v>
      </x:c>
      <x:c r="F112" s="134" t="n">
        <x:v>1</x:v>
      </x:c>
      <x:c r="G112" s="134" t="str">
        <x:v>deserta</x:v>
      </x:c>
      <x:c r="H112" s="143" t="n">
        <x:v>0.3173</x:v>
      </x:c>
      <x:c r="I112" s="143" t="n">
        <x:v>0.7904</x:v>
      </x:c>
      <x:c r="J112" s="134" t="str">
        <x:v>holdout</x:v>
      </x:c>
      <x:c r="K112" s="135" t="str">
        <x:v>NO USAR prob_generador/score_generador COMO PREDICTOR</x:v>
      </x:c>
    </x:row>
    <x:row r="113" ht="34" customHeight="1">
      <x:c r="A113" s="133" t="str">
        <x:v>EST-0122</x:v>
      </x:c>
      <x:c r="B113" s="134" t="n">
        <x:v>3</x:v>
      </x:c>
      <x:c r="C113" s="134" t="str">
        <x:v>3C</x:v>
      </x:c>
      <x:c r="D113" s="134" t="str">
        <x:v>elegible_activo</x:v>
      </x:c>
      <x:c r="E113" s="134" t="str">
        <x:v>2026-12-15</x:v>
      </x:c>
      <x:c r="F113" s="134" t="n">
        <x:v>1</x:v>
      </x:c>
      <x:c r="G113" s="134" t="str">
        <x:v>deserta</x:v>
      </x:c>
      <x:c r="H113" s="143" t="n">
        <x:v>0.3896</x:v>
      </x:c>
      <x:c r="I113" s="143" t="n">
        <x:v>1.1076</x:v>
      </x:c>
      <x:c r="J113" s="134" t="str">
        <x:v>train</x:v>
      </x:c>
      <x:c r="K113" s="135" t="str">
        <x:v>NO USAR prob_generador/score_generador COMO PREDICTOR</x:v>
      </x:c>
    </x:row>
    <x:row r="114" ht="34" customHeight="1">
      <x:c r="A114" s="133" t="str">
        <x:v>EST-0123</x:v>
      </x:c>
      <x:c r="B114" s="134" t="n">
        <x:v>3</x:v>
      </x:c>
      <x:c r="C114" s="134" t="str">
        <x:v>3C</x:v>
      </x:c>
      <x:c r="D114" s="134" t="str">
        <x:v>elegible_activo</x:v>
      </x:c>
      <x:c r="E114" s="134" t="str">
        <x:v>2026-12-15</x:v>
      </x:c>
      <x:c r="F114" s="134" t="n">
        <x:v>1</x:v>
      </x:c>
      <x:c r="G114" s="134" t="str">
        <x:v>deserta</x:v>
      </x:c>
      <x:c r="H114" s="143" t="n">
        <x:v>0.7361</x:v>
      </x:c>
      <x:c r="I114" s="143" t="n">
        <x:v>2.582</x:v>
      </x:c>
      <x:c r="J114" s="134" t="str">
        <x:v>train</x:v>
      </x:c>
      <x:c r="K114" s="135" t="str">
        <x:v>NO USAR prob_generador/score_generador COMO PREDICTOR</x:v>
      </x:c>
    </x:row>
    <x:row r="115" ht="34" customHeight="1">
      <x:c r="A115" s="133" t="str">
        <x:v>EST-0124</x:v>
      </x:c>
      <x:c r="B115" s="134" t="n">
        <x:v>3</x:v>
      </x:c>
      <x:c r="C115" s="134" t="str">
        <x:v>3C</x:v>
      </x:c>
      <x:c r="D115" s="134" t="str">
        <x:v>elegible_activo</x:v>
      </x:c>
      <x:c r="E115" s="134" t="str">
        <x:v>2026-12-15</x:v>
      </x:c>
      <x:c r="F115" s="134" t="n">
        <x:v>0</x:v>
      </x:c>
      <x:c r="G115" s="134" t="str">
        <x:v>permanece</x:v>
      </x:c>
      <x:c r="H115" s="143" t="n">
        <x:v>0.1609</x:v>
      </x:c>
      <x:c r="I115" s="143" t="n">
        <x:v>-0.0953</x:v>
      </x:c>
      <x:c r="J115" s="134" t="str">
        <x:v>train</x:v>
      </x:c>
      <x:c r="K115" s="135" t="str">
        <x:v>NO USAR prob_generador/score_generador COMO PREDICTOR</x:v>
      </x:c>
    </x:row>
    <x:row r="116" ht="34" customHeight="1">
      <x:c r="A116" s="133" t="str">
        <x:v>EST-0125</x:v>
      </x:c>
      <x:c r="B116" s="134" t="n">
        <x:v>3</x:v>
      </x:c>
      <x:c r="C116" s="134" t="str">
        <x:v>3C</x:v>
      </x:c>
      <x:c r="D116" s="134" t="str">
        <x:v>elegible_activo</x:v>
      </x:c>
      <x:c r="E116" s="134" t="str">
        <x:v>2026-12-15</x:v>
      </x:c>
      <x:c r="F116" s="134" t="n">
        <x:v>0</x:v>
      </x:c>
      <x:c r="G116" s="134" t="str">
        <x:v>permanece</x:v>
      </x:c>
      <x:c r="H116" s="143" t="n">
        <x:v>0.1083</x:v>
      </x:c>
      <x:c r="I116" s="143" t="n">
        <x:v>-0.552</x:v>
      </x:c>
      <x:c r="J116" s="134" t="str">
        <x:v>validation</x:v>
      </x:c>
      <x:c r="K116" s="135" t="str">
        <x:v>NO USAR prob_generador/score_generador COMO PREDICTOR</x:v>
      </x:c>
    </x:row>
    <x:row r="117" ht="34" customHeight="1">
      <x:c r="A117" s="133" t="str">
        <x:v>EST-0127</x:v>
      </x:c>
      <x:c r="B117" s="134" t="n">
        <x:v>3</x:v>
      </x:c>
      <x:c r="C117" s="134" t="str">
        <x:v>3C</x:v>
      </x:c>
      <x:c r="D117" s="134" t="str">
        <x:v>elegible_activo</x:v>
      </x:c>
      <x:c r="E117" s="134" t="str">
        <x:v>2026-12-15</x:v>
      </x:c>
      <x:c r="F117" s="134" t="n">
        <x:v>1</x:v>
      </x:c>
      <x:c r="G117" s="134" t="str">
        <x:v>deserta</x:v>
      </x:c>
      <x:c r="H117" s="143" t="n">
        <x:v>0.206</x:v>
      </x:c>
      <x:c r="I117" s="143" t="n">
        <x:v>0.2072</x:v>
      </x:c>
      <x:c r="J117" s="134" t="str">
        <x:v>train</x:v>
      </x:c>
      <x:c r="K117" s="135" t="str">
        <x:v>NO USAR prob_generador/score_generador COMO PREDICTOR</x:v>
      </x:c>
    </x:row>
    <x:row r="118" ht="34" customHeight="1">
      <x:c r="A118" s="133" t="str">
        <x:v>EST-0128</x:v>
      </x:c>
      <x:c r="B118" s="134" t="n">
        <x:v>3</x:v>
      </x:c>
      <x:c r="C118" s="134" t="str">
        <x:v>3D</x:v>
      </x:c>
      <x:c r="D118" s="134" t="str">
        <x:v>elegible_activo</x:v>
      </x:c>
      <x:c r="E118" s="134" t="str">
        <x:v>2026-12-15</x:v>
      </x:c>
      <x:c r="F118" s="134" t="n">
        <x:v>0</x:v>
      </x:c>
      <x:c r="G118" s="134" t="str">
        <x:v>permanece</x:v>
      </x:c>
      <x:c r="H118" s="143" t="n">
        <x:v>0.0727</x:v>
      </x:c>
      <x:c r="I118" s="143" t="n">
        <x:v>-0.9888</x:v>
      </x:c>
      <x:c r="J118" s="134" t="str">
        <x:v>train</x:v>
      </x:c>
      <x:c r="K118" s="135" t="str">
        <x:v>NO USAR prob_generador/score_generador COMO PREDICTOR</x:v>
      </x:c>
    </x:row>
    <x:row r="119" ht="34" customHeight="1">
      <x:c r="A119" s="133" t="str">
        <x:v>EST-0129</x:v>
      </x:c>
      <x:c r="B119" s="134" t="n">
        <x:v>3</x:v>
      </x:c>
      <x:c r="C119" s="134" t="str">
        <x:v>3D</x:v>
      </x:c>
      <x:c r="D119" s="134" t="str">
        <x:v>elegible_activo</x:v>
      </x:c>
      <x:c r="E119" s="134" t="str">
        <x:v>2026-12-15</x:v>
      </x:c>
      <x:c r="F119" s="134" t="n">
        <x:v>0</x:v>
      </x:c>
      <x:c r="G119" s="134" t="str">
        <x:v>permanece</x:v>
      </x:c>
      <x:c r="H119" s="143" t="n">
        <x:v>0.2405</x:v>
      </x:c>
      <x:c r="I119" s="143" t="n">
        <x:v>0.4065</x:v>
      </x:c>
      <x:c r="J119" s="134" t="str">
        <x:v>train</x:v>
      </x:c>
      <x:c r="K119" s="135" t="str">
        <x:v>NO USAR prob_generador/score_generador COMO PREDICTOR</x:v>
      </x:c>
    </x:row>
    <x:row r="120" ht="34" customHeight="1">
      <x:c r="A120" s="133" t="str">
        <x:v>EST-0130</x:v>
      </x:c>
      <x:c r="B120" s="134" t="n">
        <x:v>3</x:v>
      </x:c>
      <x:c r="C120" s="134" t="str">
        <x:v>3D</x:v>
      </x:c>
      <x:c r="D120" s="134" t="str">
        <x:v>elegible_activo</x:v>
      </x:c>
      <x:c r="E120" s="134" t="str">
        <x:v>2026-12-15</x:v>
      </x:c>
      <x:c r="F120" s="134" t="n">
        <x:v>0</x:v>
      </x:c>
      <x:c r="G120" s="134" t="str">
        <x:v>permanece</x:v>
      </x:c>
      <x:c r="H120" s="143" t="n">
        <x:v>0.1444</x:v>
      </x:c>
      <x:c r="I120" s="143" t="n">
        <x:v>-0.2226</x:v>
      </x:c>
      <x:c r="J120" s="134" t="str">
        <x:v>holdout</x:v>
      </x:c>
      <x:c r="K120" s="135" t="str">
        <x:v>NO USAR prob_generador/score_generador COMO PREDICTOR</x:v>
      </x:c>
    </x:row>
    <x:row r="121" ht="34" customHeight="1">
      <x:c r="A121" s="133" t="str">
        <x:v>EST-0131</x:v>
      </x:c>
      <x:c r="B121" s="134" t="n">
        <x:v>3</x:v>
      </x:c>
      <x:c r="C121" s="134" t="str">
        <x:v>3D</x:v>
      </x:c>
      <x:c r="D121" s="134" t="str">
        <x:v>elegible_activo</x:v>
      </x:c>
      <x:c r="E121" s="134" t="str">
        <x:v>2026-12-15</x:v>
      </x:c>
      <x:c r="F121" s="134" t="n">
        <x:v>0</x:v>
      </x:c>
      <x:c r="G121" s="134" t="str">
        <x:v>permanece</x:v>
      </x:c>
      <x:c r="H121" s="143" t="n">
        <x:v>0.0853</x:v>
      </x:c>
      <x:c r="I121" s="143" t="n">
        <x:v>-0.816</x:v>
      </x:c>
      <x:c r="J121" s="134" t="str">
        <x:v>train</x:v>
      </x:c>
      <x:c r="K121" s="135" t="str">
        <x:v>NO USAR prob_generador/score_generador COMO PREDICTOR</x:v>
      </x:c>
    </x:row>
    <x:row r="122" ht="34" customHeight="1">
      <x:c r="A122" s="133" t="str">
        <x:v>EST-0132</x:v>
      </x:c>
      <x:c r="B122" s="134" t="n">
        <x:v>3</x:v>
      </x:c>
      <x:c r="C122" s="134" t="str">
        <x:v>3D</x:v>
      </x:c>
      <x:c r="D122" s="134" t="str">
        <x:v>elegible_activo</x:v>
      </x:c>
      <x:c r="E122" s="134" t="str">
        <x:v>2026-12-15</x:v>
      </x:c>
      <x:c r="F122" s="134" t="n">
        <x:v>1</x:v>
      </x:c>
      <x:c r="G122" s="134" t="str">
        <x:v>deserta</x:v>
      </x:c>
      <x:c r="H122" s="143" t="n">
        <x:v>0.6067</x:v>
      </x:c>
      <x:c r="I122" s="143" t="n">
        <x:v>1.99</x:v>
      </x:c>
      <x:c r="J122" s="134" t="str">
        <x:v>train</x:v>
      </x:c>
      <x:c r="K122" s="135" t="str">
        <x:v>NO USAR prob_generador/score_generador COMO PREDICTOR</x:v>
      </x:c>
    </x:row>
    <x:row r="123" ht="34" customHeight="1">
      <x:c r="A123" s="133" t="str">
        <x:v>EST-0133</x:v>
      </x:c>
      <x:c r="B123" s="134" t="n">
        <x:v>3</x:v>
      </x:c>
      <x:c r="C123" s="134" t="str">
        <x:v>3D</x:v>
      </x:c>
      <x:c r="D123" s="134" t="str">
        <x:v>elegible_activo</x:v>
      </x:c>
      <x:c r="E123" s="134" t="str">
        <x:v>2026-12-15</x:v>
      </x:c>
      <x:c r="F123" s="134" t="n">
        <x:v>0</x:v>
      </x:c>
      <x:c r="G123" s="134" t="str">
        <x:v>permanece</x:v>
      </x:c>
      <x:c r="H123" s="143" t="n">
        <x:v>0.1248</x:v>
      </x:c>
      <x:c r="I123" s="143" t="n">
        <x:v>-0.3915</x:v>
      </x:c>
      <x:c r="J123" s="134" t="str">
        <x:v>train</x:v>
      </x:c>
      <x:c r="K123" s="135" t="str">
        <x:v>NO USAR prob_generador/score_generador COMO PREDICTOR</x:v>
      </x:c>
    </x:row>
    <x:row r="124" ht="34" customHeight="1">
      <x:c r="A124" s="133" t="str">
        <x:v>EST-0134</x:v>
      </x:c>
      <x:c r="B124" s="134" t="n">
        <x:v>3</x:v>
      </x:c>
      <x:c r="C124" s="134" t="str">
        <x:v>3D</x:v>
      </x:c>
      <x:c r="D124" s="134" t="str">
        <x:v>elegible_activo</x:v>
      </x:c>
      <x:c r="E124" s="134" t="str">
        <x:v>2026-12-15</x:v>
      </x:c>
      <x:c r="F124" s="134" t="n">
        <x:v>0</x:v>
      </x:c>
      <x:c r="G124" s="134" t="str">
        <x:v>permanece</x:v>
      </x:c>
      <x:c r="H124" s="143" t="n">
        <x:v>0.3789</x:v>
      </x:c>
      <x:c r="I124" s="143" t="n">
        <x:v>1.0624</x:v>
      </x:c>
      <x:c r="J124" s="134" t="str">
        <x:v>validation</x:v>
      </x:c>
      <x:c r="K124" s="135" t="str">
        <x:v>NO USAR prob_generador/score_generador COMO PREDICTOR</x:v>
      </x:c>
    </x:row>
    <x:row r="125" ht="34" customHeight="1">
      <x:c r="A125" s="133" t="str">
        <x:v>EST-0135</x:v>
      </x:c>
      <x:c r="B125" s="134" t="n">
        <x:v>3</x:v>
      </x:c>
      <x:c r="C125" s="134" t="str">
        <x:v>3D</x:v>
      </x:c>
      <x:c r="D125" s="134" t="str">
        <x:v>elegible_activo</x:v>
      </x:c>
      <x:c r="E125" s="134" t="str">
        <x:v>2026-12-15</x:v>
      </x:c>
      <x:c r="F125" s="134" t="n">
        <x:v>0</x:v>
      </x:c>
      <x:c r="G125" s="134" t="str">
        <x:v>permanece</x:v>
      </x:c>
      <x:c r="H125" s="143" t="n">
        <x:v>0.0368</x:v>
      </x:c>
      <x:c r="I125" s="143" t="n">
        <x:v>-1.7082</x:v>
      </x:c>
      <x:c r="J125" s="134" t="str">
        <x:v>train</x:v>
      </x:c>
      <x:c r="K125" s="135" t="str">
        <x:v>NO USAR prob_generador/score_generador COMO PREDICTOR</x:v>
      </x:c>
    </x:row>
    <x:row r="126" ht="34" customHeight="1">
      <x:c r="A126" s="133" t="str">
        <x:v>EST-0136</x:v>
      </x:c>
      <x:c r="B126" s="134" t="n">
        <x:v>3</x:v>
      </x:c>
      <x:c r="C126" s="134" t="str">
        <x:v>3D</x:v>
      </x:c>
      <x:c r="D126" s="134" t="str">
        <x:v>elegible_activo</x:v>
      </x:c>
      <x:c r="E126" s="134" t="str">
        <x:v>2026-12-15</x:v>
      </x:c>
      <x:c r="F126" s="134" t="n">
        <x:v>0</x:v>
      </x:c>
      <x:c r="G126" s="134" t="str">
        <x:v>permanece</x:v>
      </x:c>
      <x:c r="H126" s="143" t="n">
        <x:v>0.1537</x:v>
      </x:c>
      <x:c r="I126" s="143" t="n">
        <x:v>-0.1492</x:v>
      </x:c>
      <x:c r="J126" s="134" t="str">
        <x:v>validation</x:v>
      </x:c>
      <x:c r="K126" s="135" t="str">
        <x:v>NO USAR prob_generador/score_generador COMO PREDICTOR</x:v>
      </x:c>
    </x:row>
    <x:row r="127" ht="34" customHeight="1">
      <x:c r="A127" s="133" t="str">
        <x:v>EST-0138</x:v>
      </x:c>
      <x:c r="B127" s="134" t="n">
        <x:v>3</x:v>
      </x:c>
      <x:c r="C127" s="134" t="str">
        <x:v>3D</x:v>
      </x:c>
      <x:c r="D127" s="134" t="str">
        <x:v>elegible_activo</x:v>
      </x:c>
      <x:c r="E127" s="134" t="str">
        <x:v>2026-12-15</x:v>
      </x:c>
      <x:c r="F127" s="134" t="n">
        <x:v>0</x:v>
      </x:c>
      <x:c r="G127" s="134" t="str">
        <x:v>permanece</x:v>
      </x:c>
      <x:c r="H127" s="143" t="n">
        <x:v>0.3198</x:v>
      </x:c>
      <x:c r="I127" s="143" t="n">
        <x:v>0.8015</x:v>
      </x:c>
      <x:c r="J127" s="134" t="str">
        <x:v>train</x:v>
      </x:c>
      <x:c r="K127" s="135" t="str">
        <x:v>NO USAR prob_generador/score_generador COMO PREDICTOR</x:v>
      </x:c>
    </x:row>
    <x:row r="128" ht="34" customHeight="1">
      <x:c r="A128" s="133" t="str">
        <x:v>EST-0139</x:v>
      </x:c>
      <x:c r="B128" s="134" t="n">
        <x:v>4</x:v>
      </x:c>
      <x:c r="C128" s="134" t="str">
        <x:v>4A</x:v>
      </x:c>
      <x:c r="D128" s="134" t="str">
        <x:v>elegible_activo</x:v>
      </x:c>
      <x:c r="E128" s="134" t="str">
        <x:v>2026-12-15</x:v>
      </x:c>
      <x:c r="F128" s="134" t="n">
        <x:v>0</x:v>
      </x:c>
      <x:c r="G128" s="134" t="str">
        <x:v>permanece</x:v>
      </x:c>
      <x:c r="H128" s="143" t="n">
        <x:v>0.0225</x:v>
      </x:c>
      <x:c r="I128" s="143" t="n">
        <x:v>-2.2161</x:v>
      </x:c>
      <x:c r="J128" s="134" t="str">
        <x:v>holdout</x:v>
      </x:c>
      <x:c r="K128" s="135" t="str">
        <x:v>NO USAR prob_generador/score_generador COMO PREDICTOR</x:v>
      </x:c>
    </x:row>
    <x:row r="129" ht="34" customHeight="1">
      <x:c r="A129" s="133" t="str">
        <x:v>EST-0140</x:v>
      </x:c>
      <x:c r="B129" s="134" t="n">
        <x:v>4</x:v>
      </x:c>
      <x:c r="C129" s="134" t="str">
        <x:v>4A</x:v>
      </x:c>
      <x:c r="D129" s="134" t="str">
        <x:v>elegible_activo</x:v>
      </x:c>
      <x:c r="E129" s="134" t="str">
        <x:v>2026-12-15</x:v>
      </x:c>
      <x:c r="F129" s="134" t="n">
        <x:v>0</x:v>
      </x:c>
      <x:c r="G129" s="134" t="str">
        <x:v>permanece</x:v>
      </x:c>
      <x:c r="H129" s="143" t="n">
        <x:v>0.0323</x:v>
      </x:c>
      <x:c r="I129" s="143" t="n">
        <x:v>-1.8449</x:v>
      </x:c>
      <x:c r="J129" s="134" t="str">
        <x:v>validation</x:v>
      </x:c>
      <x:c r="K129" s="135" t="str">
        <x:v>NO USAR prob_generador/score_generador COMO PREDICTOR</x:v>
      </x:c>
    </x:row>
    <x:row r="130" ht="34" customHeight="1">
      <x:c r="A130" s="133" t="str">
        <x:v>EST-0141</x:v>
      </x:c>
      <x:c r="B130" s="134" t="n">
        <x:v>4</x:v>
      </x:c>
      <x:c r="C130" s="134" t="str">
        <x:v>4A</x:v>
      </x:c>
      <x:c r="D130" s="134" t="str">
        <x:v>elegible_activo</x:v>
      </x:c>
      <x:c r="E130" s="134" t="str">
        <x:v>2026-12-15</x:v>
      </x:c>
      <x:c r="F130" s="134" t="n">
        <x:v>0</x:v>
      </x:c>
      <x:c r="G130" s="134" t="str">
        <x:v>permanece</x:v>
      </x:c>
      <x:c r="H130" s="143" t="n">
        <x:v>0.0656</x:v>
      </x:c>
      <x:c r="I130" s="143" t="n">
        <x:v>-1.0998</x:v>
      </x:c>
      <x:c r="J130" s="134" t="str">
        <x:v>train</x:v>
      </x:c>
      <x:c r="K130" s="135" t="str">
        <x:v>NO USAR prob_generador/score_generador COMO PREDICTOR</x:v>
      </x:c>
    </x:row>
    <x:row r="131" ht="34" customHeight="1">
      <x:c r="A131" s="133" t="str">
        <x:v>EST-0142</x:v>
      </x:c>
      <x:c r="B131" s="134" t="n">
        <x:v>4</x:v>
      </x:c>
      <x:c r="C131" s="134" t="str">
        <x:v>4A</x:v>
      </x:c>
      <x:c r="D131" s="134" t="str">
        <x:v>elegible_activo</x:v>
      </x:c>
      <x:c r="E131" s="134" t="str">
        <x:v>2026-12-15</x:v>
      </x:c>
      <x:c r="F131" s="134" t="n">
        <x:v>1</x:v>
      </x:c>
      <x:c r="G131" s="134" t="str">
        <x:v>deserta</x:v>
      </x:c>
      <x:c r="H131" s="143" t="n">
        <x:v>0.1849</x:v>
      </x:c>
      <x:c r="I131" s="143" t="n">
        <x:v>0.0726</x:v>
      </x:c>
      <x:c r="J131" s="134" t="str">
        <x:v>validation</x:v>
      </x:c>
      <x:c r="K131" s="135" t="str">
        <x:v>NO USAR prob_generador/score_generador COMO PREDICTOR</x:v>
      </x:c>
    </x:row>
    <x:row r="132" ht="34" customHeight="1">
      <x:c r="A132" s="133" t="str">
        <x:v>EST-0143</x:v>
      </x:c>
      <x:c r="B132" s="134" t="n">
        <x:v>4</x:v>
      </x:c>
      <x:c r="C132" s="134" t="str">
        <x:v>4A</x:v>
      </x:c>
      <x:c r="D132" s="134" t="str">
        <x:v>elegible_activo</x:v>
      </x:c>
      <x:c r="E132" s="134" t="str">
        <x:v>2026-12-15</x:v>
      </x:c>
      <x:c r="F132" s="134" t="n">
        <x:v>0</x:v>
      </x:c>
      <x:c r="G132" s="134" t="str">
        <x:v>permanece</x:v>
      </x:c>
      <x:c r="H132" s="143" t="n">
        <x:v>0.1641</x:v>
      </x:c>
      <x:c r="I132" s="143" t="n">
        <x:v>-0.0714</x:v>
      </x:c>
      <x:c r="J132" s="134" t="str">
        <x:v>train</x:v>
      </x:c>
      <x:c r="K132" s="135" t="str">
        <x:v>NO USAR prob_generador/score_generador COMO PREDICTOR</x:v>
      </x:c>
    </x:row>
    <x:row r="133" ht="34" customHeight="1">
      <x:c r="A133" s="133" t="str">
        <x:v>EST-0144</x:v>
      </x:c>
      <x:c r="B133" s="134" t="n">
        <x:v>4</x:v>
      </x:c>
      <x:c r="C133" s="134" t="str">
        <x:v>4A</x:v>
      </x:c>
      <x:c r="D133" s="134" t="str">
        <x:v>elegible_activo</x:v>
      </x:c>
      <x:c r="E133" s="134" t="str">
        <x:v>2026-12-15</x:v>
      </x:c>
      <x:c r="F133" s="134" t="n">
        <x:v>0</x:v>
      </x:c>
      <x:c r="G133" s="134" t="str">
        <x:v>permanece</x:v>
      </x:c>
      <x:c r="H133" s="143" t="n">
        <x:v>0.1719</x:v>
      </x:c>
      <x:c r="I133" s="143" t="n">
        <x:v>-0.0158</x:v>
      </x:c>
      <x:c r="J133" s="134" t="str">
        <x:v>train</x:v>
      </x:c>
      <x:c r="K133" s="135" t="str">
        <x:v>NO USAR prob_generador/score_generador COMO PREDICTOR</x:v>
      </x:c>
    </x:row>
    <x:row r="134" ht="34" customHeight="1">
      <x:c r="A134" s="133" t="str">
        <x:v>EST-0145</x:v>
      </x:c>
      <x:c r="B134" s="134" t="n">
        <x:v>4</x:v>
      </x:c>
      <x:c r="C134" s="134" t="str">
        <x:v>4A</x:v>
      </x:c>
      <x:c r="D134" s="134" t="str">
        <x:v>elegible_activo</x:v>
      </x:c>
      <x:c r="E134" s="134" t="str">
        <x:v>2026-12-15</x:v>
      </x:c>
      <x:c r="F134" s="134" t="n">
        <x:v>0</x:v>
      </x:c>
      <x:c r="G134" s="134" t="str">
        <x:v>permanece</x:v>
      </x:c>
      <x:c r="H134" s="143" t="n">
        <x:v>0.0816</x:v>
      </x:c>
      <x:c r="I134" s="143" t="n">
        <x:v>-0.8641</x:v>
      </x:c>
      <x:c r="J134" s="134" t="str">
        <x:v>validation</x:v>
      </x:c>
      <x:c r="K134" s="135" t="str">
        <x:v>NO USAR prob_generador/score_generador COMO PREDICTOR</x:v>
      </x:c>
    </x:row>
    <x:row r="135" ht="34" customHeight="1">
      <x:c r="A135" s="133" t="str">
        <x:v>EST-0146</x:v>
      </x:c>
      <x:c r="B135" s="134" t="n">
        <x:v>4</x:v>
      </x:c>
      <x:c r="C135" s="134" t="str">
        <x:v>4A</x:v>
      </x:c>
      <x:c r="D135" s="134" t="str">
        <x:v>elegible_activo</x:v>
      </x:c>
      <x:c r="E135" s="134" t="str">
        <x:v>2026-12-15</x:v>
      </x:c>
      <x:c r="F135" s="134" t="n">
        <x:v>0</x:v>
      </x:c>
      <x:c r="G135" s="134" t="str">
        <x:v>permanece</x:v>
      </x:c>
      <x:c r="H135" s="143" t="n">
        <x:v>0.1425</x:v>
      </x:c>
      <x:c r="I135" s="143" t="n">
        <x:v>-0.2383</x:v>
      </x:c>
      <x:c r="J135" s="134" t="str">
        <x:v>holdout</x:v>
      </x:c>
      <x:c r="K135" s="135" t="str">
        <x:v>NO USAR prob_generador/score_generador COMO PREDICTOR</x:v>
      </x:c>
    </x:row>
    <x:row r="136" ht="34" customHeight="1">
      <x:c r="A136" s="133" t="str">
        <x:v>EST-0147</x:v>
      </x:c>
      <x:c r="B136" s="134" t="n">
        <x:v>4</x:v>
      </x:c>
      <x:c r="C136" s="134" t="str">
        <x:v>4A</x:v>
      </x:c>
      <x:c r="D136" s="134" t="str">
        <x:v>elegible_activo</x:v>
      </x:c>
      <x:c r="E136" s="134" t="str">
        <x:v>2026-12-15</x:v>
      </x:c>
      <x:c r="F136" s="134" t="n">
        <x:v>1</x:v>
      </x:c>
      <x:c r="G136" s="134" t="str">
        <x:v>deserta</x:v>
      </x:c>
      <x:c r="H136" s="143" t="n">
        <x:v>0.2905</x:v>
      </x:c>
      <x:c r="I136" s="143" t="n">
        <x:v>0.6635</x:v>
      </x:c>
      <x:c r="J136" s="134" t="str">
        <x:v>validation</x:v>
      </x:c>
      <x:c r="K136" s="135" t="str">
        <x:v>NO USAR prob_generador/score_generador COMO PREDICTOR</x:v>
      </x:c>
    </x:row>
    <x:row r="137" ht="34" customHeight="1">
      <x:c r="A137" s="133" t="str">
        <x:v>EST-0149</x:v>
      </x:c>
      <x:c r="B137" s="134" t="n">
        <x:v>4</x:v>
      </x:c>
      <x:c r="C137" s="134" t="str">
        <x:v>4A</x:v>
      </x:c>
      <x:c r="D137" s="134" t="str">
        <x:v>elegible_activo</x:v>
      </x:c>
      <x:c r="E137" s="134" t="str">
        <x:v>2026-12-15</x:v>
      </x:c>
      <x:c r="F137" s="134" t="n">
        <x:v>0</x:v>
      </x:c>
      <x:c r="G137" s="134" t="str">
        <x:v>permanece</x:v>
      </x:c>
      <x:c r="H137" s="143" t="n">
        <x:v>0.1381</x:v>
      </x:c>
      <x:c r="I137" s="143" t="n">
        <x:v>-0.275</x:v>
      </x:c>
      <x:c r="J137" s="134" t="str">
        <x:v>train</x:v>
      </x:c>
      <x:c r="K137" s="135" t="str">
        <x:v>NO USAR prob_generador/score_generador COMO PREDICTOR</x:v>
      </x:c>
    </x:row>
    <x:row r="138" ht="34" customHeight="1">
      <x:c r="A138" s="133" t="str">
        <x:v>EST-0150</x:v>
      </x:c>
      <x:c r="B138" s="134" t="n">
        <x:v>4</x:v>
      </x:c>
      <x:c r="C138" s="134" t="str">
        <x:v>4A</x:v>
      </x:c>
      <x:c r="D138" s="134" t="str">
        <x:v>elegible_activo</x:v>
      </x:c>
      <x:c r="E138" s="134" t="str">
        <x:v>2026-12-15</x:v>
      </x:c>
      <x:c r="F138" s="134" t="n">
        <x:v>0</x:v>
      </x:c>
      <x:c r="G138" s="134" t="str">
        <x:v>permanece</x:v>
      </x:c>
      <x:c r="H138" s="143" t="n">
        <x:v>0.0312</x:v>
      </x:c>
      <x:c r="I138" s="143" t="n">
        <x:v>-1.8791</x:v>
      </x:c>
      <x:c r="J138" s="134" t="str">
        <x:v>validation</x:v>
      </x:c>
      <x:c r="K138" s="135" t="str">
        <x:v>NO USAR prob_generador/score_generador COMO PREDICTOR</x:v>
      </x:c>
    </x:row>
    <x:row r="139" ht="34" customHeight="1">
      <x:c r="A139" s="133" t="str">
        <x:v>EST-0151</x:v>
      </x:c>
      <x:c r="B139" s="134" t="n">
        <x:v>4</x:v>
      </x:c>
      <x:c r="C139" s="134" t="str">
        <x:v>4B</x:v>
      </x:c>
      <x:c r="D139" s="134" t="str">
        <x:v>elegible_activo</x:v>
      </x:c>
      <x:c r="E139" s="134" t="str">
        <x:v>2026-12-15</x:v>
      </x:c>
      <x:c r="F139" s="134" t="n">
        <x:v>0</x:v>
      </x:c>
      <x:c r="G139" s="134" t="str">
        <x:v>permanece</x:v>
      </x:c>
      <x:c r="H139" s="143" t="n">
        <x:v>0.0443</x:v>
      </x:c>
      <x:c r="I139" s="143" t="n">
        <x:v>-1.5154</x:v>
      </x:c>
      <x:c r="J139" s="134" t="str">
        <x:v>train</x:v>
      </x:c>
      <x:c r="K139" s="135" t="str">
        <x:v>NO USAR prob_generador/score_generador COMO PREDICTOR</x:v>
      </x:c>
    </x:row>
    <x:row r="140" ht="34" customHeight="1">
      <x:c r="A140" s="133" t="str">
        <x:v>EST-0152</x:v>
      </x:c>
      <x:c r="B140" s="134" t="n">
        <x:v>4</x:v>
      </x:c>
      <x:c r="C140" s="134" t="str">
        <x:v>4B</x:v>
      </x:c>
      <x:c r="D140" s="134" t="str">
        <x:v>elegible_activo</x:v>
      </x:c>
      <x:c r="E140" s="134" t="str">
        <x:v>2026-12-15</x:v>
      </x:c>
      <x:c r="F140" s="134" t="n">
        <x:v>0</x:v>
      </x:c>
      <x:c r="G140" s="134" t="str">
        <x:v>permanece</x:v>
      </x:c>
      <x:c r="H140" s="143" t="n">
        <x:v>0.1003</x:v>
      </x:c>
      <x:c r="I140" s="143" t="n">
        <x:v>-0.6378</x:v>
      </x:c>
      <x:c r="J140" s="134" t="str">
        <x:v>train</x:v>
      </x:c>
      <x:c r="K140" s="135" t="str">
        <x:v>NO USAR prob_generador/score_generador COMO PREDICTOR</x:v>
      </x:c>
    </x:row>
    <x:row r="141" ht="34" customHeight="1">
      <x:c r="A141" s="133" t="str">
        <x:v>EST-0153</x:v>
      </x:c>
      <x:c r="B141" s="134" t="n">
        <x:v>4</x:v>
      </x:c>
      <x:c r="C141" s="134" t="str">
        <x:v>4B</x:v>
      </x:c>
      <x:c r="D141" s="134" t="str">
        <x:v>elegible_activo</x:v>
      </x:c>
      <x:c r="E141" s="134" t="str">
        <x:v>2026-12-15</x:v>
      </x:c>
      <x:c r="F141" s="134" t="n">
        <x:v>0</x:v>
      </x:c>
      <x:c r="G141" s="134" t="str">
        <x:v>permanece</x:v>
      </x:c>
      <x:c r="H141" s="143" t="n">
        <x:v>0.0079</x:v>
      </x:c>
      <x:c r="I141" s="143" t="n">
        <x:v>-3.2818</x:v>
      </x:c>
      <x:c r="J141" s="134" t="str">
        <x:v>validation</x:v>
      </x:c>
      <x:c r="K141" s="135" t="str">
        <x:v>NO USAR prob_generador/score_generador COMO PREDICTOR</x:v>
      </x:c>
    </x:row>
    <x:row r="142" ht="34" customHeight="1">
      <x:c r="A142" s="133" t="str">
        <x:v>EST-0154</x:v>
      </x:c>
      <x:c r="B142" s="134" t="n">
        <x:v>4</x:v>
      </x:c>
      <x:c r="C142" s="134" t="str">
        <x:v>4B</x:v>
      </x:c>
      <x:c r="D142" s="134" t="str">
        <x:v>elegible_activo</x:v>
      </x:c>
      <x:c r="E142" s="134" t="str">
        <x:v>2026-12-15</x:v>
      </x:c>
      <x:c r="F142" s="134" t="n">
        <x:v>0</x:v>
      </x:c>
      <x:c r="G142" s="134" t="str">
        <x:v>permanece</x:v>
      </x:c>
      <x:c r="H142" s="143" t="n">
        <x:v>0.0813</x:v>
      </x:c>
      <x:c r="I142" s="143" t="n">
        <x:v>-0.8684</x:v>
      </x:c>
      <x:c r="J142" s="134" t="str">
        <x:v>holdout</x:v>
      </x:c>
      <x:c r="K142" s="135" t="str">
        <x:v>NO USAR prob_generador/score_generador COMO PREDICTOR</x:v>
      </x:c>
    </x:row>
    <x:row r="143" ht="34" customHeight="1">
      <x:c r="A143" s="133" t="str">
        <x:v>EST-0155</x:v>
      </x:c>
      <x:c r="B143" s="134" t="n">
        <x:v>4</x:v>
      </x:c>
      <x:c r="C143" s="134" t="str">
        <x:v>4B</x:v>
      </x:c>
      <x:c r="D143" s="134" t="str">
        <x:v>elegible_activo</x:v>
      </x:c>
      <x:c r="E143" s="134" t="str">
        <x:v>2026-12-15</x:v>
      </x:c>
      <x:c r="F143" s="134" t="n">
        <x:v>0</x:v>
      </x:c>
      <x:c r="G143" s="134" t="str">
        <x:v>permanece</x:v>
      </x:c>
      <x:c r="H143" s="143" t="n">
        <x:v>0.1442</x:v>
      </x:c>
      <x:c r="I143" s="143" t="n">
        <x:v>-0.2248</x:v>
      </x:c>
      <x:c r="J143" s="134" t="str">
        <x:v>train</x:v>
      </x:c>
      <x:c r="K143" s="135" t="str">
        <x:v>NO USAR prob_generador/score_generador COMO PREDICTOR</x:v>
      </x:c>
    </x:row>
    <x:row r="144" ht="34" customHeight="1">
      <x:c r="A144" s="133" t="str">
        <x:v>EST-0156</x:v>
      </x:c>
      <x:c r="B144" s="134" t="n">
        <x:v>4</x:v>
      </x:c>
      <x:c r="C144" s="134" t="str">
        <x:v>4B</x:v>
      </x:c>
      <x:c r="D144" s="134" t="str">
        <x:v>elegible_activo</x:v>
      </x:c>
      <x:c r="E144" s="134" t="str">
        <x:v>2026-12-15</x:v>
      </x:c>
      <x:c r="F144" s="134" t="n">
        <x:v>0</x:v>
      </x:c>
      <x:c r="G144" s="134" t="str">
        <x:v>permanece</x:v>
      </x:c>
      <x:c r="H144" s="143" t="n">
        <x:v>0.1501</x:v>
      </x:c>
      <x:c r="I144" s="143" t="n">
        <x:v>-0.1777</x:v>
      </x:c>
      <x:c r="J144" s="134" t="str">
        <x:v>train</x:v>
      </x:c>
      <x:c r="K144" s="135" t="str">
        <x:v>NO USAR prob_generador/score_generador COMO PREDICTOR</x:v>
      </x:c>
    </x:row>
    <x:row r="145" ht="34" customHeight="1">
      <x:c r="A145" s="133" t="str">
        <x:v>EST-0157</x:v>
      </x:c>
      <x:c r="B145" s="134" t="n">
        <x:v>4</x:v>
      </x:c>
      <x:c r="C145" s="134" t="str">
        <x:v>4B</x:v>
      </x:c>
      <x:c r="D145" s="134" t="str">
        <x:v>elegible_activo</x:v>
      </x:c>
      <x:c r="E145" s="134" t="str">
        <x:v>2026-12-15</x:v>
      </x:c>
      <x:c r="F145" s="134" t="n">
        <x:v>0</x:v>
      </x:c>
      <x:c r="G145" s="134" t="str">
        <x:v>permanece</x:v>
      </x:c>
      <x:c r="H145" s="143" t="n">
        <x:v>0.0262</x:v>
      </x:c>
      <x:c r="I145" s="143" t="n">
        <x:v>-2.0596</x:v>
      </x:c>
      <x:c r="J145" s="134" t="str">
        <x:v>train</x:v>
      </x:c>
      <x:c r="K145" s="135" t="str">
        <x:v>NO USAR prob_generador/score_generador COMO PREDICTOR</x:v>
      </x:c>
    </x:row>
    <x:row r="146" ht="34" customHeight="1">
      <x:c r="A146" s="133" t="str">
        <x:v>EST-0158</x:v>
      </x:c>
      <x:c r="B146" s="134" t="n">
        <x:v>4</x:v>
      </x:c>
      <x:c r="C146" s="134" t="str">
        <x:v>4B</x:v>
      </x:c>
      <x:c r="D146" s="134" t="str">
        <x:v>elegible_activo</x:v>
      </x:c>
      <x:c r="E146" s="134" t="str">
        <x:v>2026-12-15</x:v>
      </x:c>
      <x:c r="F146" s="134" t="n">
        <x:v>0</x:v>
      </x:c>
      <x:c r="G146" s="134" t="str">
        <x:v>permanece</x:v>
      </x:c>
      <x:c r="H146" s="143" t="n">
        <x:v>0.0301</x:v>
      </x:c>
      <x:c r="I146" s="143" t="n">
        <x:v>-1.9168</x:v>
      </x:c>
      <x:c r="J146" s="134" t="str">
        <x:v>holdout</x:v>
      </x:c>
      <x:c r="K146" s="135" t="str">
        <x:v>NO USAR prob_generador/score_generador COMO PREDICTOR</x:v>
      </x:c>
    </x:row>
    <x:row r="147" ht="34" customHeight="1">
      <x:c r="A147" s="133" t="str">
        <x:v>EST-0160</x:v>
      </x:c>
      <x:c r="B147" s="134" t="n">
        <x:v>4</x:v>
      </x:c>
      <x:c r="C147" s="134" t="str">
        <x:v>4B</x:v>
      </x:c>
      <x:c r="D147" s="134" t="str">
        <x:v>elegible_activo</x:v>
      </x:c>
      <x:c r="E147" s="134" t="str">
        <x:v>2026-12-15</x:v>
      </x:c>
      <x:c r="F147" s="134" t="n">
        <x:v>0</x:v>
      </x:c>
      <x:c r="G147" s="134" t="str">
        <x:v>permanece</x:v>
      </x:c>
      <x:c r="H147" s="143" t="n">
        <x:v>0.3644</x:v>
      </x:c>
      <x:c r="I147" s="143" t="n">
        <x:v>1.0002</x:v>
      </x:c>
      <x:c r="J147" s="134" t="str">
        <x:v>train</x:v>
      </x:c>
      <x:c r="K147" s="135" t="str">
        <x:v>NO USAR prob_generador/score_generador COMO PREDICTOR</x:v>
      </x:c>
    </x:row>
    <x:row r="148" ht="34" customHeight="1">
      <x:c r="A148" s="133" t="str">
        <x:v>EST-0161</x:v>
      </x:c>
      <x:c r="B148" s="134" t="n">
        <x:v>4</x:v>
      </x:c>
      <x:c r="C148" s="134" t="str">
        <x:v>4B</x:v>
      </x:c>
      <x:c r="D148" s="134" t="str">
        <x:v>elegible_activo</x:v>
      </x:c>
      <x:c r="E148" s="134" t="str">
        <x:v>2026-12-15</x:v>
      </x:c>
      <x:c r="F148" s="134" t="n">
        <x:v>0</x:v>
      </x:c>
      <x:c r="G148" s="134" t="str">
        <x:v>permanece</x:v>
      </x:c>
      <x:c r="H148" s="143" t="n">
        <x:v>0.1367</x:v>
      </x:c>
      <x:c r="I148" s="143" t="n">
        <x:v>-0.2863</x:v>
      </x:c>
      <x:c r="J148" s="134" t="str">
        <x:v>train</x:v>
      </x:c>
      <x:c r="K148" s="135" t="str">
        <x:v>NO USAR prob_generador/score_generador COMO PREDICTOR</x:v>
      </x:c>
    </x:row>
    <x:row r="149" ht="34" customHeight="1">
      <x:c r="A149" s="133" t="str">
        <x:v>EST-0162</x:v>
      </x:c>
      <x:c r="B149" s="134" t="n">
        <x:v>4</x:v>
      </x:c>
      <x:c r="C149" s="134" t="str">
        <x:v>4B</x:v>
      </x:c>
      <x:c r="D149" s="134" t="str">
        <x:v>elegible_activo</x:v>
      </x:c>
      <x:c r="E149" s="134" t="str">
        <x:v>2026-12-15</x:v>
      </x:c>
      <x:c r="F149" s="134" t="n">
        <x:v>1</x:v>
      </x:c>
      <x:c r="G149" s="134" t="str">
        <x:v>deserta</x:v>
      </x:c>
      <x:c r="H149" s="143" t="n">
        <x:v>0.9122</x:v>
      </x:c>
      <x:c r="I149" s="143" t="n">
        <x:v>3.8975</x:v>
      </x:c>
      <x:c r="J149" s="134" t="str">
        <x:v>train</x:v>
      </x:c>
      <x:c r="K149" s="135" t="str">
        <x:v>NO USAR prob_generador/score_generador COMO PREDICTOR</x:v>
      </x:c>
    </x:row>
    <x:row r="150" ht="34" customHeight="1">
      <x:c r="A150" s="133" t="str">
        <x:v>EST-0163</x:v>
      </x:c>
      <x:c r="B150" s="134" t="n">
        <x:v>4</x:v>
      </x:c>
      <x:c r="C150" s="134" t="str">
        <x:v>4C</x:v>
      </x:c>
      <x:c r="D150" s="134" t="str">
        <x:v>elegible_activo</x:v>
      </x:c>
      <x:c r="E150" s="134" t="str">
        <x:v>2026-12-15</x:v>
      </x:c>
      <x:c r="F150" s="134" t="n">
        <x:v>1</x:v>
      </x:c>
      <x:c r="G150" s="134" t="str">
        <x:v>deserta</x:v>
      </x:c>
      <x:c r="H150" s="143" t="n">
        <x:v>0.1408</x:v>
      </x:c>
      <x:c r="I150" s="143" t="n">
        <x:v>-0.2524</x:v>
      </x:c>
      <x:c r="J150" s="134" t="str">
        <x:v>train</x:v>
      </x:c>
      <x:c r="K150" s="135" t="str">
        <x:v>NO USAR prob_generador/score_generador COMO PREDICTOR</x:v>
      </x:c>
    </x:row>
    <x:row r="151" ht="34" customHeight="1">
      <x:c r="A151" s="133" t="str">
        <x:v>EST-0164</x:v>
      </x:c>
      <x:c r="B151" s="134" t="n">
        <x:v>4</x:v>
      </x:c>
      <x:c r="C151" s="134" t="str">
        <x:v>4C</x:v>
      </x:c>
      <x:c r="D151" s="134" t="str">
        <x:v>elegible_activo</x:v>
      </x:c>
      <x:c r="E151" s="134" t="str">
        <x:v>2026-12-15</x:v>
      </x:c>
      <x:c r="F151" s="134" t="n">
        <x:v>0</x:v>
      </x:c>
      <x:c r="G151" s="134" t="str">
        <x:v>permanece</x:v>
      </x:c>
      <x:c r="H151" s="143" t="n">
        <x:v>0.0665</x:v>
      </x:c>
      <x:c r="I151" s="143" t="n">
        <x:v>-1.0858</x:v>
      </x:c>
      <x:c r="J151" s="134" t="str">
        <x:v>train</x:v>
      </x:c>
      <x:c r="K151" s="135" t="str">
        <x:v>NO USAR prob_generador/score_generador COMO PREDICTOR</x:v>
      </x:c>
    </x:row>
    <x:row r="152" ht="34" customHeight="1">
      <x:c r="A152" s="133" t="str">
        <x:v>EST-0165</x:v>
      </x:c>
      <x:c r="B152" s="134" t="n">
        <x:v>4</x:v>
      </x:c>
      <x:c r="C152" s="134" t="str">
        <x:v>4C</x:v>
      </x:c>
      <x:c r="D152" s="134" t="str">
        <x:v>elegible_activo</x:v>
      </x:c>
      <x:c r="E152" s="134" t="str">
        <x:v>2026-12-15</x:v>
      </x:c>
      <x:c r="F152" s="134" t="n">
        <x:v>0</x:v>
      </x:c>
      <x:c r="G152" s="134" t="str">
        <x:v>permanece</x:v>
      </x:c>
      <x:c r="H152" s="143" t="n">
        <x:v>0.0909</x:v>
      </x:c>
      <x:c r="I152" s="143" t="n">
        <x:v>-0.7458</x:v>
      </x:c>
      <x:c r="J152" s="134" t="str">
        <x:v>train</x:v>
      </x:c>
      <x:c r="K152" s="135" t="str">
        <x:v>NO USAR prob_generador/score_generador COMO PREDICTOR</x:v>
      </x:c>
    </x:row>
    <x:row r="153" ht="34" customHeight="1">
      <x:c r="A153" s="133" t="str">
        <x:v>EST-0166</x:v>
      </x:c>
      <x:c r="B153" s="134" t="n">
        <x:v>4</x:v>
      </x:c>
      <x:c r="C153" s="134" t="str">
        <x:v>4C</x:v>
      </x:c>
      <x:c r="D153" s="134" t="str">
        <x:v>elegible_activo</x:v>
      </x:c>
      <x:c r="E153" s="134" t="str">
        <x:v>2026-12-15</x:v>
      </x:c>
      <x:c r="F153" s="134" t="n">
        <x:v>0</x:v>
      </x:c>
      <x:c r="G153" s="134" t="str">
        <x:v>permanece</x:v>
      </x:c>
      <x:c r="H153" s="143" t="n">
        <x:v>0.0561</x:v>
      </x:c>
      <x:c r="I153" s="143" t="n">
        <x:v>-1.2662</x:v>
      </x:c>
      <x:c r="J153" s="134" t="str">
        <x:v>train</x:v>
      </x:c>
      <x:c r="K153" s="135" t="str">
        <x:v>NO USAR prob_generador/score_generador COMO PREDICTOR</x:v>
      </x:c>
    </x:row>
    <x:row r="154" ht="34" customHeight="1">
      <x:c r="A154" s="133" t="str">
        <x:v>EST-0167</x:v>
      </x:c>
      <x:c r="B154" s="134" t="n">
        <x:v>4</x:v>
      </x:c>
      <x:c r="C154" s="134" t="str">
        <x:v>4C</x:v>
      </x:c>
      <x:c r="D154" s="134" t="str">
        <x:v>elegible_activo</x:v>
      </x:c>
      <x:c r="E154" s="134" t="str">
        <x:v>2026-12-15</x:v>
      </x:c>
      <x:c r="F154" s="134" t="n">
        <x:v>0</x:v>
      </x:c>
      <x:c r="G154" s="134" t="str">
        <x:v>permanece</x:v>
      </x:c>
      <x:c r="H154" s="143" t="n">
        <x:v>0.1146</x:v>
      </x:c>
      <x:c r="I154" s="143" t="n">
        <x:v>-0.4887</x:v>
      </x:c>
      <x:c r="J154" s="134" t="str">
        <x:v>train</x:v>
      </x:c>
      <x:c r="K154" s="135" t="str">
        <x:v>NO USAR prob_generador/score_generador COMO PREDICTOR</x:v>
      </x:c>
    </x:row>
    <x:row r="155" ht="34" customHeight="1">
      <x:c r="A155" s="133" t="str">
        <x:v>EST-0168</x:v>
      </x:c>
      <x:c r="B155" s="134" t="n">
        <x:v>4</x:v>
      </x:c>
      <x:c r="C155" s="134" t="str">
        <x:v>4C</x:v>
      </x:c>
      <x:c r="D155" s="134" t="str">
        <x:v>elegible_activo</x:v>
      </x:c>
      <x:c r="E155" s="134" t="str">
        <x:v>2026-12-15</x:v>
      </x:c>
      <x:c r="F155" s="134" t="n">
        <x:v>0</x:v>
      </x:c>
      <x:c r="G155" s="134" t="str">
        <x:v>permanece</x:v>
      </x:c>
      <x:c r="H155" s="143" t="n">
        <x:v>0.3163</x:v>
      </x:c>
      <x:c r="I155" s="143" t="n">
        <x:v>0.7855</x:v>
      </x:c>
      <x:c r="J155" s="134" t="str">
        <x:v>train</x:v>
      </x:c>
      <x:c r="K155" s="135" t="str">
        <x:v>NO USAR prob_generador/score_generador COMO PREDICTOR</x:v>
      </x:c>
    </x:row>
    <x:row r="156" ht="34" customHeight="1">
      <x:c r="A156" s="133" t="str">
        <x:v>EST-0169</x:v>
      </x:c>
      <x:c r="B156" s="134" t="n">
        <x:v>4</x:v>
      </x:c>
      <x:c r="C156" s="134" t="str">
        <x:v>4C</x:v>
      </x:c>
      <x:c r="D156" s="134" t="str">
        <x:v>elegible_activo</x:v>
      </x:c>
      <x:c r="E156" s="134" t="str">
        <x:v>2026-12-15</x:v>
      </x:c>
      <x:c r="F156" s="134" t="n">
        <x:v>0</x:v>
      </x:c>
      <x:c r="G156" s="134" t="str">
        <x:v>permanece</x:v>
      </x:c>
      <x:c r="H156" s="143" t="n">
        <x:v>0.1139</x:v>
      </x:c>
      <x:c r="I156" s="143" t="n">
        <x:v>-0.4954</x:v>
      </x:c>
      <x:c r="J156" s="134" t="str">
        <x:v>validation</x:v>
      </x:c>
      <x:c r="K156" s="135" t="str">
        <x:v>NO USAR prob_generador/score_generador COMO PREDICTOR</x:v>
      </x:c>
    </x:row>
    <x:row r="157" ht="34" customHeight="1">
      <x:c r="A157" s="133" t="str">
        <x:v>EST-0171</x:v>
      </x:c>
      <x:c r="B157" s="134" t="n">
        <x:v>4</x:v>
      </x:c>
      <x:c r="C157" s="134" t="str">
        <x:v>4C</x:v>
      </x:c>
      <x:c r="D157" s="134" t="str">
        <x:v>elegible_activo</x:v>
      </x:c>
      <x:c r="E157" s="134" t="str">
        <x:v>2026-12-15</x:v>
      </x:c>
      <x:c r="F157" s="134" t="n">
        <x:v>0</x:v>
      </x:c>
      <x:c r="G157" s="134" t="str">
        <x:v>permanece</x:v>
      </x:c>
      <x:c r="H157" s="143" t="n">
        <x:v>0.1695</x:v>
      </x:c>
      <x:c r="I157" s="143" t="n">
        <x:v>-0.0326</x:v>
      </x:c>
      <x:c r="J157" s="134" t="str">
        <x:v>validation</x:v>
      </x:c>
      <x:c r="K157" s="135" t="str">
        <x:v>NO USAR prob_generador/score_generador COMO PREDICTOR</x:v>
      </x:c>
    </x:row>
    <x:row r="158" ht="34" customHeight="1">
      <x:c r="A158" s="133" t="str">
        <x:v>EST-0172</x:v>
      </x:c>
      <x:c r="B158" s="134" t="n">
        <x:v>4</x:v>
      </x:c>
      <x:c r="C158" s="134" t="str">
        <x:v>4C</x:v>
      </x:c>
      <x:c r="D158" s="134" t="str">
        <x:v>elegible_activo</x:v>
      </x:c>
      <x:c r="E158" s="134" t="str">
        <x:v>2026-12-15</x:v>
      </x:c>
      <x:c r="F158" s="134" t="n">
        <x:v>1</x:v>
      </x:c>
      <x:c r="G158" s="134" t="str">
        <x:v>deserta</x:v>
      </x:c>
      <x:c r="H158" s="143" t="n">
        <x:v>0.2344</x:v>
      </x:c>
      <x:c r="I158" s="143" t="n">
        <x:v>0.3728</x:v>
      </x:c>
      <x:c r="J158" s="134" t="str">
        <x:v>train</x:v>
      </x:c>
      <x:c r="K158" s="135" t="str">
        <x:v>NO USAR prob_generador/score_generador COMO PREDICTOR</x:v>
      </x:c>
    </x:row>
    <x:row r="159" ht="34" customHeight="1">
      <x:c r="A159" s="133" t="str">
        <x:v>EST-0173</x:v>
      </x:c>
      <x:c r="B159" s="134" t="n">
        <x:v>4</x:v>
      </x:c>
      <x:c r="C159" s="134" t="str">
        <x:v>4C</x:v>
      </x:c>
      <x:c r="D159" s="134" t="str">
        <x:v>elegible_activo</x:v>
      </x:c>
      <x:c r="E159" s="134" t="str">
        <x:v>2026-12-15</x:v>
      </x:c>
      <x:c r="F159" s="134" t="n">
        <x:v>0</x:v>
      </x:c>
      <x:c r="G159" s="134" t="str">
        <x:v>permanece</x:v>
      </x:c>
      <x:c r="H159" s="143" t="n">
        <x:v>0.1385</x:v>
      </x:c>
      <x:c r="I159" s="143" t="n">
        <x:v>-0.2714</x:v>
      </x:c>
      <x:c r="J159" s="134" t="str">
        <x:v>train</x:v>
      </x:c>
      <x:c r="K159" s="135" t="str">
        <x:v>NO USAR prob_generador/score_generador COMO PREDICTOR</x:v>
      </x:c>
    </x:row>
    <x:row r="160" ht="34" customHeight="1">
      <x:c r="A160" s="133" t="str">
        <x:v>EST-0174</x:v>
      </x:c>
      <x:c r="B160" s="134" t="n">
        <x:v>4</x:v>
      </x:c>
      <x:c r="C160" s="134" t="str">
        <x:v>4D</x:v>
      </x:c>
      <x:c r="D160" s="134" t="str">
        <x:v>elegible_activo</x:v>
      </x:c>
      <x:c r="E160" s="134" t="str">
        <x:v>2026-12-15</x:v>
      </x:c>
      <x:c r="F160" s="134" t="n">
        <x:v>0</x:v>
      </x:c>
      <x:c r="G160" s="134" t="str">
        <x:v>permanece</x:v>
      </x:c>
      <x:c r="H160" s="143" t="n">
        <x:v>0.1873</x:v>
      </x:c>
      <x:c r="I160" s="143" t="n">
        <x:v>0.0889</x:v>
      </x:c>
      <x:c r="J160" s="134" t="str">
        <x:v>train</x:v>
      </x:c>
      <x:c r="K160" s="135" t="str">
        <x:v>NO USAR prob_generador/score_generador COMO PREDICTOR</x:v>
      </x:c>
    </x:row>
    <x:row r="161" ht="34" customHeight="1">
      <x:c r="A161" s="133" t="str">
        <x:v>EST-0175</x:v>
      </x:c>
      <x:c r="B161" s="134" t="n">
        <x:v>4</x:v>
      </x:c>
      <x:c r="C161" s="134" t="str">
        <x:v>4D</x:v>
      </x:c>
      <x:c r="D161" s="134" t="str">
        <x:v>elegible_activo</x:v>
      </x:c>
      <x:c r="E161" s="134" t="str">
        <x:v>2026-12-15</x:v>
      </x:c>
      <x:c r="F161" s="134" t="n">
        <x:v>0</x:v>
      </x:c>
      <x:c r="G161" s="134" t="str">
        <x:v>permanece</x:v>
      </x:c>
      <x:c r="H161" s="143" t="n">
        <x:v>0.1716</x:v>
      </x:c>
      <x:c r="I161" s="143" t="n">
        <x:v>-0.0183</x:v>
      </x:c>
      <x:c r="J161" s="134" t="str">
        <x:v>train</x:v>
      </x:c>
      <x:c r="K161" s="135" t="str">
        <x:v>NO USAR prob_generador/score_generador COMO PREDICTOR</x:v>
      </x:c>
    </x:row>
    <x:row r="162" ht="34" customHeight="1">
      <x:c r="A162" s="133" t="str">
        <x:v>EST-0176</x:v>
      </x:c>
      <x:c r="B162" s="134" t="n">
        <x:v>4</x:v>
      </x:c>
      <x:c r="C162" s="134" t="str">
        <x:v>4D</x:v>
      </x:c>
      <x:c r="D162" s="134" t="str">
        <x:v>elegible_activo</x:v>
      </x:c>
      <x:c r="E162" s="134" t="str">
        <x:v>2026-12-15</x:v>
      </x:c>
      <x:c r="F162" s="134" t="n">
        <x:v>0</x:v>
      </x:c>
      <x:c r="G162" s="134" t="str">
        <x:v>permanece</x:v>
      </x:c>
      <x:c r="H162" s="143" t="n">
        <x:v>0.0073</x:v>
      </x:c>
      <x:c r="I162" s="143" t="n">
        <x:v>-3.3581</x:v>
      </x:c>
      <x:c r="J162" s="134" t="str">
        <x:v>train</x:v>
      </x:c>
      <x:c r="K162" s="135" t="str">
        <x:v>NO USAR prob_generador/score_generador COMO PREDICTOR</x:v>
      </x:c>
    </x:row>
    <x:row r="163" ht="34" customHeight="1">
      <x:c r="A163" s="133" t="str">
        <x:v>EST-0177</x:v>
      </x:c>
      <x:c r="B163" s="134" t="n">
        <x:v>4</x:v>
      </x:c>
      <x:c r="C163" s="134" t="str">
        <x:v>4D</x:v>
      </x:c>
      <x:c r="D163" s="134" t="str">
        <x:v>elegible_activo</x:v>
      </x:c>
      <x:c r="E163" s="134" t="str">
        <x:v>2026-12-15</x:v>
      </x:c>
      <x:c r="F163" s="134" t="n">
        <x:v>0</x:v>
      </x:c>
      <x:c r="G163" s="134" t="str">
        <x:v>permanece</x:v>
      </x:c>
      <x:c r="H163" s="143" t="n">
        <x:v>0.0382</x:v>
      </x:c>
      <x:c r="I163" s="143" t="n">
        <x:v>-1.6702</x:v>
      </x:c>
      <x:c r="J163" s="134" t="str">
        <x:v>train</x:v>
      </x:c>
      <x:c r="K163" s="135" t="str">
        <x:v>NO USAR prob_generador/score_generador COMO PREDICTOR</x:v>
      </x:c>
    </x:row>
    <x:row r="164" ht="34" customHeight="1">
      <x:c r="A164" s="133" t="str">
        <x:v>EST-0178</x:v>
      </x:c>
      <x:c r="B164" s="134" t="n">
        <x:v>4</x:v>
      </x:c>
      <x:c r="C164" s="134" t="str">
        <x:v>4D</x:v>
      </x:c>
      <x:c r="D164" s="134" t="str">
        <x:v>elegible_activo</x:v>
      </x:c>
      <x:c r="E164" s="134" t="str">
        <x:v>2026-12-15</x:v>
      </x:c>
      <x:c r="F164" s="134" t="n">
        <x:v>0</x:v>
      </x:c>
      <x:c r="G164" s="134" t="str">
        <x:v>permanece</x:v>
      </x:c>
      <x:c r="H164" s="143" t="n">
        <x:v>0.113</x:v>
      </x:c>
      <x:c r="I164" s="143" t="n">
        <x:v>-0.5037</x:v>
      </x:c>
      <x:c r="J164" s="134" t="str">
        <x:v>train</x:v>
      </x:c>
      <x:c r="K164" s="135" t="str">
        <x:v>NO USAR prob_generador/score_generador COMO PREDICTOR</x:v>
      </x:c>
    </x:row>
    <x:row r="165" ht="34" customHeight="1">
      <x:c r="A165" s="133" t="str">
        <x:v>EST-0179</x:v>
      </x:c>
      <x:c r="B165" s="134" t="n">
        <x:v>4</x:v>
      </x:c>
      <x:c r="C165" s="134" t="str">
        <x:v>4D</x:v>
      </x:c>
      <x:c r="D165" s="134" t="str">
        <x:v>elegible_activo</x:v>
      </x:c>
      <x:c r="E165" s="134" t="str">
        <x:v>2026-12-15</x:v>
      </x:c>
      <x:c r="F165" s="134" t="n">
        <x:v>0</x:v>
      </x:c>
      <x:c r="G165" s="134" t="str">
        <x:v>permanece</x:v>
      </x:c>
      <x:c r="H165" s="143" t="n">
        <x:v>0.3884</x:v>
      </x:c>
      <x:c r="I165" s="143" t="n">
        <x:v>1.1025</x:v>
      </x:c>
      <x:c r="J165" s="134" t="str">
        <x:v>train</x:v>
      </x:c>
      <x:c r="K165" s="135" t="str">
        <x:v>NO USAR prob_generador/score_generador COMO PREDICTOR</x:v>
      </x:c>
    </x:row>
    <x:row r="166" ht="34" customHeight="1">
      <x:c r="A166" s="133" t="str">
        <x:v>EST-0180</x:v>
      </x:c>
      <x:c r="B166" s="134" t="n">
        <x:v>4</x:v>
      </x:c>
      <x:c r="C166" s="134" t="str">
        <x:v>4D</x:v>
      </x:c>
      <x:c r="D166" s="134" t="str">
        <x:v>elegible_activo</x:v>
      </x:c>
      <x:c r="E166" s="134" t="str">
        <x:v>2026-12-15</x:v>
      </x:c>
      <x:c r="F166" s="134" t="n">
        <x:v>0</x:v>
      </x:c>
      <x:c r="G166" s="134" t="str">
        <x:v>permanece</x:v>
      </x:c>
      <x:c r="H166" s="143" t="n">
        <x:v>0.2299</x:v>
      </x:c>
      <x:c r="I166" s="143" t="n">
        <x:v>0.3473</x:v>
      </x:c>
      <x:c r="J166" s="134" t="str">
        <x:v>train</x:v>
      </x:c>
      <x:c r="K166" s="135" t="str">
        <x:v>NO USAR prob_generador/score_generador COMO PREDICTOR</x:v>
      </x:c>
    </x:row>
    <x:row r="167" ht="34" customHeight="1">
      <x:c r="A167" s="133" t="str">
        <x:v>EST-0182</x:v>
      </x:c>
      <x:c r="B167" s="134" t="n">
        <x:v>4</x:v>
      </x:c>
      <x:c r="C167" s="134" t="str">
        <x:v>4D</x:v>
      </x:c>
      <x:c r="D167" s="134" t="str">
        <x:v>elegible_activo</x:v>
      </x:c>
      <x:c r="E167" s="134" t="str">
        <x:v>2026-12-15</x:v>
      </x:c>
      <x:c r="F167" s="134" t="n">
        <x:v>0</x:v>
      </x:c>
      <x:c r="G167" s="134" t="str">
        <x:v>permanece</x:v>
      </x:c>
      <x:c r="H167" s="143" t="n">
        <x:v>0.0315</x:v>
      </x:c>
      <x:c r="I167" s="143" t="n">
        <x:v>-1.8691</x:v>
      </x:c>
      <x:c r="J167" s="134" t="str">
        <x:v>validation</x:v>
      </x:c>
      <x:c r="K167" s="135" t="str">
        <x:v>NO USAR prob_generador/score_generador COMO PREDICTOR</x:v>
      </x:c>
    </x:row>
    <x:row r="168" ht="34" customHeight="1">
      <x:c r="A168" s="133" t="str">
        <x:v>EST-0183</x:v>
      </x:c>
      <x:c r="B168" s="134" t="n">
        <x:v>4</x:v>
      </x:c>
      <x:c r="C168" s="134" t="str">
        <x:v>4D</x:v>
      </x:c>
      <x:c r="D168" s="134" t="str">
        <x:v>elegible_activo</x:v>
      </x:c>
      <x:c r="E168" s="134" t="str">
        <x:v>2026-12-15</x:v>
      </x:c>
      <x:c r="F168" s="134" t="n">
        <x:v>0</x:v>
      </x:c>
      <x:c r="G168" s="134" t="str">
        <x:v>permanece</x:v>
      </x:c>
      <x:c r="H168" s="143" t="n">
        <x:v>0.0777</x:v>
      </x:c>
      <x:c r="I168" s="143" t="n">
        <x:v>-0.918</x:v>
      </x:c>
      <x:c r="J168" s="134" t="str">
        <x:v>train</x:v>
      </x:c>
      <x:c r="K168" s="135" t="str">
        <x:v>NO USAR prob_generador/score_generador COMO PREDICTOR</x:v>
      </x:c>
    </x:row>
    <x:row r="169" ht="34" customHeight="1">
      <x:c r="A169" s="133" t="str">
        <x:v>EST-0184</x:v>
      </x:c>
      <x:c r="B169" s="134" t="n">
        <x:v>4</x:v>
      </x:c>
      <x:c r="C169" s="134" t="str">
        <x:v>4D</x:v>
      </x:c>
      <x:c r="D169" s="134" t="str">
        <x:v>elegible_activo</x:v>
      </x:c>
      <x:c r="E169" s="134" t="str">
        <x:v>2026-12-15</x:v>
      </x:c>
      <x:c r="F169" s="134" t="n">
        <x:v>0</x:v>
      </x:c>
      <x:c r="G169" s="134" t="str">
        <x:v>permanece</x:v>
      </x:c>
      <x:c r="H169" s="143" t="n">
        <x:v>0.2933</x:v>
      </x:c>
      <x:c r="I169" s="143" t="n">
        <x:v>0.6771</x:v>
      </x:c>
      <x:c r="J169" s="134" t="str">
        <x:v>validation</x:v>
      </x:c>
      <x:c r="K169" s="135" t="str">
        <x:v>NO USAR prob_generador/score_generador COMO PREDICTOR</x:v>
      </x:c>
    </x:row>
    <x:row r="170" ht="34" customHeight="1">
      <x:c r="A170" s="133" t="str">
        <x:v>EST-0185</x:v>
      </x:c>
      <x:c r="B170" s="134" t="n">
        <x:v>5</x:v>
      </x:c>
      <x:c r="C170" s="134" t="str">
        <x:v>5A</x:v>
      </x:c>
      <x:c r="D170" s="134" t="str">
        <x:v>elegible_activo</x:v>
      </x:c>
      <x:c r="E170" s="134" t="str">
        <x:v>2026-12-15</x:v>
      </x:c>
      <x:c r="F170" s="134" t="n">
        <x:v>1</x:v>
      </x:c>
      <x:c r="G170" s="134" t="str">
        <x:v>deserta</x:v>
      </x:c>
      <x:c r="H170" s="143" t="n">
        <x:v>0.2401</x:v>
      </x:c>
      <x:c r="I170" s="143" t="n">
        <x:v>0.4043</x:v>
      </x:c>
      <x:c r="J170" s="134" t="str">
        <x:v>validation</x:v>
      </x:c>
      <x:c r="K170" s="135" t="str">
        <x:v>NO USAR prob_generador/score_generador COMO PREDICTOR</x:v>
      </x:c>
    </x:row>
    <x:row r="171" ht="34" customHeight="1">
      <x:c r="A171" s="133" t="str">
        <x:v>EST-0186</x:v>
      </x:c>
      <x:c r="B171" s="134" t="n">
        <x:v>5</x:v>
      </x:c>
      <x:c r="C171" s="134" t="str">
        <x:v>5A</x:v>
      </x:c>
      <x:c r="D171" s="134" t="str">
        <x:v>elegible_activo</x:v>
      </x:c>
      <x:c r="E171" s="134" t="str">
        <x:v>2026-12-15</x:v>
      </x:c>
      <x:c r="F171" s="134" t="n">
        <x:v>0</x:v>
      </x:c>
      <x:c r="G171" s="134" t="str">
        <x:v>permanece</x:v>
      </x:c>
      <x:c r="H171" s="143" t="n">
        <x:v>0.1489</x:v>
      </x:c>
      <x:c r="I171" s="143" t="n">
        <x:v>-0.1871</x:v>
      </x:c>
      <x:c r="J171" s="134" t="str">
        <x:v>validation</x:v>
      </x:c>
      <x:c r="K171" s="135" t="str">
        <x:v>NO USAR prob_generador/score_generador COMO PREDICTOR</x:v>
      </x:c>
    </x:row>
    <x:row r="172" ht="34" customHeight="1">
      <x:c r="A172" s="133" t="str">
        <x:v>EST-0187</x:v>
      </x:c>
      <x:c r="B172" s="134" t="n">
        <x:v>5</x:v>
      </x:c>
      <x:c r="C172" s="134" t="str">
        <x:v>5A</x:v>
      </x:c>
      <x:c r="D172" s="134" t="str">
        <x:v>elegible_activo</x:v>
      </x:c>
      <x:c r="E172" s="134" t="str">
        <x:v>2026-12-15</x:v>
      </x:c>
      <x:c r="F172" s="134" t="n">
        <x:v>0</x:v>
      </x:c>
      <x:c r="G172" s="134" t="str">
        <x:v>permanece</x:v>
      </x:c>
      <x:c r="H172" s="143" t="n">
        <x:v>0.095</x:v>
      </x:c>
      <x:c r="I172" s="143" t="n">
        <x:v>-0.6977</x:v>
      </x:c>
      <x:c r="J172" s="134" t="str">
        <x:v>validation</x:v>
      </x:c>
      <x:c r="K172" s="135" t="str">
        <x:v>NO USAR prob_generador/score_generador COMO PREDICTOR</x:v>
      </x:c>
    </x:row>
    <x:row r="173" ht="34" customHeight="1">
      <x:c r="A173" s="133" t="str">
        <x:v>EST-0188</x:v>
      </x:c>
      <x:c r="B173" s="134" t="n">
        <x:v>5</x:v>
      </x:c>
      <x:c r="C173" s="134" t="str">
        <x:v>5A</x:v>
      </x:c>
      <x:c r="D173" s="134" t="str">
        <x:v>elegible_activo</x:v>
      </x:c>
      <x:c r="E173" s="134" t="str">
        <x:v>2026-12-15</x:v>
      </x:c>
      <x:c r="F173" s="134" t="n">
        <x:v>0</x:v>
      </x:c>
      <x:c r="G173" s="134" t="str">
        <x:v>permanece</x:v>
      </x:c>
      <x:c r="H173" s="143" t="n">
        <x:v>0.3553</x:v>
      </x:c>
      <x:c r="I173" s="143" t="n">
        <x:v>0.9608</x:v>
      </x:c>
      <x:c r="J173" s="134" t="str">
        <x:v>train</x:v>
      </x:c>
      <x:c r="K173" s="135" t="str">
        <x:v>NO USAR prob_generador/score_generador COMO PREDICTOR</x:v>
      </x:c>
    </x:row>
    <x:row r="174" ht="34" customHeight="1">
      <x:c r="A174" s="133" t="str">
        <x:v>EST-0189</x:v>
      </x:c>
      <x:c r="B174" s="134" t="n">
        <x:v>5</x:v>
      </x:c>
      <x:c r="C174" s="134" t="str">
        <x:v>5A</x:v>
      </x:c>
      <x:c r="D174" s="134" t="str">
        <x:v>elegible_activo</x:v>
      </x:c>
      <x:c r="E174" s="134" t="str">
        <x:v>2026-12-15</x:v>
      </x:c>
      <x:c r="F174" s="134" t="n">
        <x:v>0</x:v>
      </x:c>
      <x:c r="G174" s="134" t="str">
        <x:v>permanece</x:v>
      </x:c>
      <x:c r="H174" s="143" t="n">
        <x:v>0.1212</x:v>
      </x:c>
      <x:c r="I174" s="143" t="n">
        <x:v>-0.4251</x:v>
      </x:c>
      <x:c r="J174" s="134" t="str">
        <x:v>train</x:v>
      </x:c>
      <x:c r="K174" s="135" t="str">
        <x:v>NO USAR prob_generador/score_generador COMO PREDICTOR</x:v>
      </x:c>
    </x:row>
    <x:row r="175" ht="34" customHeight="1">
      <x:c r="A175" s="133" t="str">
        <x:v>EST-0190</x:v>
      </x:c>
      <x:c r="B175" s="134" t="n">
        <x:v>5</x:v>
      </x:c>
      <x:c r="C175" s="134" t="str">
        <x:v>5A</x:v>
      </x:c>
      <x:c r="D175" s="134" t="str">
        <x:v>elegible_activo</x:v>
      </x:c>
      <x:c r="E175" s="134" t="str">
        <x:v>2026-12-15</x:v>
      </x:c>
      <x:c r="F175" s="134" t="n">
        <x:v>0</x:v>
      </x:c>
      <x:c r="G175" s="134" t="str">
        <x:v>permanece</x:v>
      </x:c>
      <x:c r="H175" s="143" t="n">
        <x:v>0.0244</x:v>
      </x:c>
      <x:c r="I175" s="143" t="n">
        <x:v>-2.1341</x:v>
      </x:c>
      <x:c r="J175" s="134" t="str">
        <x:v>validation</x:v>
      </x:c>
      <x:c r="K175" s="135" t="str">
        <x:v>NO USAR prob_generador/score_generador COMO PREDICTOR</x:v>
      </x:c>
    </x:row>
    <x:row r="176" ht="34" customHeight="1">
      <x:c r="A176" s="133" t="str">
        <x:v>EST-0191</x:v>
      </x:c>
      <x:c r="B176" s="134" t="n">
        <x:v>5</x:v>
      </x:c>
      <x:c r="C176" s="134" t="str">
        <x:v>5A</x:v>
      </x:c>
      <x:c r="D176" s="134" t="str">
        <x:v>elegible_activo</x:v>
      </x:c>
      <x:c r="E176" s="134" t="str">
        <x:v>2026-12-15</x:v>
      </x:c>
      <x:c r="F176" s="134" t="n">
        <x:v>0</x:v>
      </x:c>
      <x:c r="G176" s="134" t="str">
        <x:v>permanece</x:v>
      </x:c>
      <x:c r="H176" s="143" t="n">
        <x:v>0.2047</x:v>
      </x:c>
      <x:c r="I176" s="143" t="n">
        <x:v>0.1995</x:v>
      </x:c>
      <x:c r="J176" s="134" t="str">
        <x:v>train</x:v>
      </x:c>
      <x:c r="K176" s="135" t="str">
        <x:v>NO USAR prob_generador/score_generador COMO PREDICTOR</x:v>
      </x:c>
    </x:row>
    <x:row r="177" ht="34" customHeight="1">
      <x:c r="A177" s="133" t="str">
        <x:v>EST-0193</x:v>
      </x:c>
      <x:c r="B177" s="134" t="n">
        <x:v>5</x:v>
      </x:c>
      <x:c r="C177" s="134" t="str">
        <x:v>5A</x:v>
      </x:c>
      <x:c r="D177" s="134" t="str">
        <x:v>elegible_activo</x:v>
      </x:c>
      <x:c r="E177" s="134" t="str">
        <x:v>2026-12-15</x:v>
      </x:c>
      <x:c r="F177" s="134" t="n">
        <x:v>0</x:v>
      </x:c>
      <x:c r="G177" s="134" t="str">
        <x:v>permanece</x:v>
      </x:c>
      <x:c r="H177" s="143" t="n">
        <x:v>0.0849</x:v>
      </x:c>
      <x:c r="I177" s="143" t="n">
        <x:v>-0.8215</x:v>
      </x:c>
      <x:c r="J177" s="134" t="str">
        <x:v>holdout</x:v>
      </x:c>
      <x:c r="K177" s="135" t="str">
        <x:v>NO USAR prob_generador/score_generador COMO PREDICTOR</x:v>
      </x:c>
    </x:row>
    <x:row r="178" ht="34" customHeight="1">
      <x:c r="A178" s="133" t="str">
        <x:v>EST-0194</x:v>
      </x:c>
      <x:c r="B178" s="134" t="n">
        <x:v>5</x:v>
      </x:c>
      <x:c r="C178" s="134" t="str">
        <x:v>5A</x:v>
      </x:c>
      <x:c r="D178" s="134" t="str">
        <x:v>elegible_activo</x:v>
      </x:c>
      <x:c r="E178" s="134" t="str">
        <x:v>2026-12-15</x:v>
      </x:c>
      <x:c r="F178" s="134" t="n">
        <x:v>1</x:v>
      </x:c>
      <x:c r="G178" s="134" t="str">
        <x:v>deserta</x:v>
      </x:c>
      <x:c r="H178" s="143" t="n">
        <x:v>0.289</x:v>
      </x:c>
      <x:c r="I178" s="143" t="n">
        <x:v>0.6561</x:v>
      </x:c>
      <x:c r="J178" s="134" t="str">
        <x:v>train</x:v>
      </x:c>
      <x:c r="K178" s="135" t="str">
        <x:v>NO USAR prob_generador/score_generador COMO PREDICTOR</x:v>
      </x:c>
    </x:row>
    <x:row r="179" ht="34" customHeight="1">
      <x:c r="A179" s="133" t="str">
        <x:v>EST-0195</x:v>
      </x:c>
      <x:c r="B179" s="134" t="n">
        <x:v>5</x:v>
      </x:c>
      <x:c r="C179" s="134" t="str">
        <x:v>5A</x:v>
      </x:c>
      <x:c r="D179" s="134" t="str">
        <x:v>elegible_activo</x:v>
      </x:c>
      <x:c r="E179" s="134" t="str">
        <x:v>2026-12-15</x:v>
      </x:c>
      <x:c r="F179" s="134" t="n">
        <x:v>0</x:v>
      </x:c>
      <x:c r="G179" s="134" t="str">
        <x:v>permanece</x:v>
      </x:c>
      <x:c r="H179" s="143" t="n">
        <x:v>0.1948</x:v>
      </x:c>
      <x:c r="I179" s="143" t="n">
        <x:v>0.1373</x:v>
      </x:c>
      <x:c r="J179" s="134" t="str">
        <x:v>train</x:v>
      </x:c>
      <x:c r="K179" s="135" t="str">
        <x:v>NO USAR prob_generador/score_generador COMO PREDICTOR</x:v>
      </x:c>
    </x:row>
    <x:row r="180" ht="34" customHeight="1">
      <x:c r="A180" s="133" t="str">
        <x:v>EST-0196</x:v>
      </x:c>
      <x:c r="B180" s="134" t="n">
        <x:v>5</x:v>
      </x:c>
      <x:c r="C180" s="134" t="str">
        <x:v>5B</x:v>
      </x:c>
      <x:c r="D180" s="134" t="str">
        <x:v>elegible_activo</x:v>
      </x:c>
      <x:c r="E180" s="134" t="str">
        <x:v>2026-12-15</x:v>
      </x:c>
      <x:c r="F180" s="134" t="n">
        <x:v>0</x:v>
      </x:c>
      <x:c r="G180" s="134" t="str">
        <x:v>permanece</x:v>
      </x:c>
      <x:c r="H180" s="143" t="n">
        <x:v>0.0898</x:v>
      </x:c>
      <x:c r="I180" s="143" t="n">
        <x:v>-0.7591</x:v>
      </x:c>
      <x:c r="J180" s="134" t="str">
        <x:v>holdout</x:v>
      </x:c>
      <x:c r="K180" s="135" t="str">
        <x:v>NO USAR prob_generador/score_generador COMO PREDICTOR</x:v>
      </x:c>
    </x:row>
    <x:row r="181" ht="34" customHeight="1">
      <x:c r="A181" s="133" t="str">
        <x:v>EST-0197</x:v>
      </x:c>
      <x:c r="B181" s="134" t="n">
        <x:v>5</x:v>
      </x:c>
      <x:c r="C181" s="134" t="str">
        <x:v>5B</x:v>
      </x:c>
      <x:c r="D181" s="134" t="str">
        <x:v>elegible_activo</x:v>
      </x:c>
      <x:c r="E181" s="134" t="str">
        <x:v>2026-12-15</x:v>
      </x:c>
      <x:c r="F181" s="134" t="n">
        <x:v>0</x:v>
      </x:c>
      <x:c r="G181" s="134" t="str">
        <x:v>permanece</x:v>
      </x:c>
      <x:c r="H181" s="143" t="n">
        <x:v>0.1029</x:v>
      </x:c>
      <x:c r="I181" s="143" t="n">
        <x:v>-0.6095</x:v>
      </x:c>
      <x:c r="J181" s="134" t="str">
        <x:v>train</x:v>
      </x:c>
      <x:c r="K181" s="135" t="str">
        <x:v>NO USAR prob_generador/score_generador COMO PREDICTOR</x:v>
      </x:c>
    </x:row>
    <x:row r="182" ht="34" customHeight="1">
      <x:c r="A182" s="133" t="str">
        <x:v>EST-0198</x:v>
      </x:c>
      <x:c r="B182" s="134" t="n">
        <x:v>5</x:v>
      </x:c>
      <x:c r="C182" s="134" t="str">
        <x:v>5B</x:v>
      </x:c>
      <x:c r="D182" s="134" t="str">
        <x:v>elegible_activo</x:v>
      </x:c>
      <x:c r="E182" s="134" t="str">
        <x:v>2026-12-15</x:v>
      </x:c>
      <x:c r="F182" s="134" t="n">
        <x:v>0</x:v>
      </x:c>
      <x:c r="G182" s="134" t="str">
        <x:v>permanece</x:v>
      </x:c>
      <x:c r="H182" s="143" t="n">
        <x:v>0.5594</x:v>
      </x:c>
      <x:c r="I182" s="143" t="n">
        <x:v>1.795</x:v>
      </x:c>
      <x:c r="J182" s="134" t="str">
        <x:v>train</x:v>
      </x:c>
      <x:c r="K182" s="135" t="str">
        <x:v>NO USAR prob_generador/score_generador COMO PREDICTOR</x:v>
      </x:c>
    </x:row>
    <x:row r="183" ht="34" customHeight="1">
      <x:c r="A183" s="133" t="str">
        <x:v>EST-0199</x:v>
      </x:c>
      <x:c r="B183" s="134" t="n">
        <x:v>5</x:v>
      </x:c>
      <x:c r="C183" s="134" t="str">
        <x:v>5B</x:v>
      </x:c>
      <x:c r="D183" s="134" t="str">
        <x:v>elegible_activo</x:v>
      </x:c>
      <x:c r="E183" s="134" t="str">
        <x:v>2026-12-15</x:v>
      </x:c>
      <x:c r="F183" s="134" t="n">
        <x:v>0</x:v>
      </x:c>
      <x:c r="G183" s="134" t="str">
        <x:v>permanece</x:v>
      </x:c>
      <x:c r="H183" s="143" t="n">
        <x:v>0.1487</x:v>
      </x:c>
      <x:c r="I183" s="143" t="n">
        <x:v>-0.1882</x:v>
      </x:c>
      <x:c r="J183" s="134" t="str">
        <x:v>train</x:v>
      </x:c>
      <x:c r="K183" s="135" t="str">
        <x:v>NO USAR prob_generador/score_generador COMO PREDICTOR</x:v>
      </x:c>
    </x:row>
    <x:row r="184" ht="34" customHeight="1">
      <x:c r="A184" s="133" t="str">
        <x:v>EST-0200</x:v>
      </x:c>
      <x:c r="B184" s="134" t="n">
        <x:v>5</x:v>
      </x:c>
      <x:c r="C184" s="134" t="str">
        <x:v>5B</x:v>
      </x:c>
      <x:c r="D184" s="134" t="str">
        <x:v>elegible_activo</x:v>
      </x:c>
      <x:c r="E184" s="134" t="str">
        <x:v>2026-12-15</x:v>
      </x:c>
      <x:c r="F184" s="134" t="n">
        <x:v>0</x:v>
      </x:c>
      <x:c r="G184" s="134" t="str">
        <x:v>permanece</x:v>
      </x:c>
      <x:c r="H184" s="143" t="n">
        <x:v>0.0668</x:v>
      </x:c>
      <x:c r="I184" s="143" t="n">
        <x:v>-1.0811</x:v>
      </x:c>
      <x:c r="J184" s="134" t="str">
        <x:v>train</x:v>
      </x:c>
      <x:c r="K184" s="135" t="str">
        <x:v>NO USAR prob_generador/score_generador COMO PREDICTOR</x:v>
      </x:c>
    </x:row>
    <x:row r="185" ht="34" customHeight="1">
      <x:c r="A185" s="133" t="str">
        <x:v>EST-0201</x:v>
      </x:c>
      <x:c r="B185" s="134" t="n">
        <x:v>5</x:v>
      </x:c>
      <x:c r="C185" s="134" t="str">
        <x:v>5B</x:v>
      </x:c>
      <x:c r="D185" s="134" t="str">
        <x:v>elegible_activo</x:v>
      </x:c>
      <x:c r="E185" s="134" t="str">
        <x:v>2026-12-15</x:v>
      </x:c>
      <x:c r="F185" s="134" t="n">
        <x:v>1</x:v>
      </x:c>
      <x:c r="G185" s="134" t="str">
        <x:v>deserta</x:v>
      </x:c>
      <x:c r="H185" s="143" t="n">
        <x:v>0.204</x:v>
      </x:c>
      <x:c r="I185" s="143" t="n">
        <x:v>0.1951</x:v>
      </x:c>
      <x:c r="J185" s="134" t="str">
        <x:v>train</x:v>
      </x:c>
      <x:c r="K185" s="135" t="str">
        <x:v>NO USAR prob_generador/score_generador COMO PREDICTOR</x:v>
      </x:c>
    </x:row>
    <x:row r="186" ht="34" customHeight="1">
      <x:c r="A186" s="133" t="str">
        <x:v>EST-0202</x:v>
      </x:c>
      <x:c r="B186" s="134" t="n">
        <x:v>5</x:v>
      </x:c>
      <x:c r="C186" s="134" t="str">
        <x:v>5B</x:v>
      </x:c>
      <x:c r="D186" s="134" t="str">
        <x:v>elegible_activo</x:v>
      </x:c>
      <x:c r="E186" s="134" t="str">
        <x:v>2026-12-15</x:v>
      </x:c>
      <x:c r="F186" s="134" t="n">
        <x:v>0</x:v>
      </x:c>
      <x:c r="G186" s="134" t="str">
        <x:v>permanece</x:v>
      </x:c>
      <x:c r="H186" s="143" t="n">
        <x:v>0.008</x:v>
      </x:c>
      <x:c r="I186" s="143" t="n">
        <x:v>-3.2692</x:v>
      </x:c>
      <x:c r="J186" s="134" t="str">
        <x:v>holdout</x:v>
      </x:c>
      <x:c r="K186" s="135" t="str">
        <x:v>NO USAR prob_generador/score_generador COMO PREDICTOR</x:v>
      </x:c>
    </x:row>
    <x:row r="187" ht="34" customHeight="1">
      <x:c r="A187" s="133" t="str">
        <x:v>EST-0204</x:v>
      </x:c>
      <x:c r="B187" s="134" t="n">
        <x:v>5</x:v>
      </x:c>
      <x:c r="C187" s="134" t="str">
        <x:v>5B</x:v>
      </x:c>
      <x:c r="D187" s="134" t="str">
        <x:v>elegible_activo</x:v>
      </x:c>
      <x:c r="E187" s="134" t="str">
        <x:v>2026-12-15</x:v>
      </x:c>
      <x:c r="F187" s="134" t="n">
        <x:v>0</x:v>
      </x:c>
      <x:c r="G187" s="134" t="str">
        <x:v>permanece</x:v>
      </x:c>
      <x:c r="H187" s="143" t="n">
        <x:v>0.0757</x:v>
      </x:c>
      <x:c r="I187" s="143" t="n">
        <x:v>-0.9461</x:v>
      </x:c>
      <x:c r="J187" s="134" t="str">
        <x:v>holdout</x:v>
      </x:c>
      <x:c r="K187" s="135" t="str">
        <x:v>NO USAR prob_generador/score_generador COMO PREDICTOR</x:v>
      </x:c>
    </x:row>
    <x:row r="188" ht="34" customHeight="1">
      <x:c r="A188" s="133" t="str">
        <x:v>EST-0205</x:v>
      </x:c>
      <x:c r="B188" s="134" t="n">
        <x:v>5</x:v>
      </x:c>
      <x:c r="C188" s="134" t="str">
        <x:v>5B</x:v>
      </x:c>
      <x:c r="D188" s="134" t="str">
        <x:v>elegible_activo</x:v>
      </x:c>
      <x:c r="E188" s="134" t="str">
        <x:v>2026-12-15</x:v>
      </x:c>
      <x:c r="F188" s="134" t="n">
        <x:v>0</x:v>
      </x:c>
      <x:c r="G188" s="134" t="str">
        <x:v>permanece</x:v>
      </x:c>
      <x:c r="H188" s="143" t="n">
        <x:v>0.1715</x:v>
      </x:c>
      <x:c r="I188" s="143" t="n">
        <x:v>-0.0183</x:v>
      </x:c>
      <x:c r="J188" s="134" t="str">
        <x:v>train</x:v>
      </x:c>
      <x:c r="K188" s="135" t="str">
        <x:v>NO USAR prob_generador/score_generador COMO PREDICTOR</x:v>
      </x:c>
    </x:row>
    <x:row r="189" ht="34" customHeight="1">
      <x:c r="A189" s="133" t="str">
        <x:v>EST-0206</x:v>
      </x:c>
      <x:c r="B189" s="134" t="n">
        <x:v>5</x:v>
      </x:c>
      <x:c r="C189" s="134" t="str">
        <x:v>5B</x:v>
      </x:c>
      <x:c r="D189" s="134" t="str">
        <x:v>elegible_activo</x:v>
      </x:c>
      <x:c r="E189" s="134" t="str">
        <x:v>2026-12-15</x:v>
      </x:c>
      <x:c r="F189" s="134" t="n">
        <x:v>1</x:v>
      </x:c>
      <x:c r="G189" s="134" t="str">
        <x:v>deserta</x:v>
      </x:c>
      <x:c r="H189" s="143" t="n">
        <x:v>0.1963</x:v>
      </x:c>
      <x:c r="I189" s="143" t="n">
        <x:v>0.1468</x:v>
      </x:c>
      <x:c r="J189" s="134" t="str">
        <x:v>train</x:v>
      </x:c>
      <x:c r="K189" s="135" t="str">
        <x:v>NO USAR prob_generador/score_generador COMO PREDICTOR</x:v>
      </x:c>
    </x:row>
    <x:row r="190" ht="34" customHeight="1">
      <x:c r="A190" s="133" t="str">
        <x:v>EST-0207</x:v>
      </x:c>
      <x:c r="B190" s="134" t="n">
        <x:v>5</x:v>
      </x:c>
      <x:c r="C190" s="134" t="str">
        <x:v>5C</x:v>
      </x:c>
      <x:c r="D190" s="134" t="str">
        <x:v>elegible_activo</x:v>
      </x:c>
      <x:c r="E190" s="134" t="str">
        <x:v>2026-12-15</x:v>
      </x:c>
      <x:c r="F190" s="134" t="n">
        <x:v>0</x:v>
      </x:c>
      <x:c r="G190" s="134" t="str">
        <x:v>permanece</x:v>
      </x:c>
      <x:c r="H190" s="143" t="n">
        <x:v>0.6522</x:v>
      </x:c>
      <x:c r="I190" s="143" t="n">
        <x:v>2.1849</x:v>
      </x:c>
      <x:c r="J190" s="134" t="str">
        <x:v>train</x:v>
      </x:c>
      <x:c r="K190" s="135" t="str">
        <x:v>NO USAR prob_generador/score_generador COMO PREDICTOR</x:v>
      </x:c>
    </x:row>
    <x:row r="191" ht="34" customHeight="1">
      <x:c r="A191" s="133" t="str">
        <x:v>EST-0208</x:v>
      </x:c>
      <x:c r="B191" s="134" t="n">
        <x:v>5</x:v>
      </x:c>
      <x:c r="C191" s="134" t="str">
        <x:v>5C</x:v>
      </x:c>
      <x:c r="D191" s="134" t="str">
        <x:v>elegible_activo</x:v>
      </x:c>
      <x:c r="E191" s="134" t="str">
        <x:v>2026-12-15</x:v>
      </x:c>
      <x:c r="F191" s="134" t="n">
        <x:v>0</x:v>
      </x:c>
      <x:c r="G191" s="134" t="str">
        <x:v>permanece</x:v>
      </x:c>
      <x:c r="H191" s="143" t="n">
        <x:v>0.0268</x:v>
      </x:c>
      <x:c r="I191" s="143" t="n">
        <x:v>-2.0363</x:v>
      </x:c>
      <x:c r="J191" s="134" t="str">
        <x:v>holdout</x:v>
      </x:c>
      <x:c r="K191" s="135" t="str">
        <x:v>NO USAR prob_generador/score_generador COMO PREDICTOR</x:v>
      </x:c>
    </x:row>
    <x:row r="192" ht="34" customHeight="1">
      <x:c r="A192" s="133" t="str">
        <x:v>EST-0209</x:v>
      </x:c>
      <x:c r="B192" s="134" t="n">
        <x:v>5</x:v>
      </x:c>
      <x:c r="C192" s="134" t="str">
        <x:v>5C</x:v>
      </x:c>
      <x:c r="D192" s="134" t="str">
        <x:v>elegible_activo</x:v>
      </x:c>
      <x:c r="E192" s="134" t="str">
        <x:v>2026-12-15</x:v>
      </x:c>
      <x:c r="F192" s="134" t="n">
        <x:v>1</x:v>
      </x:c>
      <x:c r="G192" s="134" t="str">
        <x:v>deserta</x:v>
      </x:c>
      <x:c r="H192" s="143" t="n">
        <x:v>0.1017</x:v>
      </x:c>
      <x:c r="I192" s="143" t="n">
        <x:v>-0.6222</x:v>
      </x:c>
      <x:c r="J192" s="134" t="str">
        <x:v>train</x:v>
      </x:c>
      <x:c r="K192" s="135" t="str">
        <x:v>NO USAR prob_generador/score_generador COMO PREDICTOR</x:v>
      </x:c>
    </x:row>
    <x:row r="193" ht="34" customHeight="1">
      <x:c r="A193" s="133" t="str">
        <x:v>EST-0210</x:v>
      </x:c>
      <x:c r="B193" s="134" t="n">
        <x:v>5</x:v>
      </x:c>
      <x:c r="C193" s="134" t="str">
        <x:v>5C</x:v>
      </x:c>
      <x:c r="D193" s="134" t="str">
        <x:v>elegible_activo</x:v>
      </x:c>
      <x:c r="E193" s="134" t="str">
        <x:v>2026-12-15</x:v>
      </x:c>
      <x:c r="F193" s="134" t="n">
        <x:v>0</x:v>
      </x:c>
      <x:c r="G193" s="134" t="str">
        <x:v>permanece</x:v>
      </x:c>
      <x:c r="H193" s="143" t="n">
        <x:v>0.0737</x:v>
      </x:c>
      <x:c r="I193" s="143" t="n">
        <x:v>-0.9745</x:v>
      </x:c>
      <x:c r="J193" s="134" t="str">
        <x:v>train</x:v>
      </x:c>
      <x:c r="K193" s="135" t="str">
        <x:v>NO USAR prob_generador/score_generador COMO PREDICTOR</x:v>
      </x:c>
    </x:row>
    <x:row r="194" ht="34" customHeight="1">
      <x:c r="A194" s="133" t="str">
        <x:v>EST-0211</x:v>
      </x:c>
      <x:c r="B194" s="134" t="n">
        <x:v>5</x:v>
      </x:c>
      <x:c r="C194" s="134" t="str">
        <x:v>5C</x:v>
      </x:c>
      <x:c r="D194" s="134" t="str">
        <x:v>elegible_activo</x:v>
      </x:c>
      <x:c r="E194" s="134" t="str">
        <x:v>2026-12-15</x:v>
      </x:c>
      <x:c r="F194" s="134" t="n">
        <x:v>1</x:v>
      </x:c>
      <x:c r="G194" s="134" t="str">
        <x:v>deserta</x:v>
      </x:c>
      <x:c r="H194" s="143" t="n">
        <x:v>0.7207</x:v>
      </x:c>
      <x:c r="I194" s="143" t="n">
        <x:v>2.5044</x:v>
      </x:c>
      <x:c r="J194" s="134" t="str">
        <x:v>train</x:v>
      </x:c>
      <x:c r="K194" s="135" t="str">
        <x:v>NO USAR prob_generador/score_generador COMO PREDICTOR</x:v>
      </x:c>
    </x:row>
    <x:row r="195" ht="34" customHeight="1">
      <x:c r="A195" s="133" t="str">
        <x:v>EST-0212</x:v>
      </x:c>
      <x:c r="B195" s="134" t="n">
        <x:v>5</x:v>
      </x:c>
      <x:c r="C195" s="134" t="str">
        <x:v>5C</x:v>
      </x:c>
      <x:c r="D195" s="134" t="str">
        <x:v>elegible_activo</x:v>
      </x:c>
      <x:c r="E195" s="134" t="str">
        <x:v>2026-12-15</x:v>
      </x:c>
      <x:c r="F195" s="134" t="n">
        <x:v>0</x:v>
      </x:c>
      <x:c r="G195" s="134" t="str">
        <x:v>permanece</x:v>
      </x:c>
      <x:c r="H195" s="143" t="n">
        <x:v>0.4454</x:v>
      </x:c>
      <x:c r="I195" s="143" t="n">
        <x:v>1.3372</x:v>
      </x:c>
      <x:c r="J195" s="134" t="str">
        <x:v>train</x:v>
      </x:c>
      <x:c r="K195" s="135" t="str">
        <x:v>NO USAR prob_generador/score_generador COMO PREDICTOR</x:v>
      </x:c>
    </x:row>
    <x:row r="196" ht="34" customHeight="1">
      <x:c r="A196" s="133" t="str">
        <x:v>EST-0213</x:v>
      </x:c>
      <x:c r="B196" s="134" t="n">
        <x:v>5</x:v>
      </x:c>
      <x:c r="C196" s="134" t="str">
        <x:v>5C</x:v>
      </x:c>
      <x:c r="D196" s="134" t="str">
        <x:v>elegible_activo</x:v>
      </x:c>
      <x:c r="E196" s="134" t="str">
        <x:v>2026-12-15</x:v>
      </x:c>
      <x:c r="F196" s="134" t="n">
        <x:v>0</x:v>
      </x:c>
      <x:c r="G196" s="134" t="str">
        <x:v>permanece</x:v>
      </x:c>
      <x:c r="H196" s="143" t="n">
        <x:v>0.1998</x:v>
      </x:c>
      <x:c r="I196" s="143" t="n">
        <x:v>0.1689</x:v>
      </x:c>
      <x:c r="J196" s="134" t="str">
        <x:v>train</x:v>
      </x:c>
      <x:c r="K196" s="135" t="str">
        <x:v>NO USAR prob_generador/score_generador COMO PREDICTOR</x:v>
      </x:c>
    </x:row>
    <x:row r="197" ht="34" customHeight="1">
      <x:c r="A197" s="133" t="str">
        <x:v>EST-0215</x:v>
      </x:c>
      <x:c r="B197" s="134" t="n">
        <x:v>5</x:v>
      </x:c>
      <x:c r="C197" s="134" t="str">
        <x:v>5C</x:v>
      </x:c>
      <x:c r="D197" s="134" t="str">
        <x:v>elegible_activo</x:v>
      </x:c>
      <x:c r="E197" s="134" t="str">
        <x:v>2026-12-15</x:v>
      </x:c>
      <x:c r="F197" s="134" t="n">
        <x:v>0</x:v>
      </x:c>
      <x:c r="G197" s="134" t="str">
        <x:v>permanece</x:v>
      </x:c>
      <x:c r="H197" s="143" t="n">
        <x:v>0.0863</x:v>
      </x:c>
      <x:c r="I197" s="143" t="n">
        <x:v>-0.803</x:v>
      </x:c>
      <x:c r="J197" s="134" t="str">
        <x:v>train</x:v>
      </x:c>
      <x:c r="K197" s="135" t="str">
        <x:v>NO USAR prob_generador/score_generador COMO PREDICTOR</x:v>
      </x:c>
    </x:row>
    <x:row r="198" ht="34" customHeight="1">
      <x:c r="A198" s="133" t="str">
        <x:v>EST-0216</x:v>
      </x:c>
      <x:c r="B198" s="134" t="n">
        <x:v>5</x:v>
      </x:c>
      <x:c r="C198" s="134" t="str">
        <x:v>5C</x:v>
      </x:c>
      <x:c r="D198" s="134" t="str">
        <x:v>elegible_activo</x:v>
      </x:c>
      <x:c r="E198" s="134" t="str">
        <x:v>2026-12-15</x:v>
      </x:c>
      <x:c r="F198" s="134" t="n">
        <x:v>0</x:v>
      </x:c>
      <x:c r="G198" s="134" t="str">
        <x:v>permanece</x:v>
      </x:c>
      <x:c r="H198" s="143" t="n">
        <x:v>0.0586</x:v>
      </x:c>
      <x:c r="I198" s="143" t="n">
        <x:v>-1.2195</x:v>
      </x:c>
      <x:c r="J198" s="134" t="str">
        <x:v>train</x:v>
      </x:c>
      <x:c r="K198" s="135" t="str">
        <x:v>NO USAR prob_generador/score_generador COMO PREDICTOR</x:v>
      </x:c>
    </x:row>
    <x:row r="199" ht="34" customHeight="1">
      <x:c r="A199" s="133" t="str">
        <x:v>EST-0217</x:v>
      </x:c>
      <x:c r="B199" s="134" t="n">
        <x:v>5</x:v>
      </x:c>
      <x:c r="C199" s="134" t="str">
        <x:v>5C</x:v>
      </x:c>
      <x:c r="D199" s="134" t="str">
        <x:v>elegible_activo</x:v>
      </x:c>
      <x:c r="E199" s="134" t="str">
        <x:v>2026-12-15</x:v>
      </x:c>
      <x:c r="F199" s="134" t="n">
        <x:v>0</x:v>
      </x:c>
      <x:c r="G199" s="134" t="str">
        <x:v>permanece</x:v>
      </x:c>
      <x:c r="H199" s="143" t="n">
        <x:v>0.0356</x:v>
      </x:c>
      <x:c r="I199" s="143" t="n">
        <x:v>-1.7421</x:v>
      </x:c>
      <x:c r="J199" s="134" t="str">
        <x:v>train</x:v>
      </x:c>
      <x:c r="K199" s="135" t="str">
        <x:v>NO USAR prob_generador/score_generador COMO PREDICTOR</x:v>
      </x:c>
    </x:row>
    <x:row r="200" ht="34" customHeight="1">
      <x:c r="A200" s="133" t="str">
        <x:v>EST-0218</x:v>
      </x:c>
      <x:c r="B200" s="134" t="n">
        <x:v>6</x:v>
      </x:c>
      <x:c r="C200" s="134" t="str">
        <x:v>6A</x:v>
      </x:c>
      <x:c r="D200" s="134" t="str">
        <x:v>elegible_activo</x:v>
      </x:c>
      <x:c r="E200" s="134" t="str">
        <x:v>2026-12-15</x:v>
      </x:c>
      <x:c r="F200" s="134" t="n">
        <x:v>0</x:v>
      </x:c>
      <x:c r="G200" s="134" t="str">
        <x:v>permanece</x:v>
      </x:c>
      <x:c r="H200" s="143" t="n">
        <x:v>0.0808</x:v>
      </x:c>
      <x:c r="I200" s="143" t="n">
        <x:v>-0.875</x:v>
      </x:c>
      <x:c r="J200" s="134" t="str">
        <x:v>train</x:v>
      </x:c>
      <x:c r="K200" s="135" t="str">
        <x:v>NO USAR prob_generador/score_generador COMO PREDICTOR</x:v>
      </x:c>
    </x:row>
    <x:row r="201" ht="34" customHeight="1">
      <x:c r="A201" s="133" t="str">
        <x:v>EST-0219</x:v>
      </x:c>
      <x:c r="B201" s="134" t="n">
        <x:v>6</x:v>
      </x:c>
      <x:c r="C201" s="134" t="str">
        <x:v>6A</x:v>
      </x:c>
      <x:c r="D201" s="134" t="str">
        <x:v>elegible_activo</x:v>
      </x:c>
      <x:c r="E201" s="134" t="str">
        <x:v>2026-12-15</x:v>
      </x:c>
      <x:c r="F201" s="134" t="n">
        <x:v>0</x:v>
      </x:c>
      <x:c r="G201" s="134" t="str">
        <x:v>permanece</x:v>
      </x:c>
      <x:c r="H201" s="143" t="n">
        <x:v>0.0883</x:v>
      </x:c>
      <x:c r="I201" s="143" t="n">
        <x:v>-0.778</x:v>
      </x:c>
      <x:c r="J201" s="134" t="str">
        <x:v>train</x:v>
      </x:c>
      <x:c r="K201" s="135" t="str">
        <x:v>NO USAR prob_generador/score_generador COMO PREDICTOR</x:v>
      </x:c>
    </x:row>
    <x:row r="202" ht="34" customHeight="1">
      <x:c r="A202" s="133" t="str">
        <x:v>EST-0220</x:v>
      </x:c>
      <x:c r="B202" s="134" t="n">
        <x:v>6</x:v>
      </x:c>
      <x:c r="C202" s="134" t="str">
        <x:v>6A</x:v>
      </x:c>
      <x:c r="D202" s="134" t="str">
        <x:v>elegible_activo</x:v>
      </x:c>
      <x:c r="E202" s="134" t="str">
        <x:v>2026-12-15</x:v>
      </x:c>
      <x:c r="F202" s="134" t="n">
        <x:v>1</x:v>
      </x:c>
      <x:c r="G202" s="134" t="str">
        <x:v>deserta</x:v>
      </x:c>
      <x:c r="H202" s="143" t="n">
        <x:v>0.5687</x:v>
      </x:c>
      <x:c r="I202" s="143" t="n">
        <x:v>1.8331</x:v>
      </x:c>
      <x:c r="J202" s="134" t="str">
        <x:v>train</x:v>
      </x:c>
      <x:c r="K202" s="135" t="str">
        <x:v>NO USAR prob_generador/score_generador COMO PREDICTOR</x:v>
      </x:c>
    </x:row>
    <x:row r="203" ht="34" customHeight="1">
      <x:c r="A203" s="133" t="str">
        <x:v>EST-0221</x:v>
      </x:c>
      <x:c r="B203" s="134" t="n">
        <x:v>6</x:v>
      </x:c>
      <x:c r="C203" s="134" t="str">
        <x:v>6A</x:v>
      </x:c>
      <x:c r="D203" s="134" t="str">
        <x:v>elegible_activo</x:v>
      </x:c>
      <x:c r="E203" s="134" t="str">
        <x:v>2026-12-15</x:v>
      </x:c>
      <x:c r="F203" s="134" t="n">
        <x:v>0</x:v>
      </x:c>
      <x:c r="G203" s="134" t="str">
        <x:v>permanece</x:v>
      </x:c>
      <x:c r="H203" s="143" t="n">
        <x:v>0.0429</x:v>
      </x:c>
      <x:c r="I203" s="143" t="n">
        <x:v>-1.5493</x:v>
      </x:c>
      <x:c r="J203" s="134" t="str">
        <x:v>train</x:v>
      </x:c>
      <x:c r="K203" s="135" t="str">
        <x:v>NO USAR prob_generador/score_generador COMO PREDICTOR</x:v>
      </x:c>
    </x:row>
    <x:row r="204" ht="34" customHeight="1">
      <x:c r="A204" s="133" t="str">
        <x:v>EST-0222</x:v>
      </x:c>
      <x:c r="B204" s="134" t="n">
        <x:v>6</x:v>
      </x:c>
      <x:c r="C204" s="134" t="str">
        <x:v>6A</x:v>
      </x:c>
      <x:c r="D204" s="134" t="str">
        <x:v>elegible_activo</x:v>
      </x:c>
      <x:c r="E204" s="134" t="str">
        <x:v>2026-12-15</x:v>
      </x:c>
      <x:c r="F204" s="134" t="n">
        <x:v>0</x:v>
      </x:c>
      <x:c r="G204" s="134" t="str">
        <x:v>permanece</x:v>
      </x:c>
      <x:c r="H204" s="143" t="n">
        <x:v>0.1286</x:v>
      </x:c>
      <x:c r="I204" s="143" t="n">
        <x:v>-0.3573</x:v>
      </x:c>
      <x:c r="J204" s="134" t="str">
        <x:v>train</x:v>
      </x:c>
      <x:c r="K204" s="135" t="str">
        <x:v>NO USAR prob_generador/score_generador COMO PREDICTOR</x:v>
      </x:c>
    </x:row>
    <x:row r="205" ht="34" customHeight="1">
      <x:c r="A205" s="133" t="str">
        <x:v>EST-0223</x:v>
      </x:c>
      <x:c r="B205" s="134" t="n">
        <x:v>6</x:v>
      </x:c>
      <x:c r="C205" s="134" t="str">
        <x:v>6A</x:v>
      </x:c>
      <x:c r="D205" s="134" t="str">
        <x:v>elegible_activo</x:v>
      </x:c>
      <x:c r="E205" s="134" t="str">
        <x:v>2026-12-15</x:v>
      </x:c>
      <x:c r="F205" s="134" t="n">
        <x:v>0</x:v>
      </x:c>
      <x:c r="G205" s="134" t="str">
        <x:v>permanece</x:v>
      </x:c>
      <x:c r="H205" s="143" t="n">
        <x:v>0.041</x:v>
      </x:c>
      <x:c r="I205" s="143" t="n">
        <x:v>-1.5968</x:v>
      </x:c>
      <x:c r="J205" s="134" t="str">
        <x:v>train</x:v>
      </x:c>
      <x:c r="K205" s="135" t="str">
        <x:v>NO USAR prob_generador/score_generador COMO PREDICTOR</x:v>
      </x:c>
    </x:row>
    <x:row r="206" ht="34" customHeight="1">
      <x:c r="A206" s="133" t="str">
        <x:v>EST-0224</x:v>
      </x:c>
      <x:c r="B206" s="134" t="n">
        <x:v>6</x:v>
      </x:c>
      <x:c r="C206" s="134" t="str">
        <x:v>6A</x:v>
      </x:c>
      <x:c r="D206" s="134" t="str">
        <x:v>elegible_activo</x:v>
      </x:c>
      <x:c r="E206" s="134" t="str">
        <x:v>2026-12-15</x:v>
      </x:c>
      <x:c r="F206" s="134" t="n">
        <x:v>0</x:v>
      </x:c>
      <x:c r="G206" s="134" t="str">
        <x:v>permanece</x:v>
      </x:c>
      <x:c r="H206" s="143" t="n">
        <x:v>0.0786</x:v>
      </x:c>
      <x:c r="I206" s="143" t="n">
        <x:v>-0.9057</x:v>
      </x:c>
      <x:c r="J206" s="134" t="str">
        <x:v>train</x:v>
      </x:c>
      <x:c r="K206" s="135" t="str">
        <x:v>NO USAR prob_generador/score_generador COMO PREDICTOR</x:v>
      </x:c>
    </x:row>
    <x:row r="207" ht="34" customHeight="1">
      <x:c r="A207" s="133" t="str">
        <x:v>EST-0226</x:v>
      </x:c>
      <x:c r="B207" s="134" t="n">
        <x:v>6</x:v>
      </x:c>
      <x:c r="C207" s="134" t="str">
        <x:v>6A</x:v>
      </x:c>
      <x:c r="D207" s="134" t="str">
        <x:v>elegible_activo</x:v>
      </x:c>
      <x:c r="E207" s="134" t="str">
        <x:v>2026-12-15</x:v>
      </x:c>
      <x:c r="F207" s="134" t="n">
        <x:v>0</x:v>
      </x:c>
      <x:c r="G207" s="134" t="str">
        <x:v>permanece</x:v>
      </x:c>
      <x:c r="H207" s="143" t="n">
        <x:v>0.2599</x:v>
      </x:c>
      <x:c r="I207" s="143" t="n">
        <x:v>0.5098</x:v>
      </x:c>
      <x:c r="J207" s="134" t="str">
        <x:v>validation</x:v>
      </x:c>
      <x:c r="K207" s="135" t="str">
        <x:v>NO USAR prob_generador/score_generador COMO PREDICTOR</x:v>
      </x:c>
    </x:row>
    <x:row r="208" ht="34" customHeight="1">
      <x:c r="A208" s="133" t="str">
        <x:v>EST-0227</x:v>
      </x:c>
      <x:c r="B208" s="134" t="n">
        <x:v>6</x:v>
      </x:c>
      <x:c r="C208" s="134" t="str">
        <x:v>6A</x:v>
      </x:c>
      <x:c r="D208" s="134" t="str">
        <x:v>elegible_activo</x:v>
      </x:c>
      <x:c r="E208" s="134" t="str">
        <x:v>2026-12-15</x:v>
      </x:c>
      <x:c r="F208" s="134" t="n">
        <x:v>0</x:v>
      </x:c>
      <x:c r="G208" s="134" t="str">
        <x:v>permanece</x:v>
      </x:c>
      <x:c r="H208" s="143" t="n">
        <x:v>0.1619</x:v>
      </x:c>
      <x:c r="I208" s="143" t="n">
        <x:v>-0.0877</x:v>
      </x:c>
      <x:c r="J208" s="134" t="str">
        <x:v>holdout</x:v>
      </x:c>
      <x:c r="K208" s="135" t="str">
        <x:v>NO USAR prob_generador/score_generador COMO PREDICTOR</x:v>
      </x:c>
    </x:row>
    <x:row r="209" ht="34" customHeight="1">
      <x:c r="A209" s="133" t="str">
        <x:v>EST-0228</x:v>
      </x:c>
      <x:c r="B209" s="134" t="n">
        <x:v>6</x:v>
      </x:c>
      <x:c r="C209" s="134" t="str">
        <x:v>6A</x:v>
      </x:c>
      <x:c r="D209" s="134" t="str">
        <x:v>elegible_activo</x:v>
      </x:c>
      <x:c r="E209" s="134" t="str">
        <x:v>2026-12-15</x:v>
      </x:c>
      <x:c r="F209" s="134" t="n">
        <x:v>0</x:v>
      </x:c>
      <x:c r="G209" s="134" t="str">
        <x:v>permanece</x:v>
      </x:c>
      <x:c r="H209" s="143" t="n">
        <x:v>0.264</x:v>
      </x:c>
      <x:c r="I209" s="143" t="n">
        <x:v>0.5313</x:v>
      </x:c>
      <x:c r="J209" s="134" t="str">
        <x:v>train</x:v>
      </x:c>
      <x:c r="K209" s="135" t="str">
        <x:v>NO USAR prob_generador/score_generador COMO PREDICTOR</x:v>
      </x:c>
    </x:row>
    <x:row r="210" ht="34" customHeight="1">
      <x:c r="A210" s="133" t="str">
        <x:v>EST-0229</x:v>
      </x:c>
      <x:c r="B210" s="134" t="n">
        <x:v>6</x:v>
      </x:c>
      <x:c r="C210" s="134" t="str">
        <x:v>6B</x:v>
      </x:c>
      <x:c r="D210" s="134" t="str">
        <x:v>elegible_activo</x:v>
      </x:c>
      <x:c r="E210" s="134" t="str">
        <x:v>2026-12-15</x:v>
      </x:c>
      <x:c r="F210" s="134" t="n">
        <x:v>0</x:v>
      </x:c>
      <x:c r="G210" s="134" t="str">
        <x:v>permanece</x:v>
      </x:c>
      <x:c r="H210" s="143" t="n">
        <x:v>0.139</x:v>
      </x:c>
      <x:c r="I210" s="143" t="n">
        <x:v>-0.2675</x:v>
      </x:c>
      <x:c r="J210" s="134" t="str">
        <x:v>train</x:v>
      </x:c>
      <x:c r="K210" s="135" t="str">
        <x:v>NO USAR prob_generador/score_generador COMO PREDICTOR</x:v>
      </x:c>
    </x:row>
    <x:row r="211" ht="34" customHeight="1">
      <x:c r="A211" s="133" t="str">
        <x:v>EST-0230</x:v>
      </x:c>
      <x:c r="B211" s="134" t="n">
        <x:v>6</x:v>
      </x:c>
      <x:c r="C211" s="134" t="str">
        <x:v>6B</x:v>
      </x:c>
      <x:c r="D211" s="134" t="str">
        <x:v>elegible_activo</x:v>
      </x:c>
      <x:c r="E211" s="134" t="str">
        <x:v>2026-12-15</x:v>
      </x:c>
      <x:c r="F211" s="134" t="n">
        <x:v>0</x:v>
      </x:c>
      <x:c r="G211" s="134" t="str">
        <x:v>permanece</x:v>
      </x:c>
      <x:c r="H211" s="143" t="n">
        <x:v>0.1407</x:v>
      </x:c>
      <x:c r="I211" s="143" t="n">
        <x:v>-0.2529</x:v>
      </x:c>
      <x:c r="J211" s="134" t="str">
        <x:v>train</x:v>
      </x:c>
      <x:c r="K211" s="135" t="str">
        <x:v>NO USAR prob_generador/score_generador COMO PREDICTOR</x:v>
      </x:c>
    </x:row>
    <x:row r="212" ht="34" customHeight="1">
      <x:c r="A212" s="133" t="str">
        <x:v>EST-0231</x:v>
      </x:c>
      <x:c r="B212" s="134" t="n">
        <x:v>6</x:v>
      </x:c>
      <x:c r="C212" s="134" t="str">
        <x:v>6B</x:v>
      </x:c>
      <x:c r="D212" s="134" t="str">
        <x:v>elegible_activo</x:v>
      </x:c>
      <x:c r="E212" s="134" t="str">
        <x:v>2026-12-15</x:v>
      </x:c>
      <x:c r="F212" s="134" t="n">
        <x:v>0</x:v>
      </x:c>
      <x:c r="G212" s="134" t="str">
        <x:v>permanece</x:v>
      </x:c>
      <x:c r="H212" s="143" t="n">
        <x:v>0.0576</x:v>
      </x:c>
      <x:c r="I212" s="143" t="n">
        <x:v>-1.2387</x:v>
      </x:c>
      <x:c r="J212" s="134" t="str">
        <x:v>train</x:v>
      </x:c>
      <x:c r="K212" s="135" t="str">
        <x:v>NO USAR prob_generador/score_generador COMO PREDICTOR</x:v>
      </x:c>
    </x:row>
    <x:row r="213" ht="34" customHeight="1">
      <x:c r="A213" s="133" t="str">
        <x:v>EST-0232</x:v>
      </x:c>
      <x:c r="B213" s="134" t="n">
        <x:v>6</x:v>
      </x:c>
      <x:c r="C213" s="134" t="str">
        <x:v>6B</x:v>
      </x:c>
      <x:c r="D213" s="134" t="str">
        <x:v>elegible_activo</x:v>
      </x:c>
      <x:c r="E213" s="134" t="str">
        <x:v>2026-12-15</x:v>
      </x:c>
      <x:c r="F213" s="134" t="n">
        <x:v>0</x:v>
      </x:c>
      <x:c r="G213" s="134" t="str">
        <x:v>permanece</x:v>
      </x:c>
      <x:c r="H213" s="143" t="n">
        <x:v>0.1454</x:v>
      </x:c>
      <x:c r="I213" s="143" t="n">
        <x:v>-0.2145</x:v>
      </x:c>
      <x:c r="J213" s="134" t="str">
        <x:v>train</x:v>
      </x:c>
      <x:c r="K213" s="135" t="str">
        <x:v>NO USAR prob_generador/score_generador COMO PREDICTOR</x:v>
      </x:c>
    </x:row>
    <x:row r="214" ht="34" customHeight="1">
      <x:c r="A214" s="133" t="str">
        <x:v>EST-0233</x:v>
      </x:c>
      <x:c r="B214" s="134" t="n">
        <x:v>6</x:v>
      </x:c>
      <x:c r="C214" s="134" t="str">
        <x:v>6B</x:v>
      </x:c>
      <x:c r="D214" s="134" t="str">
        <x:v>elegible_activo</x:v>
      </x:c>
      <x:c r="E214" s="134" t="str">
        <x:v>2026-12-15</x:v>
      </x:c>
      <x:c r="F214" s="134" t="n">
        <x:v>0</x:v>
      </x:c>
      <x:c r="G214" s="134" t="str">
        <x:v>permanece</x:v>
      </x:c>
      <x:c r="H214" s="143" t="n">
        <x:v>0.1022</x:v>
      </x:c>
      <x:c r="I214" s="143" t="n">
        <x:v>-0.6168</x:v>
      </x:c>
      <x:c r="J214" s="134" t="str">
        <x:v>train</x:v>
      </x:c>
      <x:c r="K214" s="135" t="str">
        <x:v>NO USAR prob_generador/score_generador COMO PREDICTOR</x:v>
      </x:c>
    </x:row>
    <x:row r="215" ht="34" customHeight="1">
      <x:c r="A215" s="133" t="str">
        <x:v>EST-0234</x:v>
      </x:c>
      <x:c r="B215" s="134" t="n">
        <x:v>6</x:v>
      </x:c>
      <x:c r="C215" s="134" t="str">
        <x:v>6B</x:v>
      </x:c>
      <x:c r="D215" s="134" t="str">
        <x:v>elegible_activo</x:v>
      </x:c>
      <x:c r="E215" s="134" t="str">
        <x:v>2026-12-15</x:v>
      </x:c>
      <x:c r="F215" s="134" t="n">
        <x:v>0</x:v>
      </x:c>
      <x:c r="G215" s="134" t="str">
        <x:v>permanece</x:v>
      </x:c>
      <x:c r="H215" s="143" t="n">
        <x:v>0.2032</x:v>
      </x:c>
      <x:c r="I215" s="143" t="n">
        <x:v>0.1902</x:v>
      </x:c>
      <x:c r="J215" s="134" t="str">
        <x:v>train</x:v>
      </x:c>
      <x:c r="K215" s="135" t="str">
        <x:v>NO USAR prob_generador/score_generador COMO PREDICTOR</x:v>
      </x:c>
    </x:row>
    <x:row r="216" ht="34" customHeight="1">
      <x:c r="A216" s="133" t="str">
        <x:v>EST-0235</x:v>
      </x:c>
      <x:c r="B216" s="134" t="n">
        <x:v>6</x:v>
      </x:c>
      <x:c r="C216" s="134" t="str">
        <x:v>6B</x:v>
      </x:c>
      <x:c r="D216" s="134" t="str">
        <x:v>elegible_activo</x:v>
      </x:c>
      <x:c r="E216" s="134" t="str">
        <x:v>2026-12-15</x:v>
      </x:c>
      <x:c r="F216" s="134" t="n">
        <x:v>0</x:v>
      </x:c>
      <x:c r="G216" s="134" t="str">
        <x:v>permanece</x:v>
      </x:c>
      <x:c r="H216" s="143" t="n">
        <x:v>0.0848</x:v>
      </x:c>
      <x:c r="I216" s="143" t="n">
        <x:v>-0.8223</x:v>
      </x:c>
      <x:c r="J216" s="134" t="str">
        <x:v>train</x:v>
      </x:c>
      <x:c r="K216" s="135" t="str">
        <x:v>NO USAR prob_generador/score_generador COMO PREDICTOR</x:v>
      </x:c>
    </x:row>
    <x:row r="217" ht="34" customHeight="1">
      <x:c r="A217" s="133" t="str">
        <x:v>EST-0237</x:v>
      </x:c>
      <x:c r="B217" s="134" t="n">
        <x:v>6</x:v>
      </x:c>
      <x:c r="C217" s="134" t="str">
        <x:v>6B</x:v>
      </x:c>
      <x:c r="D217" s="134" t="str">
        <x:v>elegible_activo</x:v>
      </x:c>
      <x:c r="E217" s="134" t="str">
        <x:v>2026-12-15</x:v>
      </x:c>
      <x:c r="F217" s="134" t="n">
        <x:v>0</x:v>
      </x:c>
      <x:c r="G217" s="134" t="str">
        <x:v>permanece</x:v>
      </x:c>
      <x:c r="H217" s="143" t="n">
        <x:v>0.0362</x:v>
      </x:c>
      <x:c r="I217" s="143" t="n">
        <x:v>-1.7254</x:v>
      </x:c>
      <x:c r="J217" s="134" t="str">
        <x:v>train</x:v>
      </x:c>
      <x:c r="K217" s="135" t="str">
        <x:v>NO USAR prob_generador/score_generador COMO PREDICTOR</x:v>
      </x:c>
    </x:row>
    <x:row r="218" ht="34" customHeight="1">
      <x:c r="A218" s="133" t="str">
        <x:v>EST-0238</x:v>
      </x:c>
      <x:c r="B218" s="134" t="n">
        <x:v>6</x:v>
      </x:c>
      <x:c r="C218" s="134" t="str">
        <x:v>6B</x:v>
      </x:c>
      <x:c r="D218" s="134" t="str">
        <x:v>elegible_activo</x:v>
      </x:c>
      <x:c r="E218" s="134" t="str">
        <x:v>2026-12-15</x:v>
      </x:c>
      <x:c r="F218" s="134" t="n">
        <x:v>0</x:v>
      </x:c>
      <x:c r="G218" s="134" t="str">
        <x:v>permanece</x:v>
      </x:c>
      <x:c r="H218" s="143" t="n">
        <x:v>0.0388</x:v>
      </x:c>
      <x:c r="I218" s="143" t="n">
        <x:v>-1.6541</x:v>
      </x:c>
      <x:c r="J218" s="134" t="str">
        <x:v>train</x:v>
      </x:c>
      <x:c r="K218" s="135" t="str">
        <x:v>NO USAR prob_generador/score_generador COMO PREDICTOR</x:v>
      </x:c>
    </x:row>
    <x:row r="219" ht="34" customHeight="1">
      <x:c r="A219" s="133" t="str">
        <x:v>EST-0239</x:v>
      </x:c>
      <x:c r="B219" s="134" t="n">
        <x:v>6</x:v>
      </x:c>
      <x:c r="C219" s="134" t="str">
        <x:v>6B</x:v>
      </x:c>
      <x:c r="D219" s="134" t="str">
        <x:v>elegible_activo</x:v>
      </x:c>
      <x:c r="E219" s="134" t="str">
        <x:v>2026-12-15</x:v>
      </x:c>
      <x:c r="F219" s="134" t="n">
        <x:v>0</x:v>
      </x:c>
      <x:c r="G219" s="134" t="str">
        <x:v>permanece</x:v>
      </x:c>
      <x:c r="H219" s="143" t="n">
        <x:v>0.3337</x:v>
      </x:c>
      <x:c r="I219" s="143" t="n">
        <x:v>0.8649</x:v>
      </x:c>
      <x:c r="J219" s="134" t="str">
        <x:v>validation</x:v>
      </x:c>
      <x:c r="K219" s="135" t="str">
        <x:v>NO USAR prob_generador/score_generador COMO PREDICTOR</x:v>
      </x:c>
    </x:row>
    <x:row r="220" ht="34" customHeight="1">
      <x:c r="A220" s="133" t="str">
        <x:v>EST-0240</x:v>
      </x:c>
      <x:c r="B220" s="134" t="n">
        <x:v>6</x:v>
      </x:c>
      <x:c r="C220" s="134" t="str">
        <x:v>6C</x:v>
      </x:c>
      <x:c r="D220" s="134" t="str">
        <x:v>elegible_activo</x:v>
      </x:c>
      <x:c r="E220" s="134" t="str">
        <x:v>2026-12-15</x:v>
      </x:c>
      <x:c r="F220" s="134" t="n">
        <x:v>1</x:v>
      </x:c>
      <x:c r="G220" s="134" t="str">
        <x:v>deserta</x:v>
      </x:c>
      <x:c r="H220" s="143" t="n">
        <x:v>0.3714</x:v>
      </x:c>
      <x:c r="I220" s="143" t="n">
        <x:v>1.0303</x:v>
      </x:c>
      <x:c r="J220" s="134" t="str">
        <x:v>train</x:v>
      </x:c>
      <x:c r="K220" s="135" t="str">
        <x:v>NO USAR prob_generador/score_generador COMO PREDICTOR</x:v>
      </x:c>
    </x:row>
    <x:row r="221" ht="34" customHeight="1">
      <x:c r="A221" s="133" t="str">
        <x:v>EST-0241</x:v>
      </x:c>
      <x:c r="B221" s="134" t="n">
        <x:v>6</x:v>
      </x:c>
      <x:c r="C221" s="134" t="str">
        <x:v>6C</x:v>
      </x:c>
      <x:c r="D221" s="134" t="str">
        <x:v>elegible_activo</x:v>
      </x:c>
      <x:c r="E221" s="134" t="str">
        <x:v>2026-12-15</x:v>
      </x:c>
      <x:c r="F221" s="134" t="n">
        <x:v>0</x:v>
      </x:c>
      <x:c r="G221" s="134" t="str">
        <x:v>permanece</x:v>
      </x:c>
      <x:c r="H221" s="143" t="n">
        <x:v>0.0384</x:v>
      </x:c>
      <x:c r="I221" s="143" t="n">
        <x:v>-1.6651</x:v>
      </x:c>
      <x:c r="J221" s="134" t="str">
        <x:v>train</x:v>
      </x:c>
      <x:c r="K221" s="135" t="str">
        <x:v>NO USAR prob_generador/score_generador COMO PREDICTOR</x:v>
      </x:c>
    </x:row>
    <x:row r="222" ht="34" customHeight="1">
      <x:c r="A222" s="133" t="str">
        <x:v>EST-0242</x:v>
      </x:c>
      <x:c r="B222" s="134" t="n">
        <x:v>6</x:v>
      </x:c>
      <x:c r="C222" s="134" t="str">
        <x:v>6C</x:v>
      </x:c>
      <x:c r="D222" s="134" t="str">
        <x:v>elegible_activo</x:v>
      </x:c>
      <x:c r="E222" s="134" t="str">
        <x:v>2026-12-15</x:v>
      </x:c>
      <x:c r="F222" s="134" t="n">
        <x:v>0</x:v>
      </x:c>
      <x:c r="G222" s="134" t="str">
        <x:v>permanece</x:v>
      </x:c>
      <x:c r="H222" s="143" t="n">
        <x:v>0.2286</x:v>
      </x:c>
      <x:c r="I222" s="143" t="n">
        <x:v>0.3402</x:v>
      </x:c>
      <x:c r="J222" s="134" t="str">
        <x:v>train</x:v>
      </x:c>
      <x:c r="K222" s="135" t="str">
        <x:v>NO USAR prob_generador/score_generador COMO PREDICTOR</x:v>
      </x:c>
    </x:row>
    <x:row r="223" ht="34" customHeight="1">
      <x:c r="A223" s="133" t="str">
        <x:v>EST-0243</x:v>
      </x:c>
      <x:c r="B223" s="134" t="n">
        <x:v>6</x:v>
      </x:c>
      <x:c r="C223" s="134" t="str">
        <x:v>6C</x:v>
      </x:c>
      <x:c r="D223" s="134" t="str">
        <x:v>elegible_activo</x:v>
      </x:c>
      <x:c r="E223" s="134" t="str">
        <x:v>2026-12-15</x:v>
      </x:c>
      <x:c r="F223" s="134" t="n">
        <x:v>1</x:v>
      </x:c>
      <x:c r="G223" s="134" t="str">
        <x:v>deserta</x:v>
      </x:c>
      <x:c r="H223" s="143" t="n">
        <x:v>0.4246</x:v>
      </x:c>
      <x:c r="I223" s="143" t="n">
        <x:v>1.2524</x:v>
      </x:c>
      <x:c r="J223" s="134" t="str">
        <x:v>train</x:v>
      </x:c>
      <x:c r="K223" s="135" t="str">
        <x:v>NO USAR prob_generador/score_generador COMO PREDICTOR</x:v>
      </x:c>
    </x:row>
    <x:row r="224" ht="34" customHeight="1">
      <x:c r="A224" s="133" t="str">
        <x:v>EST-0244</x:v>
      </x:c>
      <x:c r="B224" s="134" t="n">
        <x:v>6</x:v>
      </x:c>
      <x:c r="C224" s="134" t="str">
        <x:v>6C</x:v>
      </x:c>
      <x:c r="D224" s="134" t="str">
        <x:v>elegible_activo</x:v>
      </x:c>
      <x:c r="E224" s="134" t="str">
        <x:v>2026-12-15</x:v>
      </x:c>
      <x:c r="F224" s="134" t="n">
        <x:v>0</x:v>
      </x:c>
      <x:c r="G224" s="134" t="str">
        <x:v>permanece</x:v>
      </x:c>
      <x:c r="H224" s="143" t="n">
        <x:v>0.0364</x:v>
      </x:c>
      <x:c r="I224" s="143" t="n">
        <x:v>-1.7186</x:v>
      </x:c>
      <x:c r="J224" s="134" t="str">
        <x:v>train</x:v>
      </x:c>
      <x:c r="K224" s="135" t="str">
        <x:v>NO USAR prob_generador/score_generador COMO PREDICTOR</x:v>
      </x:c>
    </x:row>
    <x:row r="225" ht="34" customHeight="1">
      <x:c r="A225" s="133" t="str">
        <x:v>EST-0245</x:v>
      </x:c>
      <x:c r="B225" s="134" t="n">
        <x:v>6</x:v>
      </x:c>
      <x:c r="C225" s="134" t="str">
        <x:v>6C</x:v>
      </x:c>
      <x:c r="D225" s="134" t="str">
        <x:v>elegible_activo</x:v>
      </x:c>
      <x:c r="E225" s="134" t="str">
        <x:v>2026-12-15</x:v>
      </x:c>
      <x:c r="F225" s="134" t="n">
        <x:v>0</x:v>
      </x:c>
      <x:c r="G225" s="134" t="str">
        <x:v>permanece</x:v>
      </x:c>
      <x:c r="H225" s="143" t="n">
        <x:v>0.0231</x:v>
      </x:c>
      <x:c r="I225" s="143" t="n">
        <x:v>-2.1884</x:v>
      </x:c>
      <x:c r="J225" s="134" t="str">
        <x:v>train</x:v>
      </x:c>
      <x:c r="K225" s="135" t="str">
        <x:v>NO USAR prob_generador/score_generador COMO PREDICTOR</x:v>
      </x:c>
    </x:row>
    <x:row r="226" ht="34" customHeight="1">
      <x:c r="A226" s="133" t="str">
        <x:v>EST-0246</x:v>
      </x:c>
      <x:c r="B226" s="134" t="n">
        <x:v>6</x:v>
      </x:c>
      <x:c r="C226" s="134" t="str">
        <x:v>6C</x:v>
      </x:c>
      <x:c r="D226" s="134" t="str">
        <x:v>elegible_activo</x:v>
      </x:c>
      <x:c r="E226" s="134" t="str">
        <x:v>2026-12-15</x:v>
      </x:c>
      <x:c r="F226" s="134" t="n">
        <x:v>0</x:v>
      </x:c>
      <x:c r="G226" s="134" t="str">
        <x:v>permanece</x:v>
      </x:c>
      <x:c r="H226" s="143" t="n">
        <x:v>0.0722</x:v>
      </x:c>
      <x:c r="I226" s="143" t="n">
        <x:v>-0.9966</x:v>
      </x:c>
      <x:c r="J226" s="134" t="str">
        <x:v>train</x:v>
      </x:c>
      <x:c r="K226" s="135" t="str">
        <x:v>NO USAR prob_generador/score_generador COMO PREDICTOR</x:v>
      </x:c>
    </x:row>
    <x:row r="227" ht="34" customHeight="1">
      <x:c r="A227" s="133" t="str">
        <x:v>EST-0248</x:v>
      </x:c>
      <x:c r="B227" s="134" t="n">
        <x:v>6</x:v>
      </x:c>
      <x:c r="C227" s="134" t="str">
        <x:v>6C</x:v>
      </x:c>
      <x:c r="D227" s="134" t="str">
        <x:v>elegible_activo</x:v>
      </x:c>
      <x:c r="E227" s="134" t="str">
        <x:v>2026-12-15</x:v>
      </x:c>
      <x:c r="F227" s="134" t="n">
        <x:v>0</x:v>
      </x:c>
      <x:c r="G227" s="134" t="str">
        <x:v>permanece</x:v>
      </x:c>
      <x:c r="H227" s="143" t="n">
        <x:v>0.1061</x:v>
      </x:c>
      <x:c r="I227" s="143" t="n">
        <x:v>-0.5744</x:v>
      </x:c>
      <x:c r="J227" s="134" t="str">
        <x:v>validation</x:v>
      </x:c>
      <x:c r="K227" s="135" t="str">
        <x:v>NO USAR prob_generador/score_generador COMO PREDICTOR</x:v>
      </x:c>
    </x:row>
    <x:row r="228" ht="34" customHeight="1">
      <x:c r="A228" s="133" t="str">
        <x:v>EST-0249</x:v>
      </x:c>
      <x:c r="B228" s="134" t="n">
        <x:v>6</x:v>
      </x:c>
      <x:c r="C228" s="134" t="str">
        <x:v>6C</x:v>
      </x:c>
      <x:c r="D228" s="134" t="str">
        <x:v>elegible_activo</x:v>
      </x:c>
      <x:c r="E228" s="134" t="str">
        <x:v>2026-12-15</x:v>
      </x:c>
      <x:c r="F228" s="134" t="n">
        <x:v>0</x:v>
      </x:c>
      <x:c r="G228" s="134" t="str">
        <x:v>permanece</x:v>
      </x:c>
      <x:c r="H228" s="143" t="n">
        <x:v>0.2125</x:v>
      </x:c>
      <x:c r="I228" s="143" t="n">
        <x:v>0.2464</x:v>
      </x:c>
      <x:c r="J228" s="134" t="str">
        <x:v>train</x:v>
      </x:c>
      <x:c r="K228" s="135" t="str">
        <x:v>NO USAR prob_generador/score_generador COMO PREDICTOR</x:v>
      </x:c>
    </x:row>
    <x:row r="229" ht="34" customHeight="1">
      <x:c r="A229" s="133" t="str">
        <x:v>EST-0250</x:v>
      </x:c>
      <x:c r="B229" s="134" t="n">
        <x:v>6</x:v>
      </x:c>
      <x:c r="C229" s="134" t="str">
        <x:v>6C</x:v>
      </x:c>
      <x:c r="D229" s="134" t="str">
        <x:v>elegible_activo</x:v>
      </x:c>
      <x:c r="E229" s="134" t="str">
        <x:v>2026-12-15</x:v>
      </x:c>
      <x:c r="F229" s="134" t="n">
        <x:v>0</x:v>
      </x:c>
      <x:c r="G229" s="134" t="str">
        <x:v>permanece</x:v>
      </x:c>
      <x:c r="H229" s="143" t="n">
        <x:v>0.2196</x:v>
      </x:c>
      <x:c r="I229" s="143" t="n">
        <x:v>0.2884</x:v>
      </x:c>
      <x:c r="J229" s="134" t="str">
        <x:v>train</x:v>
      </x:c>
      <x:c r="K229" s="135" t="str">
        <x:v>NO USAR prob_generador/score_generador COMO PREDICTOR</x:v>
      </x:c>
    </x:row>
    <x:row r="230" ht="34" customHeight="1">
      <x:c r="A230" s="133" t="str">
        <x:v>EST-0001</x:v>
      </x:c>
      <x:c r="B230" s="134" t="n">
        <x:v>1</x:v>
      </x:c>
      <x:c r="C230" s="134" t="str">
        <x:v>1A</x:v>
      </x:c>
      <x:c r="D230" s="134" t="str">
        <x:v>excluido_retirado_pre_corte</x:v>
      </x:c>
      <x:c r="E230" s="134" t="str">
        <x:v>2026-12-15</x:v>
      </x:c>
      <x:c r="F230" s="134"/>
      <x:c r="G230" s="134"/>
      <x:c r="H230" s="143"/>
      <x:c r="I230" s="143"/>
      <x:c r="J230" s="134" t="str">
        <x:v>excluded</x:v>
      </x:c>
      <x:c r="K230" s="135" t="str">
        <x:v>No forma parte del entrenamiento V6 porque no está activo en el corte científico</x:v>
      </x:c>
    </x:row>
    <x:row r="231" ht="34" customHeight="1">
      <x:c r="A231" s="133" t="str">
        <x:v>EST-0010</x:v>
      </x:c>
      <x:c r="B231" s="134" t="n">
        <x:v>1</x:v>
      </x:c>
      <x:c r="C231" s="134" t="str">
        <x:v>1A</x:v>
      </x:c>
      <x:c r="D231" s="134" t="str">
        <x:v>excluido_retirado_pre_corte</x:v>
      </x:c>
      <x:c r="E231" s="134" t="str">
        <x:v>2026-12-15</x:v>
      </x:c>
      <x:c r="F231" s="134"/>
      <x:c r="G231" s="134"/>
      <x:c r="H231" s="143"/>
      <x:c r="I231" s="143"/>
      <x:c r="J231" s="134" t="str">
        <x:v>excluded</x:v>
      </x:c>
      <x:c r="K231" s="135" t="str">
        <x:v>No forma parte del entrenamiento V6 porque no está activo en el corte científico</x:v>
      </x:c>
    </x:row>
    <x:row r="232" ht="34" customHeight="1">
      <x:c r="A232" s="133" t="str">
        <x:v>EST-0019</x:v>
      </x:c>
      <x:c r="B232" s="134" t="n">
        <x:v>1</x:v>
      </x:c>
      <x:c r="C232" s="134" t="str">
        <x:v>1B</x:v>
      </x:c>
      <x:c r="D232" s="134" t="str">
        <x:v>excluido_retirado_pre_corte</x:v>
      </x:c>
      <x:c r="E232" s="134" t="str">
        <x:v>2026-12-15</x:v>
      </x:c>
      <x:c r="F232" s="134"/>
      <x:c r="G232" s="134"/>
      <x:c r="H232" s="143"/>
      <x:c r="I232" s="143"/>
      <x:c r="J232" s="134" t="str">
        <x:v>excluded</x:v>
      </x:c>
      <x:c r="K232" s="135" t="str">
        <x:v>No forma parte del entrenamiento V6 porque no está activo en el corte científico</x:v>
      </x:c>
    </x:row>
    <x:row r="233" ht="34" customHeight="1">
      <x:c r="A233" s="133" t="str">
        <x:v>EST-0028</x:v>
      </x:c>
      <x:c r="B233" s="134" t="n">
        <x:v>1</x:v>
      </x:c>
      <x:c r="C233" s="134" t="str">
        <x:v>1C</x:v>
      </x:c>
      <x:c r="D233" s="134" t="str">
        <x:v>excluido_retirado_pre_corte</x:v>
      </x:c>
      <x:c r="E233" s="134" t="str">
        <x:v>2026-12-15</x:v>
      </x:c>
      <x:c r="F233" s="134"/>
      <x:c r="G233" s="134"/>
      <x:c r="H233" s="143"/>
      <x:c r="I233" s="143"/>
      <x:c r="J233" s="134" t="str">
        <x:v>excluded</x:v>
      </x:c>
      <x:c r="K233" s="135" t="str">
        <x:v>No forma parte del entrenamiento V6 porque no está activo en el corte científico</x:v>
      </x:c>
    </x:row>
    <x:row r="234" ht="34" customHeight="1">
      <x:c r="A234" s="133" t="str">
        <x:v>EST-0037</x:v>
      </x:c>
      <x:c r="B234" s="134" t="n">
        <x:v>1</x:v>
      </x:c>
      <x:c r="C234" s="134" t="str">
        <x:v>1D</x:v>
      </x:c>
      <x:c r="D234" s="134" t="str">
        <x:v>excluido_retirado_pre_corte</x:v>
      </x:c>
      <x:c r="E234" s="134" t="str">
        <x:v>2026-12-15</x:v>
      </x:c>
      <x:c r="F234" s="134"/>
      <x:c r="G234" s="134"/>
      <x:c r="H234" s="143"/>
      <x:c r="I234" s="143"/>
      <x:c r="J234" s="134" t="str">
        <x:v>excluded</x:v>
      </x:c>
      <x:c r="K234" s="135" t="str">
        <x:v>No forma parte del entrenamiento V6 porque no está activo en el corte científico</x:v>
      </x:c>
    </x:row>
    <x:row r="235" ht="34" customHeight="1">
      <x:c r="A235" s="133" t="str">
        <x:v>EST-0046</x:v>
      </x:c>
      <x:c r="B235" s="134" t="n">
        <x:v>1</x:v>
      </x:c>
      <x:c r="C235" s="134" t="str">
        <x:v>1D</x:v>
      </x:c>
      <x:c r="D235" s="134" t="str">
        <x:v>excluido_retirado_pre_corte</x:v>
      </x:c>
      <x:c r="E235" s="134" t="str">
        <x:v>2026-12-15</x:v>
      </x:c>
      <x:c r="F235" s="134"/>
      <x:c r="G235" s="134"/>
      <x:c r="H235" s="143"/>
      <x:c r="I235" s="143"/>
      <x:c r="J235" s="134" t="str">
        <x:v>excluded</x:v>
      </x:c>
      <x:c r="K235" s="135" t="str">
        <x:v>No forma parte del entrenamiento V6 porque no está activo en el corte científico</x:v>
      </x:c>
    </x:row>
    <x:row r="236" ht="34" customHeight="1">
      <x:c r="A236" s="133" t="str">
        <x:v>EST-0055</x:v>
      </x:c>
      <x:c r="B236" s="134" t="n">
        <x:v>2</x:v>
      </x:c>
      <x:c r="C236" s="134" t="str">
        <x:v>2A</x:v>
      </x:c>
      <x:c r="D236" s="134" t="str">
        <x:v>excluido_retirado_pre_corte</x:v>
      </x:c>
      <x:c r="E236" s="134" t="str">
        <x:v>2026-12-15</x:v>
      </x:c>
      <x:c r="F236" s="134"/>
      <x:c r="G236" s="134"/>
      <x:c r="H236" s="143"/>
      <x:c r="I236" s="143"/>
      <x:c r="J236" s="134" t="str">
        <x:v>excluded</x:v>
      </x:c>
      <x:c r="K236" s="135" t="str">
        <x:v>No forma parte del entrenamiento V6 porque no está activo en el corte científico</x:v>
      </x:c>
    </x:row>
    <x:row r="237" ht="34" customHeight="1">
      <x:c r="A237" s="133" t="str">
        <x:v>EST-0064</x:v>
      </x:c>
      <x:c r="B237" s="134" t="n">
        <x:v>2</x:v>
      </x:c>
      <x:c r="C237" s="134" t="str">
        <x:v>2B</x:v>
      </x:c>
      <x:c r="D237" s="134" t="str">
        <x:v>excluido_retirado_pre_corte</x:v>
      </x:c>
      <x:c r="E237" s="134" t="str">
        <x:v>2026-12-15</x:v>
      </x:c>
      <x:c r="F237" s="134"/>
      <x:c r="G237" s="134"/>
      <x:c r="H237" s="143"/>
      <x:c r="I237" s="143"/>
      <x:c r="J237" s="134" t="str">
        <x:v>excluded</x:v>
      </x:c>
      <x:c r="K237" s="135" t="str">
        <x:v>No forma parte del entrenamiento V6 porque no está activo en el corte científico</x:v>
      </x:c>
    </x:row>
    <x:row r="238" ht="34" customHeight="1">
      <x:c r="A238" s="133" t="str">
        <x:v>EST-0073</x:v>
      </x:c>
      <x:c r="B238" s="134" t="n">
        <x:v>2</x:v>
      </x:c>
      <x:c r="C238" s="134" t="str">
        <x:v>2C</x:v>
      </x:c>
      <x:c r="D238" s="134" t="str">
        <x:v>excluido_retirado_pre_corte</x:v>
      </x:c>
      <x:c r="E238" s="134" t="str">
        <x:v>2026-12-15</x:v>
      </x:c>
      <x:c r="F238" s="134"/>
      <x:c r="G238" s="134"/>
      <x:c r="H238" s="143"/>
      <x:c r="I238" s="143"/>
      <x:c r="J238" s="134" t="str">
        <x:v>excluded</x:v>
      </x:c>
      <x:c r="K238" s="135" t="str">
        <x:v>No forma parte del entrenamiento V6 porque no está activo en el corte científico</x:v>
      </x:c>
    </x:row>
    <x:row r="239" ht="34" customHeight="1">
      <x:c r="A239" s="133" t="str">
        <x:v>EST-0082</x:v>
      </x:c>
      <x:c r="B239" s="134" t="n">
        <x:v>2</x:v>
      </x:c>
      <x:c r="C239" s="134" t="str">
        <x:v>2D</x:v>
      </x:c>
      <x:c r="D239" s="134" t="str">
        <x:v>excluido_retirado_pre_corte</x:v>
      </x:c>
      <x:c r="E239" s="134" t="str">
        <x:v>2026-12-15</x:v>
      </x:c>
      <x:c r="F239" s="134"/>
      <x:c r="G239" s="134"/>
      <x:c r="H239" s="143"/>
      <x:c r="I239" s="143"/>
      <x:c r="J239" s="134" t="str">
        <x:v>excluded</x:v>
      </x:c>
      <x:c r="K239" s="135" t="str">
        <x:v>No forma parte del entrenamiento V6 porque no está activo en el corte científico</x:v>
      </x:c>
    </x:row>
    <x:row r="240" ht="34" customHeight="1">
      <x:c r="A240" s="133" t="str">
        <x:v>EST-0093</x:v>
      </x:c>
      <x:c r="B240" s="134" t="n">
        <x:v>3</x:v>
      </x:c>
      <x:c r="C240" s="134" t="str">
        <x:v>3A</x:v>
      </x:c>
      <x:c r="D240" s="134" t="str">
        <x:v>excluido_retirado_pre_corte</x:v>
      </x:c>
      <x:c r="E240" s="134" t="str">
        <x:v>2026-12-15</x:v>
      </x:c>
      <x:c r="F240" s="134"/>
      <x:c r="G240" s="134"/>
      <x:c r="H240" s="143"/>
      <x:c r="I240" s="143"/>
      <x:c r="J240" s="134" t="str">
        <x:v>excluded</x:v>
      </x:c>
      <x:c r="K240" s="135" t="str">
        <x:v>No forma parte del entrenamiento V6 porque no está activo en el corte científico</x:v>
      </x:c>
    </x:row>
    <x:row r="241" ht="34" customHeight="1">
      <x:c r="A241" s="133" t="str">
        <x:v>EST-0104</x:v>
      </x:c>
      <x:c r="B241" s="134" t="n">
        <x:v>3</x:v>
      </x:c>
      <x:c r="C241" s="134" t="str">
        <x:v>3A</x:v>
      </x:c>
      <x:c r="D241" s="134" t="str">
        <x:v>excluido_retirado_pre_corte</x:v>
      </x:c>
      <x:c r="E241" s="134" t="str">
        <x:v>2026-12-15</x:v>
      </x:c>
      <x:c r="F241" s="134"/>
      <x:c r="G241" s="134"/>
      <x:c r="H241" s="143"/>
      <x:c r="I241" s="143"/>
      <x:c r="J241" s="134" t="str">
        <x:v>excluded</x:v>
      </x:c>
      <x:c r="K241" s="135" t="str">
        <x:v>No forma parte del entrenamiento V6 porque no está activo en el corte científico</x:v>
      </x:c>
    </x:row>
    <x:row r="242" ht="34" customHeight="1">
      <x:c r="A242" s="133" t="str">
        <x:v>EST-0115</x:v>
      </x:c>
      <x:c r="B242" s="134" t="n">
        <x:v>3</x:v>
      </x:c>
      <x:c r="C242" s="134" t="str">
        <x:v>3B</x:v>
      </x:c>
      <x:c r="D242" s="134" t="str">
        <x:v>excluido_retirado_pre_corte</x:v>
      </x:c>
      <x:c r="E242" s="134" t="str">
        <x:v>2026-12-15</x:v>
      </x:c>
      <x:c r="F242" s="134"/>
      <x:c r="G242" s="134"/>
      <x:c r="H242" s="143"/>
      <x:c r="I242" s="143"/>
      <x:c r="J242" s="134" t="str">
        <x:v>excluded</x:v>
      </x:c>
      <x:c r="K242" s="135" t="str">
        <x:v>No forma parte del entrenamiento V6 porque no está activo en el corte científico</x:v>
      </x:c>
    </x:row>
    <x:row r="243" ht="34" customHeight="1">
      <x:c r="A243" s="133" t="str">
        <x:v>EST-0126</x:v>
      </x:c>
      <x:c r="B243" s="134" t="n">
        <x:v>3</x:v>
      </x:c>
      <x:c r="C243" s="134" t="str">
        <x:v>3C</x:v>
      </x:c>
      <x:c r="D243" s="134" t="str">
        <x:v>excluido_retirado_pre_corte</x:v>
      </x:c>
      <x:c r="E243" s="134" t="str">
        <x:v>2026-12-15</x:v>
      </x:c>
      <x:c r="F243" s="134"/>
      <x:c r="G243" s="134"/>
      <x:c r="H243" s="143"/>
      <x:c r="I243" s="143"/>
      <x:c r="J243" s="134" t="str">
        <x:v>excluded</x:v>
      </x:c>
      <x:c r="K243" s="135" t="str">
        <x:v>No forma parte del entrenamiento V6 porque no está activo en el corte científico</x:v>
      </x:c>
    </x:row>
    <x:row r="244" ht="34" customHeight="1">
      <x:c r="A244" s="133" t="str">
        <x:v>EST-0137</x:v>
      </x:c>
      <x:c r="B244" s="134" t="n">
        <x:v>3</x:v>
      </x:c>
      <x:c r="C244" s="134" t="str">
        <x:v>3D</x:v>
      </x:c>
      <x:c r="D244" s="134" t="str">
        <x:v>excluido_retirado_pre_corte</x:v>
      </x:c>
      <x:c r="E244" s="134" t="str">
        <x:v>2026-12-15</x:v>
      </x:c>
      <x:c r="F244" s="134"/>
      <x:c r="G244" s="134"/>
      <x:c r="H244" s="143"/>
      <x:c r="I244" s="143"/>
      <x:c r="J244" s="134" t="str">
        <x:v>excluded</x:v>
      </x:c>
      <x:c r="K244" s="135" t="str">
        <x:v>No forma parte del entrenamiento V6 porque no está activo en el corte científico</x:v>
      </x:c>
    </x:row>
    <x:row r="245" ht="34" customHeight="1">
      <x:c r="A245" s="133" t="str">
        <x:v>EST-0148</x:v>
      </x:c>
      <x:c r="B245" s="134" t="n">
        <x:v>4</x:v>
      </x:c>
      <x:c r="C245" s="134" t="str">
        <x:v>4A</x:v>
      </x:c>
      <x:c r="D245" s="134" t="str">
        <x:v>censurado_traslado</x:v>
      </x:c>
      <x:c r="E245" s="134" t="str">
        <x:v>2026-12-15</x:v>
      </x:c>
      <x:c r="F245" s="134"/>
      <x:c r="G245" s="134"/>
      <x:c r="H245" s="143"/>
      <x:c r="I245" s="143"/>
      <x:c r="J245" s="134" t="str">
        <x:v>excluded</x:v>
      </x:c>
      <x:c r="K245" s="135" t="str">
        <x:v>No forma parte del entrenamiento V6 porque no está activo en el corte científico</x:v>
      </x:c>
    </x:row>
    <x:row r="246" ht="34" customHeight="1">
      <x:c r="A246" s="133" t="str">
        <x:v>EST-0159</x:v>
      </x:c>
      <x:c r="B246" s="134" t="n">
        <x:v>4</x:v>
      </x:c>
      <x:c r="C246" s="134" t="str">
        <x:v>4B</x:v>
      </x:c>
      <x:c r="D246" s="134" t="str">
        <x:v>censurado_traslado</x:v>
      </x:c>
      <x:c r="E246" s="134" t="str">
        <x:v>2026-12-15</x:v>
      </x:c>
      <x:c r="F246" s="134"/>
      <x:c r="G246" s="134"/>
      <x:c r="H246" s="143"/>
      <x:c r="I246" s="143"/>
      <x:c r="J246" s="134" t="str">
        <x:v>excluded</x:v>
      </x:c>
      <x:c r="K246" s="135" t="str">
        <x:v>No forma parte del entrenamiento V6 porque no está activo en el corte científico</x:v>
      </x:c>
    </x:row>
    <x:row r="247" ht="34" customHeight="1">
      <x:c r="A247" s="133" t="str">
        <x:v>EST-0170</x:v>
      </x:c>
      <x:c r="B247" s="134" t="n">
        <x:v>4</x:v>
      </x:c>
      <x:c r="C247" s="134" t="str">
        <x:v>4C</x:v>
      </x:c>
      <x:c r="D247" s="134" t="str">
        <x:v>censurado_traslado</x:v>
      </x:c>
      <x:c r="E247" s="134" t="str">
        <x:v>2026-12-15</x:v>
      </x:c>
      <x:c r="F247" s="134"/>
      <x:c r="G247" s="134"/>
      <x:c r="H247" s="143"/>
      <x:c r="I247" s="143"/>
      <x:c r="J247" s="134" t="str">
        <x:v>excluded</x:v>
      </x:c>
      <x:c r="K247" s="135" t="str">
        <x:v>No forma parte del entrenamiento V6 porque no está activo en el corte científico</x:v>
      </x:c>
    </x:row>
    <x:row r="248" ht="34" customHeight="1">
      <x:c r="A248" s="133" t="str">
        <x:v>EST-0181</x:v>
      </x:c>
      <x:c r="B248" s="134" t="n">
        <x:v>4</x:v>
      </x:c>
      <x:c r="C248" s="134" t="str">
        <x:v>4D</x:v>
      </x:c>
      <x:c r="D248" s="134" t="str">
        <x:v>censurado_traslado</x:v>
      </x:c>
      <x:c r="E248" s="134" t="str">
        <x:v>2026-12-15</x:v>
      </x:c>
      <x:c r="F248" s="134"/>
      <x:c r="G248" s="134"/>
      <x:c r="H248" s="143"/>
      <x:c r="I248" s="143"/>
      <x:c r="J248" s="134" t="str">
        <x:v>excluded</x:v>
      </x:c>
      <x:c r="K248" s="135" t="str">
        <x:v>No forma parte del entrenamiento V6 porque no está activo en el corte científico</x:v>
      </x:c>
    </x:row>
    <x:row r="249" ht="34" customHeight="1">
      <x:c r="A249" s="133" t="str">
        <x:v>EST-0192</x:v>
      </x:c>
      <x:c r="B249" s="134" t="n">
        <x:v>5</x:v>
      </x:c>
      <x:c r="C249" s="134" t="str">
        <x:v>5A</x:v>
      </x:c>
      <x:c r="D249" s="134" t="str">
        <x:v>censurado_traslado</x:v>
      </x:c>
      <x:c r="E249" s="134" t="str">
        <x:v>2026-12-15</x:v>
      </x:c>
      <x:c r="F249" s="134"/>
      <x:c r="G249" s="134"/>
      <x:c r="H249" s="143"/>
      <x:c r="I249" s="143"/>
      <x:c r="J249" s="134" t="str">
        <x:v>excluded</x:v>
      </x:c>
      <x:c r="K249" s="135" t="str">
        <x:v>No forma parte del entrenamiento V6 porque no está activo en el corte científico</x:v>
      </x:c>
    </x:row>
    <x:row r="250" ht="34" customHeight="1">
      <x:c r="A250" s="133" t="str">
        <x:v>EST-0203</x:v>
      </x:c>
      <x:c r="B250" s="134" t="n">
        <x:v>5</x:v>
      </x:c>
      <x:c r="C250" s="134" t="str">
        <x:v>5B</x:v>
      </x:c>
      <x:c r="D250" s="134" t="str">
        <x:v>censurado_traslado</x:v>
      </x:c>
      <x:c r="E250" s="134" t="str">
        <x:v>2026-12-15</x:v>
      </x:c>
      <x:c r="F250" s="134"/>
      <x:c r="G250" s="134"/>
      <x:c r="H250" s="143"/>
      <x:c r="I250" s="143"/>
      <x:c r="J250" s="134" t="str">
        <x:v>excluded</x:v>
      </x:c>
      <x:c r="K250" s="135" t="str">
        <x:v>No forma parte del entrenamiento V6 porque no está activo en el corte científico</x:v>
      </x:c>
    </x:row>
    <x:row r="251" ht="34" customHeight="1">
      <x:c r="A251" s="133" t="str">
        <x:v>EST-0214</x:v>
      </x:c>
      <x:c r="B251" s="134" t="n">
        <x:v>5</x:v>
      </x:c>
      <x:c r="C251" s="134" t="str">
        <x:v>5C</x:v>
      </x:c>
      <x:c r="D251" s="134" t="str">
        <x:v>censurado_traslado</x:v>
      </x:c>
      <x:c r="E251" s="134" t="str">
        <x:v>2026-12-15</x:v>
      </x:c>
      <x:c r="F251" s="134"/>
      <x:c r="G251" s="134"/>
      <x:c r="H251" s="143"/>
      <x:c r="I251" s="143"/>
      <x:c r="J251" s="134" t="str">
        <x:v>excluded</x:v>
      </x:c>
      <x:c r="K251" s="135" t="str">
        <x:v>No forma parte del entrenamiento V6 porque no está activo en el corte científico</x:v>
      </x:c>
    </x:row>
    <x:row r="252" ht="34" customHeight="1">
      <x:c r="A252" s="133" t="str">
        <x:v>EST-0225</x:v>
      </x:c>
      <x:c r="B252" s="134" t="n">
        <x:v>6</x:v>
      </x:c>
      <x:c r="C252" s="134" t="str">
        <x:v>6A</x:v>
      </x:c>
      <x:c r="D252" s="134" t="str">
        <x:v>censurado_traslado</x:v>
      </x:c>
      <x:c r="E252" s="134" t="str">
        <x:v>2026-12-15</x:v>
      </x:c>
      <x:c r="F252" s="134"/>
      <x:c r="G252" s="134"/>
      <x:c r="H252" s="143"/>
      <x:c r="I252" s="143"/>
      <x:c r="J252" s="134" t="str">
        <x:v>excluded</x:v>
      </x:c>
      <x:c r="K252" s="135" t="str">
        <x:v>No forma parte del entrenamiento V6 porque no está activo en el corte científico</x:v>
      </x:c>
    </x:row>
    <x:row r="253" ht="34" customHeight="1">
      <x:c r="A253" s="133" t="str">
        <x:v>EST-0236</x:v>
      </x:c>
      <x:c r="B253" s="134" t="n">
        <x:v>6</x:v>
      </x:c>
      <x:c r="C253" s="134" t="str">
        <x:v>6B</x:v>
      </x:c>
      <x:c r="D253" s="134" t="str">
        <x:v>censurado_traslado</x:v>
      </x:c>
      <x:c r="E253" s="134" t="str">
        <x:v>2026-12-15</x:v>
      </x:c>
      <x:c r="F253" s="134"/>
      <x:c r="G253" s="134"/>
      <x:c r="H253" s="143"/>
      <x:c r="I253" s="143"/>
      <x:c r="J253" s="134" t="str">
        <x:v>excluded</x:v>
      </x:c>
      <x:c r="K253" s="135" t="str">
        <x:v>No forma parte del entrenamiento V6 porque no está activo en el corte científico</x:v>
      </x:c>
    </x:row>
    <x:row r="254" ht="34" customHeight="1">
      <x:c r="A254" s="136" t="str">
        <x:v>EST-0247</x:v>
      </x:c>
      <x:c r="B254" s="137" t="n">
        <x:v>6</x:v>
      </x:c>
      <x:c r="C254" s="137" t="str">
        <x:v>6C</x:v>
      </x:c>
      <x:c r="D254" s="137" t="str">
        <x:v>censurado_traslado</x:v>
      </x:c>
      <x:c r="E254" s="137" t="str">
        <x:v>2026-12-15</x:v>
      </x:c>
      <x:c r="F254" s="137"/>
      <x:c r="G254" s="137"/>
      <x:c r="H254" s="144"/>
      <x:c r="I254" s="144"/>
      <x:c r="J254" s="137" t="str">
        <x:v>excluded</x:v>
      </x:c>
      <x:c r="K254" s="138" t="str">
        <x:v>No forma parte del entrenamiento V6 porque no está activo en el corte científico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9119294261b4fc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8" hidden="0" customWidth="1"/>
  </x:cols>
  <x:sheetData>
    <x:row r="1" ht="34" customHeight="1">
      <x:c r="A1" s="101" t="str">
        <x:v>ML V6 — Partición por estudiante</x:v>
      </x:c>
      <x:c r="B1" s="101"/>
      <x:c r="C1" s="101"/>
      <x:c r="D1" s="101"/>
      <x:c r="E1" s="101"/>
    </x:row>
    <x:row r="2" ht="45" customHeight="1">
      <x:c r="A2" s="105" t="str">
        <x:v>La unidad de partición es student_code. Los dos snapshots del mismo estudiante permanecen siempre en el mismo split para evitar leakage.</x:v>
      </x:c>
      <x:c r="B2" s="105"/>
      <x:c r="C2" s="105"/>
      <x:c r="D2" s="105"/>
      <x:c r="E2" s="105"/>
    </x:row>
    <x:row r="4" ht="48" customHeight="1">
      <x:c r="A4" s="110" t="str">
        <x:v>student_code</x:v>
      </x:c>
      <x:c r="B4" s="110" t="str">
        <x:v>target_desercion</x:v>
      </x:c>
      <x:c r="C4" s="110" t="str">
        <x:v>target_label</x:v>
      </x:c>
      <x:c r="D4" s="110" t="str">
        <x:v>split</x:v>
      </x:c>
      <x:c r="E4" s="110" t="str">
        <x:v>estrategia</x:v>
      </x:c>
    </x:row>
    <x:row r="5" ht="28" customHeight="1">
      <x:c r="A5" s="130" t="str">
        <x:v>EST-0002</x:v>
      </x:c>
      <x:c r="B5" s="131" t="n">
        <x:v>1</x:v>
      </x:c>
      <x:c r="C5" s="131" t="str">
        <x:v>deserta</x:v>
      </x:c>
      <x:c r="D5" s="131" t="str">
        <x:v>holdout</x:v>
      </x:c>
      <x:c r="E5" s="132" t="str">
        <x:v>group_by_student</x:v>
      </x:c>
    </x:row>
    <x:row r="6" ht="28" customHeight="1">
      <x:c r="A6" s="133" t="str">
        <x:v>EST-0003</x:v>
      </x:c>
      <x:c r="B6" s="134" t="n">
        <x:v>0</x:v>
      </x:c>
      <x:c r="C6" s="134" t="str">
        <x:v>permanece</x:v>
      </x:c>
      <x:c r="D6" s="134" t="str">
        <x:v>train</x:v>
      </x:c>
      <x:c r="E6" s="135" t="str">
        <x:v>group_by_student</x:v>
      </x:c>
    </x:row>
    <x:row r="7" ht="28" customHeight="1">
      <x:c r="A7" s="133" t="str">
        <x:v>EST-0004</x:v>
      </x:c>
      <x:c r="B7" s="134" t="n">
        <x:v>0</x:v>
      </x:c>
      <x:c r="C7" s="134" t="str">
        <x:v>permanece</x:v>
      </x:c>
      <x:c r="D7" s="134" t="str">
        <x:v>validation</x:v>
      </x:c>
      <x:c r="E7" s="135" t="str">
        <x:v>group_by_student</x:v>
      </x:c>
    </x:row>
    <x:row r="8" ht="28" customHeight="1">
      <x:c r="A8" s="133" t="str">
        <x:v>EST-0005</x:v>
      </x:c>
      <x:c r="B8" s="134" t="n">
        <x:v>0</x:v>
      </x:c>
      <x:c r="C8" s="134" t="str">
        <x:v>permanece</x:v>
      </x:c>
      <x:c r="D8" s="134" t="str">
        <x:v>train</x:v>
      </x:c>
      <x:c r="E8" s="135" t="str">
        <x:v>group_by_student</x:v>
      </x:c>
    </x:row>
    <x:row r="9" ht="28" customHeight="1">
      <x:c r="A9" s="133" t="str">
        <x:v>EST-0006</x:v>
      </x:c>
      <x:c r="B9" s="134" t="n">
        <x:v>0</x:v>
      </x:c>
      <x:c r="C9" s="134" t="str">
        <x:v>permanece</x:v>
      </x:c>
      <x:c r="D9" s="134" t="str">
        <x:v>train</x:v>
      </x:c>
      <x:c r="E9" s="135" t="str">
        <x:v>group_by_student</x:v>
      </x:c>
    </x:row>
    <x:row r="10" ht="28" customHeight="1">
      <x:c r="A10" s="133" t="str">
        <x:v>EST-0007</x:v>
      </x:c>
      <x:c r="B10" s="134" t="n">
        <x:v>0</x:v>
      </x:c>
      <x:c r="C10" s="134" t="str">
        <x:v>permanece</x:v>
      </x:c>
      <x:c r="D10" s="134" t="str">
        <x:v>train</x:v>
      </x:c>
      <x:c r="E10" s="135" t="str">
        <x:v>group_by_student</x:v>
      </x:c>
    </x:row>
    <x:row r="11" ht="28" customHeight="1">
      <x:c r="A11" s="133" t="str">
        <x:v>EST-0008</x:v>
      </x:c>
      <x:c r="B11" s="134" t="n">
        <x:v>1</x:v>
      </x:c>
      <x:c r="C11" s="134" t="str">
        <x:v>deserta</x:v>
      </x:c>
      <x:c r="D11" s="134" t="str">
        <x:v>train</x:v>
      </x:c>
      <x:c r="E11" s="135" t="str">
        <x:v>group_by_student</x:v>
      </x:c>
    </x:row>
    <x:row r="12" ht="28" customHeight="1">
      <x:c r="A12" s="133" t="str">
        <x:v>EST-0009</x:v>
      </x:c>
      <x:c r="B12" s="134" t="n">
        <x:v>0</x:v>
      </x:c>
      <x:c r="C12" s="134" t="str">
        <x:v>permanece</x:v>
      </x:c>
      <x:c r="D12" s="134" t="str">
        <x:v>train</x:v>
      </x:c>
      <x:c r="E12" s="135" t="str">
        <x:v>group_by_student</x:v>
      </x:c>
    </x:row>
    <x:row r="13" ht="28" customHeight="1">
      <x:c r="A13" s="133" t="str">
        <x:v>EST-0011</x:v>
      </x:c>
      <x:c r="B13" s="134" t="n">
        <x:v>0</x:v>
      </x:c>
      <x:c r="C13" s="134" t="str">
        <x:v>permanece</x:v>
      </x:c>
      <x:c r="D13" s="134" t="str">
        <x:v>train</x:v>
      </x:c>
      <x:c r="E13" s="135" t="str">
        <x:v>group_by_student</x:v>
      </x:c>
    </x:row>
    <x:row r="14" ht="28" customHeight="1">
      <x:c r="A14" s="133" t="str">
        <x:v>EST-0012</x:v>
      </x:c>
      <x:c r="B14" s="134" t="n">
        <x:v>1</x:v>
      </x:c>
      <x:c r="C14" s="134" t="str">
        <x:v>deserta</x:v>
      </x:c>
      <x:c r="D14" s="134" t="str">
        <x:v>train</x:v>
      </x:c>
      <x:c r="E14" s="135" t="str">
        <x:v>group_by_student</x:v>
      </x:c>
    </x:row>
    <x:row r="15" ht="28" customHeight="1">
      <x:c r="A15" s="133" t="str">
        <x:v>EST-0013</x:v>
      </x:c>
      <x:c r="B15" s="134" t="n">
        <x:v>0</x:v>
      </x:c>
      <x:c r="C15" s="134" t="str">
        <x:v>permanece</x:v>
      </x:c>
      <x:c r="D15" s="134" t="str">
        <x:v>train</x:v>
      </x:c>
      <x:c r="E15" s="135" t="str">
        <x:v>group_by_student</x:v>
      </x:c>
    </x:row>
    <x:row r="16" ht="28" customHeight="1">
      <x:c r="A16" s="133" t="str">
        <x:v>EST-0014</x:v>
      </x:c>
      <x:c r="B16" s="134" t="n">
        <x:v>0</x:v>
      </x:c>
      <x:c r="C16" s="134" t="str">
        <x:v>permanece</x:v>
      </x:c>
      <x:c r="D16" s="134" t="str">
        <x:v>train</x:v>
      </x:c>
      <x:c r="E16" s="135" t="str">
        <x:v>group_by_student</x:v>
      </x:c>
    </x:row>
    <x:row r="17" ht="28" customHeight="1">
      <x:c r="A17" s="133" t="str">
        <x:v>EST-0015</x:v>
      </x:c>
      <x:c r="B17" s="134" t="n">
        <x:v>0</x:v>
      </x:c>
      <x:c r="C17" s="134" t="str">
        <x:v>permanece</x:v>
      </x:c>
      <x:c r="D17" s="134" t="str">
        <x:v>train</x:v>
      </x:c>
      <x:c r="E17" s="135" t="str">
        <x:v>group_by_student</x:v>
      </x:c>
    </x:row>
    <x:row r="18" ht="28" customHeight="1">
      <x:c r="A18" s="133" t="str">
        <x:v>EST-0016</x:v>
      </x:c>
      <x:c r="B18" s="134" t="n">
        <x:v>1</x:v>
      </x:c>
      <x:c r="C18" s="134" t="str">
        <x:v>deserta</x:v>
      </x:c>
      <x:c r="D18" s="134" t="str">
        <x:v>holdout</x:v>
      </x:c>
      <x:c r="E18" s="135" t="str">
        <x:v>group_by_student</x:v>
      </x:c>
    </x:row>
    <x:row r="19" ht="28" customHeight="1">
      <x:c r="A19" s="133" t="str">
        <x:v>EST-0017</x:v>
      </x:c>
      <x:c r="B19" s="134" t="n">
        <x:v>0</x:v>
      </x:c>
      <x:c r="C19" s="134" t="str">
        <x:v>permanece</x:v>
      </x:c>
      <x:c r="D19" s="134" t="str">
        <x:v>train</x:v>
      </x:c>
      <x:c r="E19" s="135" t="str">
        <x:v>group_by_student</x:v>
      </x:c>
    </x:row>
    <x:row r="20" ht="28" customHeight="1">
      <x:c r="A20" s="133" t="str">
        <x:v>EST-0018</x:v>
      </x:c>
      <x:c r="B20" s="134" t="n">
        <x:v>1</x:v>
      </x:c>
      <x:c r="C20" s="134" t="str">
        <x:v>deserta</x:v>
      </x:c>
      <x:c r="D20" s="134" t="str">
        <x:v>train</x:v>
      </x:c>
      <x:c r="E20" s="135" t="str">
        <x:v>group_by_student</x:v>
      </x:c>
    </x:row>
    <x:row r="21" ht="28" customHeight="1">
      <x:c r="A21" s="133" t="str">
        <x:v>EST-0020</x:v>
      </x:c>
      <x:c r="B21" s="134" t="n">
        <x:v>0</x:v>
      </x:c>
      <x:c r="C21" s="134" t="str">
        <x:v>permanece</x:v>
      </x:c>
      <x:c r="D21" s="134" t="str">
        <x:v>train</x:v>
      </x:c>
      <x:c r="E21" s="135" t="str">
        <x:v>group_by_student</x:v>
      </x:c>
    </x:row>
    <x:row r="22" ht="28" customHeight="1">
      <x:c r="A22" s="133" t="str">
        <x:v>EST-0021</x:v>
      </x:c>
      <x:c r="B22" s="134" t="n">
        <x:v>0</x:v>
      </x:c>
      <x:c r="C22" s="134" t="str">
        <x:v>permanece</x:v>
      </x:c>
      <x:c r="D22" s="134" t="str">
        <x:v>validation</x:v>
      </x:c>
      <x:c r="E22" s="135" t="str">
        <x:v>group_by_student</x:v>
      </x:c>
    </x:row>
    <x:row r="23" ht="28" customHeight="1">
      <x:c r="A23" s="133" t="str">
        <x:v>EST-0022</x:v>
      </x:c>
      <x:c r="B23" s="134" t="n">
        <x:v>1</x:v>
      </x:c>
      <x:c r="C23" s="134" t="str">
        <x:v>deserta</x:v>
      </x:c>
      <x:c r="D23" s="134" t="str">
        <x:v>train</x:v>
      </x:c>
      <x:c r="E23" s="135" t="str">
        <x:v>group_by_student</x:v>
      </x:c>
    </x:row>
    <x:row r="24" ht="28" customHeight="1">
      <x:c r="A24" s="133" t="str">
        <x:v>EST-0023</x:v>
      </x:c>
      <x:c r="B24" s="134" t="n">
        <x:v>0</x:v>
      </x:c>
      <x:c r="C24" s="134" t="str">
        <x:v>permanece</x:v>
      </x:c>
      <x:c r="D24" s="134" t="str">
        <x:v>train</x:v>
      </x:c>
      <x:c r="E24" s="135" t="str">
        <x:v>group_by_student</x:v>
      </x:c>
    </x:row>
    <x:row r="25" ht="28" customHeight="1">
      <x:c r="A25" s="133" t="str">
        <x:v>EST-0024</x:v>
      </x:c>
      <x:c r="B25" s="134" t="n">
        <x:v>0</x:v>
      </x:c>
      <x:c r="C25" s="134" t="str">
        <x:v>permanece</x:v>
      </x:c>
      <x:c r="D25" s="134" t="str">
        <x:v>validation</x:v>
      </x:c>
      <x:c r="E25" s="135" t="str">
        <x:v>group_by_student</x:v>
      </x:c>
    </x:row>
    <x:row r="26" ht="28" customHeight="1">
      <x:c r="A26" s="133" t="str">
        <x:v>EST-0025</x:v>
      </x:c>
      <x:c r="B26" s="134" t="n">
        <x:v>0</x:v>
      </x:c>
      <x:c r="C26" s="134" t="str">
        <x:v>permanece</x:v>
      </x:c>
      <x:c r="D26" s="134" t="str">
        <x:v>holdout</x:v>
      </x:c>
      <x:c r="E26" s="135" t="str">
        <x:v>group_by_student</x:v>
      </x:c>
    </x:row>
    <x:row r="27" ht="28" customHeight="1">
      <x:c r="A27" s="133" t="str">
        <x:v>EST-0026</x:v>
      </x:c>
      <x:c r="B27" s="134" t="n">
        <x:v>0</x:v>
      </x:c>
      <x:c r="C27" s="134" t="str">
        <x:v>permanece</x:v>
      </x:c>
      <x:c r="D27" s="134" t="str">
        <x:v>holdout</x:v>
      </x:c>
      <x:c r="E27" s="135" t="str">
        <x:v>group_by_student</x:v>
      </x:c>
    </x:row>
    <x:row r="28" ht="28" customHeight="1">
      <x:c r="A28" s="133" t="str">
        <x:v>EST-0027</x:v>
      </x:c>
      <x:c r="B28" s="134" t="n">
        <x:v>0</x:v>
      </x:c>
      <x:c r="C28" s="134" t="str">
        <x:v>permanece</x:v>
      </x:c>
      <x:c r="D28" s="134" t="str">
        <x:v>holdout</x:v>
      </x:c>
      <x:c r="E28" s="135" t="str">
        <x:v>group_by_student</x:v>
      </x:c>
    </x:row>
    <x:row r="29" ht="28" customHeight="1">
      <x:c r="A29" s="133" t="str">
        <x:v>EST-0029</x:v>
      </x:c>
      <x:c r="B29" s="134" t="n">
        <x:v>0</x:v>
      </x:c>
      <x:c r="C29" s="134" t="str">
        <x:v>permanece</x:v>
      </x:c>
      <x:c r="D29" s="134" t="str">
        <x:v>holdout</x:v>
      </x:c>
      <x:c r="E29" s="135" t="str">
        <x:v>group_by_student</x:v>
      </x:c>
    </x:row>
    <x:row r="30" ht="28" customHeight="1">
      <x:c r="A30" s="133" t="str">
        <x:v>EST-0030</x:v>
      </x:c>
      <x:c r="B30" s="134" t="n">
        <x:v>0</x:v>
      </x:c>
      <x:c r="C30" s="134" t="str">
        <x:v>permanece</x:v>
      </x:c>
      <x:c r="D30" s="134" t="str">
        <x:v>validation</x:v>
      </x:c>
      <x:c r="E30" s="135" t="str">
        <x:v>group_by_student</x:v>
      </x:c>
    </x:row>
    <x:row r="31" ht="28" customHeight="1">
      <x:c r="A31" s="133" t="str">
        <x:v>EST-0031</x:v>
      </x:c>
      <x:c r="B31" s="134" t="n">
        <x:v>0</x:v>
      </x:c>
      <x:c r="C31" s="134" t="str">
        <x:v>permanece</x:v>
      </x:c>
      <x:c r="D31" s="134" t="str">
        <x:v>train</x:v>
      </x:c>
      <x:c r="E31" s="135" t="str">
        <x:v>group_by_student</x:v>
      </x:c>
    </x:row>
    <x:row r="32" ht="28" customHeight="1">
      <x:c r="A32" s="133" t="str">
        <x:v>EST-0032</x:v>
      </x:c>
      <x:c r="B32" s="134" t="n">
        <x:v>1</x:v>
      </x:c>
      <x:c r="C32" s="134" t="str">
        <x:v>deserta</x:v>
      </x:c>
      <x:c r="D32" s="134" t="str">
        <x:v>holdout</x:v>
      </x:c>
      <x:c r="E32" s="135" t="str">
        <x:v>group_by_student</x:v>
      </x:c>
    </x:row>
    <x:row r="33" ht="28" customHeight="1">
      <x:c r="A33" s="133" t="str">
        <x:v>EST-0033</x:v>
      </x:c>
      <x:c r="B33" s="134" t="n">
        <x:v>0</x:v>
      </x:c>
      <x:c r="C33" s="134" t="str">
        <x:v>permanece</x:v>
      </x:c>
      <x:c r="D33" s="134" t="str">
        <x:v>train</x:v>
      </x:c>
      <x:c r="E33" s="135" t="str">
        <x:v>group_by_student</x:v>
      </x:c>
    </x:row>
    <x:row r="34" ht="28" customHeight="1">
      <x:c r="A34" s="133" t="str">
        <x:v>EST-0034</x:v>
      </x:c>
      <x:c r="B34" s="134" t="n">
        <x:v>0</x:v>
      </x:c>
      <x:c r="C34" s="134" t="str">
        <x:v>permanece</x:v>
      </x:c>
      <x:c r="D34" s="134" t="str">
        <x:v>holdout</x:v>
      </x:c>
      <x:c r="E34" s="135" t="str">
        <x:v>group_by_student</x:v>
      </x:c>
    </x:row>
    <x:row r="35" ht="28" customHeight="1">
      <x:c r="A35" s="133" t="str">
        <x:v>EST-0035</x:v>
      </x:c>
      <x:c r="B35" s="134" t="n">
        <x:v>0</x:v>
      </x:c>
      <x:c r="C35" s="134" t="str">
        <x:v>permanece</x:v>
      </x:c>
      <x:c r="D35" s="134" t="str">
        <x:v>train</x:v>
      </x:c>
      <x:c r="E35" s="135" t="str">
        <x:v>group_by_student</x:v>
      </x:c>
    </x:row>
    <x:row r="36" ht="28" customHeight="1">
      <x:c r="A36" s="133" t="str">
        <x:v>EST-0036</x:v>
      </x:c>
      <x:c r="B36" s="134" t="n">
        <x:v>1</x:v>
      </x:c>
      <x:c r="C36" s="134" t="str">
        <x:v>deserta</x:v>
      </x:c>
      <x:c r="D36" s="134" t="str">
        <x:v>train</x:v>
      </x:c>
      <x:c r="E36" s="135" t="str">
        <x:v>group_by_student</x:v>
      </x:c>
    </x:row>
    <x:row r="37" ht="28" customHeight="1">
      <x:c r="A37" s="133" t="str">
        <x:v>EST-0038</x:v>
      </x:c>
      <x:c r="B37" s="134" t="n">
        <x:v>0</x:v>
      </x:c>
      <x:c r="C37" s="134" t="str">
        <x:v>permanece</x:v>
      </x:c>
      <x:c r="D37" s="134" t="str">
        <x:v>validation</x:v>
      </x:c>
      <x:c r="E37" s="135" t="str">
        <x:v>group_by_student</x:v>
      </x:c>
    </x:row>
    <x:row r="38" ht="28" customHeight="1">
      <x:c r="A38" s="133" t="str">
        <x:v>EST-0039</x:v>
      </x:c>
      <x:c r="B38" s="134" t="n">
        <x:v>0</x:v>
      </x:c>
      <x:c r="C38" s="134" t="str">
        <x:v>permanece</x:v>
      </x:c>
      <x:c r="D38" s="134" t="str">
        <x:v>train</x:v>
      </x:c>
      <x:c r="E38" s="135" t="str">
        <x:v>group_by_student</x:v>
      </x:c>
    </x:row>
    <x:row r="39" ht="28" customHeight="1">
      <x:c r="A39" s="133" t="str">
        <x:v>EST-0040</x:v>
      </x:c>
      <x:c r="B39" s="134" t="n">
        <x:v>0</x:v>
      </x:c>
      <x:c r="C39" s="134" t="str">
        <x:v>permanece</x:v>
      </x:c>
      <x:c r="D39" s="134" t="str">
        <x:v>train</x:v>
      </x:c>
      <x:c r="E39" s="135" t="str">
        <x:v>group_by_student</x:v>
      </x:c>
    </x:row>
    <x:row r="40" ht="28" customHeight="1">
      <x:c r="A40" s="133" t="str">
        <x:v>EST-0041</x:v>
      </x:c>
      <x:c r="B40" s="134" t="n">
        <x:v>0</x:v>
      </x:c>
      <x:c r="C40" s="134" t="str">
        <x:v>permanece</x:v>
      </x:c>
      <x:c r="D40" s="134" t="str">
        <x:v>train</x:v>
      </x:c>
      <x:c r="E40" s="135" t="str">
        <x:v>group_by_student</x:v>
      </x:c>
    </x:row>
    <x:row r="41" ht="28" customHeight="1">
      <x:c r="A41" s="133" t="str">
        <x:v>EST-0042</x:v>
      </x:c>
      <x:c r="B41" s="134" t="n">
        <x:v>0</x:v>
      </x:c>
      <x:c r="C41" s="134" t="str">
        <x:v>permanece</x:v>
      </x:c>
      <x:c r="D41" s="134" t="str">
        <x:v>train</x:v>
      </x:c>
      <x:c r="E41" s="135" t="str">
        <x:v>group_by_student</x:v>
      </x:c>
    </x:row>
    <x:row r="42" ht="28" customHeight="1">
      <x:c r="A42" s="133" t="str">
        <x:v>EST-0043</x:v>
      </x:c>
      <x:c r="B42" s="134" t="n">
        <x:v>0</x:v>
      </x:c>
      <x:c r="C42" s="134" t="str">
        <x:v>permanece</x:v>
      </x:c>
      <x:c r="D42" s="134" t="str">
        <x:v>holdout</x:v>
      </x:c>
      <x:c r="E42" s="135" t="str">
        <x:v>group_by_student</x:v>
      </x:c>
    </x:row>
    <x:row r="43" ht="28" customHeight="1">
      <x:c r="A43" s="133" t="str">
        <x:v>EST-0044</x:v>
      </x:c>
      <x:c r="B43" s="134" t="n">
        <x:v>0</x:v>
      </x:c>
      <x:c r="C43" s="134" t="str">
        <x:v>permanece</x:v>
      </x:c>
      <x:c r="D43" s="134" t="str">
        <x:v>train</x:v>
      </x:c>
      <x:c r="E43" s="135" t="str">
        <x:v>group_by_student</x:v>
      </x:c>
    </x:row>
    <x:row r="44" ht="28" customHeight="1">
      <x:c r="A44" s="133" t="str">
        <x:v>EST-0045</x:v>
      </x:c>
      <x:c r="B44" s="134" t="n">
        <x:v>0</x:v>
      </x:c>
      <x:c r="C44" s="134" t="str">
        <x:v>permanece</x:v>
      </x:c>
      <x:c r="D44" s="134" t="str">
        <x:v>validation</x:v>
      </x:c>
      <x:c r="E44" s="135" t="str">
        <x:v>group_by_student</x:v>
      </x:c>
    </x:row>
    <x:row r="45" ht="28" customHeight="1">
      <x:c r="A45" s="133" t="str">
        <x:v>EST-0047</x:v>
      </x:c>
      <x:c r="B45" s="134" t="n">
        <x:v>1</x:v>
      </x:c>
      <x:c r="C45" s="134" t="str">
        <x:v>deserta</x:v>
      </x:c>
      <x:c r="D45" s="134" t="str">
        <x:v>validation</x:v>
      </x:c>
      <x:c r="E45" s="135" t="str">
        <x:v>group_by_student</x:v>
      </x:c>
    </x:row>
    <x:row r="46" ht="28" customHeight="1">
      <x:c r="A46" s="133" t="str">
        <x:v>EST-0048</x:v>
      </x:c>
      <x:c r="B46" s="134" t="n">
        <x:v>1</x:v>
      </x:c>
      <x:c r="C46" s="134" t="str">
        <x:v>deserta</x:v>
      </x:c>
      <x:c r="D46" s="134" t="str">
        <x:v>validation</x:v>
      </x:c>
      <x:c r="E46" s="135" t="str">
        <x:v>group_by_student</x:v>
      </x:c>
    </x:row>
    <x:row r="47" ht="28" customHeight="1">
      <x:c r="A47" s="133" t="str">
        <x:v>EST-0049</x:v>
      </x:c>
      <x:c r="B47" s="134" t="n">
        <x:v>1</x:v>
      </x:c>
      <x:c r="C47" s="134" t="str">
        <x:v>deserta</x:v>
      </x:c>
      <x:c r="D47" s="134" t="str">
        <x:v>holdout</x:v>
      </x:c>
      <x:c r="E47" s="135" t="str">
        <x:v>group_by_student</x:v>
      </x:c>
    </x:row>
    <x:row r="48" ht="28" customHeight="1">
      <x:c r="A48" s="133" t="str">
        <x:v>EST-0050</x:v>
      </x:c>
      <x:c r="B48" s="134" t="n">
        <x:v>0</x:v>
      </x:c>
      <x:c r="C48" s="134" t="str">
        <x:v>permanece</x:v>
      </x:c>
      <x:c r="D48" s="134" t="str">
        <x:v>train</x:v>
      </x:c>
      <x:c r="E48" s="135" t="str">
        <x:v>group_by_student</x:v>
      </x:c>
    </x:row>
    <x:row r="49" ht="28" customHeight="1">
      <x:c r="A49" s="133" t="str">
        <x:v>EST-0051</x:v>
      </x:c>
      <x:c r="B49" s="134" t="n">
        <x:v>0</x:v>
      </x:c>
      <x:c r="C49" s="134" t="str">
        <x:v>permanece</x:v>
      </x:c>
      <x:c r="D49" s="134" t="str">
        <x:v>train</x:v>
      </x:c>
      <x:c r="E49" s="135" t="str">
        <x:v>group_by_student</x:v>
      </x:c>
    </x:row>
    <x:row r="50" ht="28" customHeight="1">
      <x:c r="A50" s="133" t="str">
        <x:v>EST-0052</x:v>
      </x:c>
      <x:c r="B50" s="134" t="n">
        <x:v>1</x:v>
      </x:c>
      <x:c r="C50" s="134" t="str">
        <x:v>deserta</x:v>
      </x:c>
      <x:c r="D50" s="134" t="str">
        <x:v>train</x:v>
      </x:c>
      <x:c r="E50" s="135" t="str">
        <x:v>group_by_student</x:v>
      </x:c>
    </x:row>
    <x:row r="51" ht="28" customHeight="1">
      <x:c r="A51" s="133" t="str">
        <x:v>EST-0053</x:v>
      </x:c>
      <x:c r="B51" s="134" t="n">
        <x:v>1</x:v>
      </x:c>
      <x:c r="C51" s="134" t="str">
        <x:v>deserta</x:v>
      </x:c>
      <x:c r="D51" s="134" t="str">
        <x:v>train</x:v>
      </x:c>
      <x:c r="E51" s="135" t="str">
        <x:v>group_by_student</x:v>
      </x:c>
    </x:row>
    <x:row r="52" ht="28" customHeight="1">
      <x:c r="A52" s="133" t="str">
        <x:v>EST-0054</x:v>
      </x:c>
      <x:c r="B52" s="134" t="n">
        <x:v>0</x:v>
      </x:c>
      <x:c r="C52" s="134" t="str">
        <x:v>permanece</x:v>
      </x:c>
      <x:c r="D52" s="134" t="str">
        <x:v>train</x:v>
      </x:c>
      <x:c r="E52" s="135" t="str">
        <x:v>group_by_student</x:v>
      </x:c>
    </x:row>
    <x:row r="53" ht="28" customHeight="1">
      <x:c r="A53" s="133" t="str">
        <x:v>EST-0056</x:v>
      </x:c>
      <x:c r="B53" s="134" t="n">
        <x:v>0</x:v>
      </x:c>
      <x:c r="C53" s="134" t="str">
        <x:v>permanece</x:v>
      </x:c>
      <x:c r="D53" s="134" t="str">
        <x:v>train</x:v>
      </x:c>
      <x:c r="E53" s="135" t="str">
        <x:v>group_by_student</x:v>
      </x:c>
    </x:row>
    <x:row r="54" ht="28" customHeight="1">
      <x:c r="A54" s="133" t="str">
        <x:v>EST-0057</x:v>
      </x:c>
      <x:c r="B54" s="134" t="n">
        <x:v>1</x:v>
      </x:c>
      <x:c r="C54" s="134" t="str">
        <x:v>deserta</x:v>
      </x:c>
      <x:c r="D54" s="134" t="str">
        <x:v>train</x:v>
      </x:c>
      <x:c r="E54" s="135" t="str">
        <x:v>group_by_student</x:v>
      </x:c>
    </x:row>
    <x:row r="55" ht="28" customHeight="1">
      <x:c r="A55" s="133" t="str">
        <x:v>EST-0058</x:v>
      </x:c>
      <x:c r="B55" s="134" t="n">
        <x:v>1</x:v>
      </x:c>
      <x:c r="C55" s="134" t="str">
        <x:v>deserta</x:v>
      </x:c>
      <x:c r="D55" s="134" t="str">
        <x:v>validation</x:v>
      </x:c>
      <x:c r="E55" s="135" t="str">
        <x:v>group_by_student</x:v>
      </x:c>
    </x:row>
    <x:row r="56" ht="28" customHeight="1">
      <x:c r="A56" s="133" t="str">
        <x:v>EST-0059</x:v>
      </x:c>
      <x:c r="B56" s="134" t="n">
        <x:v>0</x:v>
      </x:c>
      <x:c r="C56" s="134" t="str">
        <x:v>permanece</x:v>
      </x:c>
      <x:c r="D56" s="134" t="str">
        <x:v>validation</x:v>
      </x:c>
      <x:c r="E56" s="135" t="str">
        <x:v>group_by_student</x:v>
      </x:c>
    </x:row>
    <x:row r="57" ht="28" customHeight="1">
      <x:c r="A57" s="133" t="str">
        <x:v>EST-0060</x:v>
      </x:c>
      <x:c r="B57" s="134" t="n">
        <x:v>0</x:v>
      </x:c>
      <x:c r="C57" s="134" t="str">
        <x:v>permanece</x:v>
      </x:c>
      <x:c r="D57" s="134" t="str">
        <x:v>holdout</x:v>
      </x:c>
      <x:c r="E57" s="135" t="str">
        <x:v>group_by_student</x:v>
      </x:c>
    </x:row>
    <x:row r="58" ht="28" customHeight="1">
      <x:c r="A58" s="133" t="str">
        <x:v>EST-0061</x:v>
      </x:c>
      <x:c r="B58" s="134" t="n">
        <x:v>0</x:v>
      </x:c>
      <x:c r="C58" s="134" t="str">
        <x:v>permanece</x:v>
      </x:c>
      <x:c r="D58" s="134" t="str">
        <x:v>train</x:v>
      </x:c>
      <x:c r="E58" s="135" t="str">
        <x:v>group_by_student</x:v>
      </x:c>
    </x:row>
    <x:row r="59" ht="28" customHeight="1">
      <x:c r="A59" s="133" t="str">
        <x:v>EST-0062</x:v>
      </x:c>
      <x:c r="B59" s="134" t="n">
        <x:v>0</x:v>
      </x:c>
      <x:c r="C59" s="134" t="str">
        <x:v>permanece</x:v>
      </x:c>
      <x:c r="D59" s="134" t="str">
        <x:v>train</x:v>
      </x:c>
      <x:c r="E59" s="135" t="str">
        <x:v>group_by_student</x:v>
      </x:c>
    </x:row>
    <x:row r="60" ht="28" customHeight="1">
      <x:c r="A60" s="133" t="str">
        <x:v>EST-0063</x:v>
      </x:c>
      <x:c r="B60" s="134" t="n">
        <x:v>0</x:v>
      </x:c>
      <x:c r="C60" s="134" t="str">
        <x:v>permanece</x:v>
      </x:c>
      <x:c r="D60" s="134" t="str">
        <x:v>validation</x:v>
      </x:c>
      <x:c r="E60" s="135" t="str">
        <x:v>group_by_student</x:v>
      </x:c>
    </x:row>
    <x:row r="61" ht="28" customHeight="1">
      <x:c r="A61" s="133" t="str">
        <x:v>EST-0065</x:v>
      </x:c>
      <x:c r="B61" s="134" t="n">
        <x:v>0</x:v>
      </x:c>
      <x:c r="C61" s="134" t="str">
        <x:v>permanece</x:v>
      </x:c>
      <x:c r="D61" s="134" t="str">
        <x:v>holdout</x:v>
      </x:c>
      <x:c r="E61" s="135" t="str">
        <x:v>group_by_student</x:v>
      </x:c>
    </x:row>
    <x:row r="62" ht="28" customHeight="1">
      <x:c r="A62" s="133" t="str">
        <x:v>EST-0066</x:v>
      </x:c>
      <x:c r="B62" s="134" t="n">
        <x:v>0</x:v>
      </x:c>
      <x:c r="C62" s="134" t="str">
        <x:v>permanece</x:v>
      </x:c>
      <x:c r="D62" s="134" t="str">
        <x:v>train</x:v>
      </x:c>
      <x:c r="E62" s="135" t="str">
        <x:v>group_by_student</x:v>
      </x:c>
    </x:row>
    <x:row r="63" ht="28" customHeight="1">
      <x:c r="A63" s="133" t="str">
        <x:v>EST-0067</x:v>
      </x:c>
      <x:c r="B63" s="134" t="n">
        <x:v>0</x:v>
      </x:c>
      <x:c r="C63" s="134" t="str">
        <x:v>permanece</x:v>
      </x:c>
      <x:c r="D63" s="134" t="str">
        <x:v>train</x:v>
      </x:c>
      <x:c r="E63" s="135" t="str">
        <x:v>group_by_student</x:v>
      </x:c>
    </x:row>
    <x:row r="64" ht="28" customHeight="1">
      <x:c r="A64" s="133" t="str">
        <x:v>EST-0068</x:v>
      </x:c>
      <x:c r="B64" s="134" t="n">
        <x:v>0</x:v>
      </x:c>
      <x:c r="C64" s="134" t="str">
        <x:v>permanece</x:v>
      </x:c>
      <x:c r="D64" s="134" t="str">
        <x:v>holdout</x:v>
      </x:c>
      <x:c r="E64" s="135" t="str">
        <x:v>group_by_student</x:v>
      </x:c>
    </x:row>
    <x:row r="65" ht="28" customHeight="1">
      <x:c r="A65" s="133" t="str">
        <x:v>EST-0069</x:v>
      </x:c>
      <x:c r="B65" s="134" t="n">
        <x:v>0</x:v>
      </x:c>
      <x:c r="C65" s="134" t="str">
        <x:v>permanece</x:v>
      </x:c>
      <x:c r="D65" s="134" t="str">
        <x:v>train</x:v>
      </x:c>
      <x:c r="E65" s="135" t="str">
        <x:v>group_by_student</x:v>
      </x:c>
    </x:row>
    <x:row r="66" ht="28" customHeight="1">
      <x:c r="A66" s="133" t="str">
        <x:v>EST-0070</x:v>
      </x:c>
      <x:c r="B66" s="134" t="n">
        <x:v>0</x:v>
      </x:c>
      <x:c r="C66" s="134" t="str">
        <x:v>permanece</x:v>
      </x:c>
      <x:c r="D66" s="134" t="str">
        <x:v>train</x:v>
      </x:c>
      <x:c r="E66" s="135" t="str">
        <x:v>group_by_student</x:v>
      </x:c>
    </x:row>
    <x:row r="67" ht="28" customHeight="1">
      <x:c r="A67" s="133" t="str">
        <x:v>EST-0071</x:v>
      </x:c>
      <x:c r="B67" s="134" t="n">
        <x:v>0</x:v>
      </x:c>
      <x:c r="C67" s="134" t="str">
        <x:v>permanece</x:v>
      </x:c>
      <x:c r="D67" s="134" t="str">
        <x:v>validation</x:v>
      </x:c>
      <x:c r="E67" s="135" t="str">
        <x:v>group_by_student</x:v>
      </x:c>
    </x:row>
    <x:row r="68" ht="28" customHeight="1">
      <x:c r="A68" s="133" t="str">
        <x:v>EST-0072</x:v>
      </x:c>
      <x:c r="B68" s="134" t="n">
        <x:v>0</x:v>
      </x:c>
      <x:c r="C68" s="134" t="str">
        <x:v>permanece</x:v>
      </x:c>
      <x:c r="D68" s="134" t="str">
        <x:v>train</x:v>
      </x:c>
      <x:c r="E68" s="135" t="str">
        <x:v>group_by_student</x:v>
      </x:c>
    </x:row>
    <x:row r="69" ht="28" customHeight="1">
      <x:c r="A69" s="133" t="str">
        <x:v>EST-0074</x:v>
      </x:c>
      <x:c r="B69" s="134" t="n">
        <x:v>0</x:v>
      </x:c>
      <x:c r="C69" s="134" t="str">
        <x:v>permanece</x:v>
      </x:c>
      <x:c r="D69" s="134" t="str">
        <x:v>train</x:v>
      </x:c>
      <x:c r="E69" s="135" t="str">
        <x:v>group_by_student</x:v>
      </x:c>
    </x:row>
    <x:row r="70" ht="28" customHeight="1">
      <x:c r="A70" s="133" t="str">
        <x:v>EST-0075</x:v>
      </x:c>
      <x:c r="B70" s="134" t="n">
        <x:v>1</x:v>
      </x:c>
      <x:c r="C70" s="134" t="str">
        <x:v>deserta</x:v>
      </x:c>
      <x:c r="D70" s="134" t="str">
        <x:v>train</x:v>
      </x:c>
      <x:c r="E70" s="135" t="str">
        <x:v>group_by_student</x:v>
      </x:c>
    </x:row>
    <x:row r="71" ht="28" customHeight="1">
      <x:c r="A71" s="133" t="str">
        <x:v>EST-0076</x:v>
      </x:c>
      <x:c r="B71" s="134" t="n">
        <x:v>0</x:v>
      </x:c>
      <x:c r="C71" s="134" t="str">
        <x:v>permanece</x:v>
      </x:c>
      <x:c r="D71" s="134" t="str">
        <x:v>holdout</x:v>
      </x:c>
      <x:c r="E71" s="135" t="str">
        <x:v>group_by_student</x:v>
      </x:c>
    </x:row>
    <x:row r="72" ht="28" customHeight="1">
      <x:c r="A72" s="133" t="str">
        <x:v>EST-0077</x:v>
      </x:c>
      <x:c r="B72" s="134" t="n">
        <x:v>1</x:v>
      </x:c>
      <x:c r="C72" s="134" t="str">
        <x:v>deserta</x:v>
      </x:c>
      <x:c r="D72" s="134" t="str">
        <x:v>train</x:v>
      </x:c>
      <x:c r="E72" s="135" t="str">
        <x:v>group_by_student</x:v>
      </x:c>
    </x:row>
    <x:row r="73" ht="28" customHeight="1">
      <x:c r="A73" s="133" t="str">
        <x:v>EST-0078</x:v>
      </x:c>
      <x:c r="B73" s="134" t="n">
        <x:v>0</x:v>
      </x:c>
      <x:c r="C73" s="134" t="str">
        <x:v>permanece</x:v>
      </x:c>
      <x:c r="D73" s="134" t="str">
        <x:v>train</x:v>
      </x:c>
      <x:c r="E73" s="135" t="str">
        <x:v>group_by_student</x:v>
      </x:c>
    </x:row>
    <x:row r="74" ht="28" customHeight="1">
      <x:c r="A74" s="133" t="str">
        <x:v>EST-0079</x:v>
      </x:c>
      <x:c r="B74" s="134" t="n">
        <x:v>0</x:v>
      </x:c>
      <x:c r="C74" s="134" t="str">
        <x:v>permanece</x:v>
      </x:c>
      <x:c r="D74" s="134" t="str">
        <x:v>train</x:v>
      </x:c>
      <x:c r="E74" s="135" t="str">
        <x:v>group_by_student</x:v>
      </x:c>
    </x:row>
    <x:row r="75" ht="28" customHeight="1">
      <x:c r="A75" s="133" t="str">
        <x:v>EST-0080</x:v>
      </x:c>
      <x:c r="B75" s="134" t="n">
        <x:v>1</x:v>
      </x:c>
      <x:c r="C75" s="134" t="str">
        <x:v>deserta</x:v>
      </x:c>
      <x:c r="D75" s="134" t="str">
        <x:v>train</x:v>
      </x:c>
      <x:c r="E75" s="135" t="str">
        <x:v>group_by_student</x:v>
      </x:c>
    </x:row>
    <x:row r="76" ht="28" customHeight="1">
      <x:c r="A76" s="133" t="str">
        <x:v>EST-0081</x:v>
      </x:c>
      <x:c r="B76" s="134" t="n">
        <x:v>0</x:v>
      </x:c>
      <x:c r="C76" s="134" t="str">
        <x:v>permanece</x:v>
      </x:c>
      <x:c r="D76" s="134" t="str">
        <x:v>holdout</x:v>
      </x:c>
      <x:c r="E76" s="135" t="str">
        <x:v>group_by_student</x:v>
      </x:c>
    </x:row>
    <x:row r="77" ht="28" customHeight="1">
      <x:c r="A77" s="133" t="str">
        <x:v>EST-0083</x:v>
      </x:c>
      <x:c r="B77" s="134" t="n">
        <x:v>0</x:v>
      </x:c>
      <x:c r="C77" s="134" t="str">
        <x:v>permanece</x:v>
      </x:c>
      <x:c r="D77" s="134" t="str">
        <x:v>holdout</x:v>
      </x:c>
      <x:c r="E77" s="135" t="str">
        <x:v>group_by_student</x:v>
      </x:c>
    </x:row>
    <x:row r="78" ht="28" customHeight="1">
      <x:c r="A78" s="133" t="str">
        <x:v>EST-0084</x:v>
      </x:c>
      <x:c r="B78" s="134" t="n">
        <x:v>1</x:v>
      </x:c>
      <x:c r="C78" s="134" t="str">
        <x:v>deserta</x:v>
      </x:c>
      <x:c r="D78" s="134" t="str">
        <x:v>validation</x:v>
      </x:c>
      <x:c r="E78" s="135" t="str">
        <x:v>group_by_student</x:v>
      </x:c>
    </x:row>
    <x:row r="79" ht="28" customHeight="1">
      <x:c r="A79" s="133" t="str">
        <x:v>EST-0085</x:v>
      </x:c>
      <x:c r="B79" s="134" t="n">
        <x:v>1</x:v>
      </x:c>
      <x:c r="C79" s="134" t="str">
        <x:v>deserta</x:v>
      </x:c>
      <x:c r="D79" s="134" t="str">
        <x:v>train</x:v>
      </x:c>
      <x:c r="E79" s="135" t="str">
        <x:v>group_by_student</x:v>
      </x:c>
    </x:row>
    <x:row r="80" ht="28" customHeight="1">
      <x:c r="A80" s="133" t="str">
        <x:v>EST-0086</x:v>
      </x:c>
      <x:c r="B80" s="134" t="n">
        <x:v>0</x:v>
      </x:c>
      <x:c r="C80" s="134" t="str">
        <x:v>permanece</x:v>
      </x:c>
      <x:c r="D80" s="134" t="str">
        <x:v>train</x:v>
      </x:c>
      <x:c r="E80" s="135" t="str">
        <x:v>group_by_student</x:v>
      </x:c>
    </x:row>
    <x:row r="81" ht="28" customHeight="1">
      <x:c r="A81" s="133" t="str">
        <x:v>EST-0087</x:v>
      </x:c>
      <x:c r="B81" s="134" t="n">
        <x:v>1</x:v>
      </x:c>
      <x:c r="C81" s="134" t="str">
        <x:v>deserta</x:v>
      </x:c>
      <x:c r="D81" s="134" t="str">
        <x:v>train</x:v>
      </x:c>
      <x:c r="E81" s="135" t="str">
        <x:v>group_by_student</x:v>
      </x:c>
    </x:row>
    <x:row r="82" ht="28" customHeight="1">
      <x:c r="A82" s="133" t="str">
        <x:v>EST-0088</x:v>
      </x:c>
      <x:c r="B82" s="134" t="n">
        <x:v>0</x:v>
      </x:c>
      <x:c r="C82" s="134" t="str">
        <x:v>permanece</x:v>
      </x:c>
      <x:c r="D82" s="134" t="str">
        <x:v>train</x:v>
      </x:c>
      <x:c r="E82" s="135" t="str">
        <x:v>group_by_student</x:v>
      </x:c>
    </x:row>
    <x:row r="83" ht="28" customHeight="1">
      <x:c r="A83" s="133" t="str">
        <x:v>EST-0089</x:v>
      </x:c>
      <x:c r="B83" s="134" t="n">
        <x:v>0</x:v>
      </x:c>
      <x:c r="C83" s="134" t="str">
        <x:v>permanece</x:v>
      </x:c>
      <x:c r="D83" s="134" t="str">
        <x:v>train</x:v>
      </x:c>
      <x:c r="E83" s="135" t="str">
        <x:v>group_by_student</x:v>
      </x:c>
    </x:row>
    <x:row r="84" ht="28" customHeight="1">
      <x:c r="A84" s="133" t="str">
        <x:v>EST-0090</x:v>
      </x:c>
      <x:c r="B84" s="134" t="n">
        <x:v>0</x:v>
      </x:c>
      <x:c r="C84" s="134" t="str">
        <x:v>permanece</x:v>
      </x:c>
      <x:c r="D84" s="134" t="str">
        <x:v>train</x:v>
      </x:c>
      <x:c r="E84" s="135" t="str">
        <x:v>group_by_student</x:v>
      </x:c>
    </x:row>
    <x:row r="85" ht="28" customHeight="1">
      <x:c r="A85" s="133" t="str">
        <x:v>EST-0091</x:v>
      </x:c>
      <x:c r="B85" s="134" t="n">
        <x:v>1</x:v>
      </x:c>
      <x:c r="C85" s="134" t="str">
        <x:v>deserta</x:v>
      </x:c>
      <x:c r="D85" s="134" t="str">
        <x:v>train</x:v>
      </x:c>
      <x:c r="E85" s="135" t="str">
        <x:v>group_by_student</x:v>
      </x:c>
    </x:row>
    <x:row r="86" ht="28" customHeight="1">
      <x:c r="A86" s="133" t="str">
        <x:v>EST-0092</x:v>
      </x:c>
      <x:c r="B86" s="134" t="n">
        <x:v>0</x:v>
      </x:c>
      <x:c r="C86" s="134" t="str">
        <x:v>permanece</x:v>
      </x:c>
      <x:c r="D86" s="134" t="str">
        <x:v>holdout</x:v>
      </x:c>
      <x:c r="E86" s="135" t="str">
        <x:v>group_by_student</x:v>
      </x:c>
    </x:row>
    <x:row r="87" ht="28" customHeight="1">
      <x:c r="A87" s="133" t="str">
        <x:v>EST-0094</x:v>
      </x:c>
      <x:c r="B87" s="134" t="n">
        <x:v>0</x:v>
      </x:c>
      <x:c r="C87" s="134" t="str">
        <x:v>permanece</x:v>
      </x:c>
      <x:c r="D87" s="134" t="str">
        <x:v>train</x:v>
      </x:c>
      <x:c r="E87" s="135" t="str">
        <x:v>group_by_student</x:v>
      </x:c>
    </x:row>
    <x:row r="88" ht="28" customHeight="1">
      <x:c r="A88" s="133" t="str">
        <x:v>EST-0095</x:v>
      </x:c>
      <x:c r="B88" s="134" t="n">
        <x:v>0</x:v>
      </x:c>
      <x:c r="C88" s="134" t="str">
        <x:v>permanece</x:v>
      </x:c>
      <x:c r="D88" s="134" t="str">
        <x:v>holdout</x:v>
      </x:c>
      <x:c r="E88" s="135" t="str">
        <x:v>group_by_student</x:v>
      </x:c>
    </x:row>
    <x:row r="89" ht="28" customHeight="1">
      <x:c r="A89" s="133" t="str">
        <x:v>EST-0096</x:v>
      </x:c>
      <x:c r="B89" s="134" t="n">
        <x:v>0</x:v>
      </x:c>
      <x:c r="C89" s="134" t="str">
        <x:v>permanece</x:v>
      </x:c>
      <x:c r="D89" s="134" t="str">
        <x:v>holdout</x:v>
      </x:c>
      <x:c r="E89" s="135" t="str">
        <x:v>group_by_student</x:v>
      </x:c>
    </x:row>
    <x:row r="90" ht="28" customHeight="1">
      <x:c r="A90" s="133" t="str">
        <x:v>EST-0097</x:v>
      </x:c>
      <x:c r="B90" s="134" t="n">
        <x:v>0</x:v>
      </x:c>
      <x:c r="C90" s="134" t="str">
        <x:v>permanece</x:v>
      </x:c>
      <x:c r="D90" s="134" t="str">
        <x:v>validation</x:v>
      </x:c>
      <x:c r="E90" s="135" t="str">
        <x:v>group_by_student</x:v>
      </x:c>
    </x:row>
    <x:row r="91" ht="28" customHeight="1">
      <x:c r="A91" s="133" t="str">
        <x:v>EST-0098</x:v>
      </x:c>
      <x:c r="B91" s="134" t="n">
        <x:v>0</x:v>
      </x:c>
      <x:c r="C91" s="134" t="str">
        <x:v>permanece</x:v>
      </x:c>
      <x:c r="D91" s="134" t="str">
        <x:v>train</x:v>
      </x:c>
      <x:c r="E91" s="135" t="str">
        <x:v>group_by_student</x:v>
      </x:c>
    </x:row>
    <x:row r="92" ht="28" customHeight="1">
      <x:c r="A92" s="133" t="str">
        <x:v>EST-0099</x:v>
      </x:c>
      <x:c r="B92" s="134" t="n">
        <x:v>0</x:v>
      </x:c>
      <x:c r="C92" s="134" t="str">
        <x:v>permanece</x:v>
      </x:c>
      <x:c r="D92" s="134" t="str">
        <x:v>train</x:v>
      </x:c>
      <x:c r="E92" s="135" t="str">
        <x:v>group_by_student</x:v>
      </x:c>
    </x:row>
    <x:row r="93" ht="28" customHeight="1">
      <x:c r="A93" s="133" t="str">
        <x:v>EST-0100</x:v>
      </x:c>
      <x:c r="B93" s="134" t="n">
        <x:v>1</x:v>
      </x:c>
      <x:c r="C93" s="134" t="str">
        <x:v>deserta</x:v>
      </x:c>
      <x:c r="D93" s="134" t="str">
        <x:v>train</x:v>
      </x:c>
      <x:c r="E93" s="135" t="str">
        <x:v>group_by_student</x:v>
      </x:c>
    </x:row>
    <x:row r="94" ht="28" customHeight="1">
      <x:c r="A94" s="133" t="str">
        <x:v>EST-0101</x:v>
      </x:c>
      <x:c r="B94" s="134" t="n">
        <x:v>0</x:v>
      </x:c>
      <x:c r="C94" s="134" t="str">
        <x:v>permanece</x:v>
      </x:c>
      <x:c r="D94" s="134" t="str">
        <x:v>train</x:v>
      </x:c>
      <x:c r="E94" s="135" t="str">
        <x:v>group_by_student</x:v>
      </x:c>
    </x:row>
    <x:row r="95" ht="28" customHeight="1">
      <x:c r="A95" s="133" t="str">
        <x:v>EST-0102</x:v>
      </x:c>
      <x:c r="B95" s="134" t="n">
        <x:v>0</x:v>
      </x:c>
      <x:c r="C95" s="134" t="str">
        <x:v>permanece</x:v>
      </x:c>
      <x:c r="D95" s="134" t="str">
        <x:v>train</x:v>
      </x:c>
      <x:c r="E95" s="135" t="str">
        <x:v>group_by_student</x:v>
      </x:c>
    </x:row>
    <x:row r="96" ht="28" customHeight="1">
      <x:c r="A96" s="133" t="str">
        <x:v>EST-0103</x:v>
      </x:c>
      <x:c r="B96" s="134" t="n">
        <x:v>0</x:v>
      </x:c>
      <x:c r="C96" s="134" t="str">
        <x:v>permanece</x:v>
      </x:c>
      <x:c r="D96" s="134" t="str">
        <x:v>train</x:v>
      </x:c>
      <x:c r="E96" s="135" t="str">
        <x:v>group_by_student</x:v>
      </x:c>
    </x:row>
    <x:row r="97" ht="28" customHeight="1">
      <x:c r="A97" s="133" t="str">
        <x:v>EST-0105</x:v>
      </x:c>
      <x:c r="B97" s="134" t="n">
        <x:v>0</x:v>
      </x:c>
      <x:c r="C97" s="134" t="str">
        <x:v>permanece</x:v>
      </x:c>
      <x:c r="D97" s="134" t="str">
        <x:v>train</x:v>
      </x:c>
      <x:c r="E97" s="135" t="str">
        <x:v>group_by_student</x:v>
      </x:c>
    </x:row>
    <x:row r="98" ht="28" customHeight="1">
      <x:c r="A98" s="133" t="str">
        <x:v>EST-0106</x:v>
      </x:c>
      <x:c r="B98" s="134" t="n">
        <x:v>0</x:v>
      </x:c>
      <x:c r="C98" s="134" t="str">
        <x:v>permanece</x:v>
      </x:c>
      <x:c r="D98" s="134" t="str">
        <x:v>train</x:v>
      </x:c>
      <x:c r="E98" s="135" t="str">
        <x:v>group_by_student</x:v>
      </x:c>
    </x:row>
    <x:row r="99" ht="28" customHeight="1">
      <x:c r="A99" s="133" t="str">
        <x:v>EST-0107</x:v>
      </x:c>
      <x:c r="B99" s="134" t="n">
        <x:v>0</x:v>
      </x:c>
      <x:c r="C99" s="134" t="str">
        <x:v>permanece</x:v>
      </x:c>
      <x:c r="D99" s="134" t="str">
        <x:v>train</x:v>
      </x:c>
      <x:c r="E99" s="135" t="str">
        <x:v>group_by_student</x:v>
      </x:c>
    </x:row>
    <x:row r="100" ht="28" customHeight="1">
      <x:c r="A100" s="133" t="str">
        <x:v>EST-0108</x:v>
      </x:c>
      <x:c r="B100" s="134" t="n">
        <x:v>0</x:v>
      </x:c>
      <x:c r="C100" s="134" t="str">
        <x:v>permanece</x:v>
      </x:c>
      <x:c r="D100" s="134" t="str">
        <x:v>train</x:v>
      </x:c>
      <x:c r="E100" s="135" t="str">
        <x:v>group_by_student</x:v>
      </x:c>
    </x:row>
    <x:row r="101" ht="28" customHeight="1">
      <x:c r="A101" s="133" t="str">
        <x:v>EST-0109</x:v>
      </x:c>
      <x:c r="B101" s="134" t="n">
        <x:v>1</x:v>
      </x:c>
      <x:c r="C101" s="134" t="str">
        <x:v>deserta</x:v>
      </x:c>
      <x:c r="D101" s="134" t="str">
        <x:v>holdout</x:v>
      </x:c>
      <x:c r="E101" s="135" t="str">
        <x:v>group_by_student</x:v>
      </x:c>
    </x:row>
    <x:row r="102" ht="28" customHeight="1">
      <x:c r="A102" s="133" t="str">
        <x:v>EST-0110</x:v>
      </x:c>
      <x:c r="B102" s="134" t="n">
        <x:v>1</x:v>
      </x:c>
      <x:c r="C102" s="134" t="str">
        <x:v>deserta</x:v>
      </x:c>
      <x:c r="D102" s="134" t="str">
        <x:v>train</x:v>
      </x:c>
      <x:c r="E102" s="135" t="str">
        <x:v>group_by_student</x:v>
      </x:c>
    </x:row>
    <x:row r="103" ht="28" customHeight="1">
      <x:c r="A103" s="133" t="str">
        <x:v>EST-0111</x:v>
      </x:c>
      <x:c r="B103" s="134" t="n">
        <x:v>0</x:v>
      </x:c>
      <x:c r="C103" s="134" t="str">
        <x:v>permanece</x:v>
      </x:c>
      <x:c r="D103" s="134" t="str">
        <x:v>train</x:v>
      </x:c>
      <x:c r="E103" s="135" t="str">
        <x:v>group_by_student</x:v>
      </x:c>
    </x:row>
    <x:row r="104" ht="28" customHeight="1">
      <x:c r="A104" s="133" t="str">
        <x:v>EST-0112</x:v>
      </x:c>
      <x:c r="B104" s="134" t="n">
        <x:v>1</x:v>
      </x:c>
      <x:c r="C104" s="134" t="str">
        <x:v>deserta</x:v>
      </x:c>
      <x:c r="D104" s="134" t="str">
        <x:v>holdout</x:v>
      </x:c>
      <x:c r="E104" s="135" t="str">
        <x:v>group_by_student</x:v>
      </x:c>
    </x:row>
    <x:row r="105" ht="28" customHeight="1">
      <x:c r="A105" s="133" t="str">
        <x:v>EST-0113</x:v>
      </x:c>
      <x:c r="B105" s="134" t="n">
        <x:v>1</x:v>
      </x:c>
      <x:c r="C105" s="134" t="str">
        <x:v>deserta</x:v>
      </x:c>
      <x:c r="D105" s="134" t="str">
        <x:v>train</x:v>
      </x:c>
      <x:c r="E105" s="135" t="str">
        <x:v>group_by_student</x:v>
      </x:c>
    </x:row>
    <x:row r="106" ht="28" customHeight="1">
      <x:c r="A106" s="133" t="str">
        <x:v>EST-0114</x:v>
      </x:c>
      <x:c r="B106" s="134" t="n">
        <x:v>0</x:v>
      </x:c>
      <x:c r="C106" s="134" t="str">
        <x:v>permanece</x:v>
      </x:c>
      <x:c r="D106" s="134" t="str">
        <x:v>train</x:v>
      </x:c>
      <x:c r="E106" s="135" t="str">
        <x:v>group_by_student</x:v>
      </x:c>
    </x:row>
    <x:row r="107" ht="28" customHeight="1">
      <x:c r="A107" s="133" t="str">
        <x:v>EST-0116</x:v>
      </x:c>
      <x:c r="B107" s="134" t="n">
        <x:v>1</x:v>
      </x:c>
      <x:c r="C107" s="134" t="str">
        <x:v>deserta</x:v>
      </x:c>
      <x:c r="D107" s="134" t="str">
        <x:v>train</x:v>
      </x:c>
      <x:c r="E107" s="135" t="str">
        <x:v>group_by_student</x:v>
      </x:c>
    </x:row>
    <x:row r="108" ht="28" customHeight="1">
      <x:c r="A108" s="133" t="str">
        <x:v>EST-0117</x:v>
      </x:c>
      <x:c r="B108" s="134" t="n">
        <x:v>0</x:v>
      </x:c>
      <x:c r="C108" s="134" t="str">
        <x:v>permanece</x:v>
      </x:c>
      <x:c r="D108" s="134" t="str">
        <x:v>train</x:v>
      </x:c>
      <x:c r="E108" s="135" t="str">
        <x:v>group_by_student</x:v>
      </x:c>
    </x:row>
    <x:row r="109" ht="28" customHeight="1">
      <x:c r="A109" s="133" t="str">
        <x:v>EST-0118</x:v>
      </x:c>
      <x:c r="B109" s="134" t="n">
        <x:v>0</x:v>
      </x:c>
      <x:c r="C109" s="134" t="str">
        <x:v>permanece</x:v>
      </x:c>
      <x:c r="D109" s="134" t="str">
        <x:v>train</x:v>
      </x:c>
      <x:c r="E109" s="135" t="str">
        <x:v>group_by_student</x:v>
      </x:c>
    </x:row>
    <x:row r="110" ht="28" customHeight="1">
      <x:c r="A110" s="133" t="str">
        <x:v>EST-0119</x:v>
      </x:c>
      <x:c r="B110" s="134" t="n">
        <x:v>0</x:v>
      </x:c>
      <x:c r="C110" s="134" t="str">
        <x:v>permanece</x:v>
      </x:c>
      <x:c r="D110" s="134" t="str">
        <x:v>train</x:v>
      </x:c>
      <x:c r="E110" s="135" t="str">
        <x:v>group_by_student</x:v>
      </x:c>
    </x:row>
    <x:row r="111" ht="28" customHeight="1">
      <x:c r="A111" s="133" t="str">
        <x:v>EST-0120</x:v>
      </x:c>
      <x:c r="B111" s="134" t="n">
        <x:v>0</x:v>
      </x:c>
      <x:c r="C111" s="134" t="str">
        <x:v>permanece</x:v>
      </x:c>
      <x:c r="D111" s="134" t="str">
        <x:v>train</x:v>
      </x:c>
      <x:c r="E111" s="135" t="str">
        <x:v>group_by_student</x:v>
      </x:c>
    </x:row>
    <x:row r="112" ht="28" customHeight="1">
      <x:c r="A112" s="133" t="str">
        <x:v>EST-0121</x:v>
      </x:c>
      <x:c r="B112" s="134" t="n">
        <x:v>1</x:v>
      </x:c>
      <x:c r="C112" s="134" t="str">
        <x:v>deserta</x:v>
      </x:c>
      <x:c r="D112" s="134" t="str">
        <x:v>holdout</x:v>
      </x:c>
      <x:c r="E112" s="135" t="str">
        <x:v>group_by_student</x:v>
      </x:c>
    </x:row>
    <x:row r="113" ht="28" customHeight="1">
      <x:c r="A113" s="133" t="str">
        <x:v>EST-0122</x:v>
      </x:c>
      <x:c r="B113" s="134" t="n">
        <x:v>1</x:v>
      </x:c>
      <x:c r="C113" s="134" t="str">
        <x:v>deserta</x:v>
      </x:c>
      <x:c r="D113" s="134" t="str">
        <x:v>train</x:v>
      </x:c>
      <x:c r="E113" s="135" t="str">
        <x:v>group_by_student</x:v>
      </x:c>
    </x:row>
    <x:row r="114" ht="28" customHeight="1">
      <x:c r="A114" s="133" t="str">
        <x:v>EST-0123</x:v>
      </x:c>
      <x:c r="B114" s="134" t="n">
        <x:v>1</x:v>
      </x:c>
      <x:c r="C114" s="134" t="str">
        <x:v>deserta</x:v>
      </x:c>
      <x:c r="D114" s="134" t="str">
        <x:v>train</x:v>
      </x:c>
      <x:c r="E114" s="135" t="str">
        <x:v>group_by_student</x:v>
      </x:c>
    </x:row>
    <x:row r="115" ht="28" customHeight="1">
      <x:c r="A115" s="133" t="str">
        <x:v>EST-0124</x:v>
      </x:c>
      <x:c r="B115" s="134" t="n">
        <x:v>0</x:v>
      </x:c>
      <x:c r="C115" s="134" t="str">
        <x:v>permanece</x:v>
      </x:c>
      <x:c r="D115" s="134" t="str">
        <x:v>train</x:v>
      </x:c>
      <x:c r="E115" s="135" t="str">
        <x:v>group_by_student</x:v>
      </x:c>
    </x:row>
    <x:row r="116" ht="28" customHeight="1">
      <x:c r="A116" s="133" t="str">
        <x:v>EST-0125</x:v>
      </x:c>
      <x:c r="B116" s="134" t="n">
        <x:v>0</x:v>
      </x:c>
      <x:c r="C116" s="134" t="str">
        <x:v>permanece</x:v>
      </x:c>
      <x:c r="D116" s="134" t="str">
        <x:v>validation</x:v>
      </x:c>
      <x:c r="E116" s="135" t="str">
        <x:v>group_by_student</x:v>
      </x:c>
    </x:row>
    <x:row r="117" ht="28" customHeight="1">
      <x:c r="A117" s="133" t="str">
        <x:v>EST-0127</x:v>
      </x:c>
      <x:c r="B117" s="134" t="n">
        <x:v>1</x:v>
      </x:c>
      <x:c r="C117" s="134" t="str">
        <x:v>deserta</x:v>
      </x:c>
      <x:c r="D117" s="134" t="str">
        <x:v>train</x:v>
      </x:c>
      <x:c r="E117" s="135" t="str">
        <x:v>group_by_student</x:v>
      </x:c>
    </x:row>
    <x:row r="118" ht="28" customHeight="1">
      <x:c r="A118" s="133" t="str">
        <x:v>EST-0128</x:v>
      </x:c>
      <x:c r="B118" s="134" t="n">
        <x:v>0</x:v>
      </x:c>
      <x:c r="C118" s="134" t="str">
        <x:v>permanece</x:v>
      </x:c>
      <x:c r="D118" s="134" t="str">
        <x:v>train</x:v>
      </x:c>
      <x:c r="E118" s="135" t="str">
        <x:v>group_by_student</x:v>
      </x:c>
    </x:row>
    <x:row r="119" ht="28" customHeight="1">
      <x:c r="A119" s="133" t="str">
        <x:v>EST-0129</x:v>
      </x:c>
      <x:c r="B119" s="134" t="n">
        <x:v>0</x:v>
      </x:c>
      <x:c r="C119" s="134" t="str">
        <x:v>permanece</x:v>
      </x:c>
      <x:c r="D119" s="134" t="str">
        <x:v>train</x:v>
      </x:c>
      <x:c r="E119" s="135" t="str">
        <x:v>group_by_student</x:v>
      </x:c>
    </x:row>
    <x:row r="120" ht="28" customHeight="1">
      <x:c r="A120" s="133" t="str">
        <x:v>EST-0130</x:v>
      </x:c>
      <x:c r="B120" s="134" t="n">
        <x:v>0</x:v>
      </x:c>
      <x:c r="C120" s="134" t="str">
        <x:v>permanece</x:v>
      </x:c>
      <x:c r="D120" s="134" t="str">
        <x:v>holdout</x:v>
      </x:c>
      <x:c r="E120" s="135" t="str">
        <x:v>group_by_student</x:v>
      </x:c>
    </x:row>
    <x:row r="121" ht="28" customHeight="1">
      <x:c r="A121" s="133" t="str">
        <x:v>EST-0131</x:v>
      </x:c>
      <x:c r="B121" s="134" t="n">
        <x:v>0</x:v>
      </x:c>
      <x:c r="C121" s="134" t="str">
        <x:v>permanece</x:v>
      </x:c>
      <x:c r="D121" s="134" t="str">
        <x:v>train</x:v>
      </x:c>
      <x:c r="E121" s="135" t="str">
        <x:v>group_by_student</x:v>
      </x:c>
    </x:row>
    <x:row r="122" ht="28" customHeight="1">
      <x:c r="A122" s="133" t="str">
        <x:v>EST-0132</x:v>
      </x:c>
      <x:c r="B122" s="134" t="n">
        <x:v>1</x:v>
      </x:c>
      <x:c r="C122" s="134" t="str">
        <x:v>deserta</x:v>
      </x:c>
      <x:c r="D122" s="134" t="str">
        <x:v>train</x:v>
      </x:c>
      <x:c r="E122" s="135" t="str">
        <x:v>group_by_student</x:v>
      </x:c>
    </x:row>
    <x:row r="123" ht="28" customHeight="1">
      <x:c r="A123" s="133" t="str">
        <x:v>EST-0133</x:v>
      </x:c>
      <x:c r="B123" s="134" t="n">
        <x:v>0</x:v>
      </x:c>
      <x:c r="C123" s="134" t="str">
        <x:v>permanece</x:v>
      </x:c>
      <x:c r="D123" s="134" t="str">
        <x:v>train</x:v>
      </x:c>
      <x:c r="E123" s="135" t="str">
        <x:v>group_by_student</x:v>
      </x:c>
    </x:row>
    <x:row r="124" ht="28" customHeight="1">
      <x:c r="A124" s="133" t="str">
        <x:v>EST-0134</x:v>
      </x:c>
      <x:c r="B124" s="134" t="n">
        <x:v>0</x:v>
      </x:c>
      <x:c r="C124" s="134" t="str">
        <x:v>permanece</x:v>
      </x:c>
      <x:c r="D124" s="134" t="str">
        <x:v>validation</x:v>
      </x:c>
      <x:c r="E124" s="135" t="str">
        <x:v>group_by_student</x:v>
      </x:c>
    </x:row>
    <x:row r="125" ht="28" customHeight="1">
      <x:c r="A125" s="133" t="str">
        <x:v>EST-0135</x:v>
      </x:c>
      <x:c r="B125" s="134" t="n">
        <x:v>0</x:v>
      </x:c>
      <x:c r="C125" s="134" t="str">
        <x:v>permanece</x:v>
      </x:c>
      <x:c r="D125" s="134" t="str">
        <x:v>train</x:v>
      </x:c>
      <x:c r="E125" s="135" t="str">
        <x:v>group_by_student</x:v>
      </x:c>
    </x:row>
    <x:row r="126" ht="28" customHeight="1">
      <x:c r="A126" s="133" t="str">
        <x:v>EST-0136</x:v>
      </x:c>
      <x:c r="B126" s="134" t="n">
        <x:v>0</x:v>
      </x:c>
      <x:c r="C126" s="134" t="str">
        <x:v>permanece</x:v>
      </x:c>
      <x:c r="D126" s="134" t="str">
        <x:v>validation</x:v>
      </x:c>
      <x:c r="E126" s="135" t="str">
        <x:v>group_by_student</x:v>
      </x:c>
    </x:row>
    <x:row r="127" ht="28" customHeight="1">
      <x:c r="A127" s="133" t="str">
        <x:v>EST-0138</x:v>
      </x:c>
      <x:c r="B127" s="134" t="n">
        <x:v>0</x:v>
      </x:c>
      <x:c r="C127" s="134" t="str">
        <x:v>permanece</x:v>
      </x:c>
      <x:c r="D127" s="134" t="str">
        <x:v>train</x:v>
      </x:c>
      <x:c r="E127" s="135" t="str">
        <x:v>group_by_student</x:v>
      </x:c>
    </x:row>
    <x:row r="128" ht="28" customHeight="1">
      <x:c r="A128" s="133" t="str">
        <x:v>EST-0139</x:v>
      </x:c>
      <x:c r="B128" s="134" t="n">
        <x:v>0</x:v>
      </x:c>
      <x:c r="C128" s="134" t="str">
        <x:v>permanece</x:v>
      </x:c>
      <x:c r="D128" s="134" t="str">
        <x:v>holdout</x:v>
      </x:c>
      <x:c r="E128" s="135" t="str">
        <x:v>group_by_student</x:v>
      </x:c>
    </x:row>
    <x:row r="129" ht="28" customHeight="1">
      <x:c r="A129" s="133" t="str">
        <x:v>EST-0140</x:v>
      </x:c>
      <x:c r="B129" s="134" t="n">
        <x:v>0</x:v>
      </x:c>
      <x:c r="C129" s="134" t="str">
        <x:v>permanece</x:v>
      </x:c>
      <x:c r="D129" s="134" t="str">
        <x:v>validation</x:v>
      </x:c>
      <x:c r="E129" s="135" t="str">
        <x:v>group_by_student</x:v>
      </x:c>
    </x:row>
    <x:row r="130" ht="28" customHeight="1">
      <x:c r="A130" s="133" t="str">
        <x:v>EST-0141</x:v>
      </x:c>
      <x:c r="B130" s="134" t="n">
        <x:v>0</x:v>
      </x:c>
      <x:c r="C130" s="134" t="str">
        <x:v>permanece</x:v>
      </x:c>
      <x:c r="D130" s="134" t="str">
        <x:v>train</x:v>
      </x:c>
      <x:c r="E130" s="135" t="str">
        <x:v>group_by_student</x:v>
      </x:c>
    </x:row>
    <x:row r="131" ht="28" customHeight="1">
      <x:c r="A131" s="133" t="str">
        <x:v>EST-0142</x:v>
      </x:c>
      <x:c r="B131" s="134" t="n">
        <x:v>1</x:v>
      </x:c>
      <x:c r="C131" s="134" t="str">
        <x:v>deserta</x:v>
      </x:c>
      <x:c r="D131" s="134" t="str">
        <x:v>validation</x:v>
      </x:c>
      <x:c r="E131" s="135" t="str">
        <x:v>group_by_student</x:v>
      </x:c>
    </x:row>
    <x:row r="132" ht="28" customHeight="1">
      <x:c r="A132" s="133" t="str">
        <x:v>EST-0143</x:v>
      </x:c>
      <x:c r="B132" s="134" t="n">
        <x:v>0</x:v>
      </x:c>
      <x:c r="C132" s="134" t="str">
        <x:v>permanece</x:v>
      </x:c>
      <x:c r="D132" s="134" t="str">
        <x:v>train</x:v>
      </x:c>
      <x:c r="E132" s="135" t="str">
        <x:v>group_by_student</x:v>
      </x:c>
    </x:row>
    <x:row r="133" ht="28" customHeight="1">
      <x:c r="A133" s="133" t="str">
        <x:v>EST-0144</x:v>
      </x:c>
      <x:c r="B133" s="134" t="n">
        <x:v>0</x:v>
      </x:c>
      <x:c r="C133" s="134" t="str">
        <x:v>permanece</x:v>
      </x:c>
      <x:c r="D133" s="134" t="str">
        <x:v>train</x:v>
      </x:c>
      <x:c r="E133" s="135" t="str">
        <x:v>group_by_student</x:v>
      </x:c>
    </x:row>
    <x:row r="134" ht="28" customHeight="1">
      <x:c r="A134" s="133" t="str">
        <x:v>EST-0145</x:v>
      </x:c>
      <x:c r="B134" s="134" t="n">
        <x:v>0</x:v>
      </x:c>
      <x:c r="C134" s="134" t="str">
        <x:v>permanece</x:v>
      </x:c>
      <x:c r="D134" s="134" t="str">
        <x:v>validation</x:v>
      </x:c>
      <x:c r="E134" s="135" t="str">
        <x:v>group_by_student</x:v>
      </x:c>
    </x:row>
    <x:row r="135" ht="28" customHeight="1">
      <x:c r="A135" s="133" t="str">
        <x:v>EST-0146</x:v>
      </x:c>
      <x:c r="B135" s="134" t="n">
        <x:v>0</x:v>
      </x:c>
      <x:c r="C135" s="134" t="str">
        <x:v>permanece</x:v>
      </x:c>
      <x:c r="D135" s="134" t="str">
        <x:v>holdout</x:v>
      </x:c>
      <x:c r="E135" s="135" t="str">
        <x:v>group_by_student</x:v>
      </x:c>
    </x:row>
    <x:row r="136" ht="28" customHeight="1">
      <x:c r="A136" s="133" t="str">
        <x:v>EST-0147</x:v>
      </x:c>
      <x:c r="B136" s="134" t="n">
        <x:v>1</x:v>
      </x:c>
      <x:c r="C136" s="134" t="str">
        <x:v>deserta</x:v>
      </x:c>
      <x:c r="D136" s="134" t="str">
        <x:v>validation</x:v>
      </x:c>
      <x:c r="E136" s="135" t="str">
        <x:v>group_by_student</x:v>
      </x:c>
    </x:row>
    <x:row r="137" ht="28" customHeight="1">
      <x:c r="A137" s="133" t="str">
        <x:v>EST-0149</x:v>
      </x:c>
      <x:c r="B137" s="134" t="n">
        <x:v>0</x:v>
      </x:c>
      <x:c r="C137" s="134" t="str">
        <x:v>permanece</x:v>
      </x:c>
      <x:c r="D137" s="134" t="str">
        <x:v>train</x:v>
      </x:c>
      <x:c r="E137" s="135" t="str">
        <x:v>group_by_student</x:v>
      </x:c>
    </x:row>
    <x:row r="138" ht="28" customHeight="1">
      <x:c r="A138" s="133" t="str">
        <x:v>EST-0150</x:v>
      </x:c>
      <x:c r="B138" s="134" t="n">
        <x:v>0</x:v>
      </x:c>
      <x:c r="C138" s="134" t="str">
        <x:v>permanece</x:v>
      </x:c>
      <x:c r="D138" s="134" t="str">
        <x:v>validation</x:v>
      </x:c>
      <x:c r="E138" s="135" t="str">
        <x:v>group_by_student</x:v>
      </x:c>
    </x:row>
    <x:row r="139" ht="28" customHeight="1">
      <x:c r="A139" s="133" t="str">
        <x:v>EST-0151</x:v>
      </x:c>
      <x:c r="B139" s="134" t="n">
        <x:v>0</x:v>
      </x:c>
      <x:c r="C139" s="134" t="str">
        <x:v>permanece</x:v>
      </x:c>
      <x:c r="D139" s="134" t="str">
        <x:v>train</x:v>
      </x:c>
      <x:c r="E139" s="135" t="str">
        <x:v>group_by_student</x:v>
      </x:c>
    </x:row>
    <x:row r="140" ht="28" customHeight="1">
      <x:c r="A140" s="133" t="str">
        <x:v>EST-0152</x:v>
      </x:c>
      <x:c r="B140" s="134" t="n">
        <x:v>0</x:v>
      </x:c>
      <x:c r="C140" s="134" t="str">
        <x:v>permanece</x:v>
      </x:c>
      <x:c r="D140" s="134" t="str">
        <x:v>train</x:v>
      </x:c>
      <x:c r="E140" s="135" t="str">
        <x:v>group_by_student</x:v>
      </x:c>
    </x:row>
    <x:row r="141" ht="28" customHeight="1">
      <x:c r="A141" s="133" t="str">
        <x:v>EST-0153</x:v>
      </x:c>
      <x:c r="B141" s="134" t="n">
        <x:v>0</x:v>
      </x:c>
      <x:c r="C141" s="134" t="str">
        <x:v>permanece</x:v>
      </x:c>
      <x:c r="D141" s="134" t="str">
        <x:v>validation</x:v>
      </x:c>
      <x:c r="E141" s="135" t="str">
        <x:v>group_by_student</x:v>
      </x:c>
    </x:row>
    <x:row r="142" ht="28" customHeight="1">
      <x:c r="A142" s="133" t="str">
        <x:v>EST-0154</x:v>
      </x:c>
      <x:c r="B142" s="134" t="n">
        <x:v>0</x:v>
      </x:c>
      <x:c r="C142" s="134" t="str">
        <x:v>permanece</x:v>
      </x:c>
      <x:c r="D142" s="134" t="str">
        <x:v>holdout</x:v>
      </x:c>
      <x:c r="E142" s="135" t="str">
        <x:v>group_by_student</x:v>
      </x:c>
    </x:row>
    <x:row r="143" ht="28" customHeight="1">
      <x:c r="A143" s="133" t="str">
        <x:v>EST-0155</x:v>
      </x:c>
      <x:c r="B143" s="134" t="n">
        <x:v>0</x:v>
      </x:c>
      <x:c r="C143" s="134" t="str">
        <x:v>permanece</x:v>
      </x:c>
      <x:c r="D143" s="134" t="str">
        <x:v>train</x:v>
      </x:c>
      <x:c r="E143" s="135" t="str">
        <x:v>group_by_student</x:v>
      </x:c>
    </x:row>
    <x:row r="144" ht="28" customHeight="1">
      <x:c r="A144" s="133" t="str">
        <x:v>EST-0156</x:v>
      </x:c>
      <x:c r="B144" s="134" t="n">
        <x:v>0</x:v>
      </x:c>
      <x:c r="C144" s="134" t="str">
        <x:v>permanece</x:v>
      </x:c>
      <x:c r="D144" s="134" t="str">
        <x:v>train</x:v>
      </x:c>
      <x:c r="E144" s="135" t="str">
        <x:v>group_by_student</x:v>
      </x:c>
    </x:row>
    <x:row r="145" ht="28" customHeight="1">
      <x:c r="A145" s="133" t="str">
        <x:v>EST-0157</x:v>
      </x:c>
      <x:c r="B145" s="134" t="n">
        <x:v>0</x:v>
      </x:c>
      <x:c r="C145" s="134" t="str">
        <x:v>permanece</x:v>
      </x:c>
      <x:c r="D145" s="134" t="str">
        <x:v>train</x:v>
      </x:c>
      <x:c r="E145" s="135" t="str">
        <x:v>group_by_student</x:v>
      </x:c>
    </x:row>
    <x:row r="146" ht="28" customHeight="1">
      <x:c r="A146" s="133" t="str">
        <x:v>EST-0158</x:v>
      </x:c>
      <x:c r="B146" s="134" t="n">
        <x:v>0</x:v>
      </x:c>
      <x:c r="C146" s="134" t="str">
        <x:v>permanece</x:v>
      </x:c>
      <x:c r="D146" s="134" t="str">
        <x:v>holdout</x:v>
      </x:c>
      <x:c r="E146" s="135" t="str">
        <x:v>group_by_student</x:v>
      </x:c>
    </x:row>
    <x:row r="147" ht="28" customHeight="1">
      <x:c r="A147" s="133" t="str">
        <x:v>EST-0160</x:v>
      </x:c>
      <x:c r="B147" s="134" t="n">
        <x:v>0</x:v>
      </x:c>
      <x:c r="C147" s="134" t="str">
        <x:v>permanece</x:v>
      </x:c>
      <x:c r="D147" s="134" t="str">
        <x:v>train</x:v>
      </x:c>
      <x:c r="E147" s="135" t="str">
        <x:v>group_by_student</x:v>
      </x:c>
    </x:row>
    <x:row r="148" ht="28" customHeight="1">
      <x:c r="A148" s="133" t="str">
        <x:v>EST-0161</x:v>
      </x:c>
      <x:c r="B148" s="134" t="n">
        <x:v>0</x:v>
      </x:c>
      <x:c r="C148" s="134" t="str">
        <x:v>permanece</x:v>
      </x:c>
      <x:c r="D148" s="134" t="str">
        <x:v>train</x:v>
      </x:c>
      <x:c r="E148" s="135" t="str">
        <x:v>group_by_student</x:v>
      </x:c>
    </x:row>
    <x:row r="149" ht="28" customHeight="1">
      <x:c r="A149" s="133" t="str">
        <x:v>EST-0162</x:v>
      </x:c>
      <x:c r="B149" s="134" t="n">
        <x:v>1</x:v>
      </x:c>
      <x:c r="C149" s="134" t="str">
        <x:v>deserta</x:v>
      </x:c>
      <x:c r="D149" s="134" t="str">
        <x:v>train</x:v>
      </x:c>
      <x:c r="E149" s="135" t="str">
        <x:v>group_by_student</x:v>
      </x:c>
    </x:row>
    <x:row r="150" ht="28" customHeight="1">
      <x:c r="A150" s="133" t="str">
        <x:v>EST-0163</x:v>
      </x:c>
      <x:c r="B150" s="134" t="n">
        <x:v>1</x:v>
      </x:c>
      <x:c r="C150" s="134" t="str">
        <x:v>deserta</x:v>
      </x:c>
      <x:c r="D150" s="134" t="str">
        <x:v>train</x:v>
      </x:c>
      <x:c r="E150" s="135" t="str">
        <x:v>group_by_student</x:v>
      </x:c>
    </x:row>
    <x:row r="151" ht="28" customHeight="1">
      <x:c r="A151" s="133" t="str">
        <x:v>EST-0164</x:v>
      </x:c>
      <x:c r="B151" s="134" t="n">
        <x:v>0</x:v>
      </x:c>
      <x:c r="C151" s="134" t="str">
        <x:v>permanece</x:v>
      </x:c>
      <x:c r="D151" s="134" t="str">
        <x:v>train</x:v>
      </x:c>
      <x:c r="E151" s="135" t="str">
        <x:v>group_by_student</x:v>
      </x:c>
    </x:row>
    <x:row r="152" ht="28" customHeight="1">
      <x:c r="A152" s="133" t="str">
        <x:v>EST-0165</x:v>
      </x:c>
      <x:c r="B152" s="134" t="n">
        <x:v>0</x:v>
      </x:c>
      <x:c r="C152" s="134" t="str">
        <x:v>permanece</x:v>
      </x:c>
      <x:c r="D152" s="134" t="str">
        <x:v>train</x:v>
      </x:c>
      <x:c r="E152" s="135" t="str">
        <x:v>group_by_student</x:v>
      </x:c>
    </x:row>
    <x:row r="153" ht="28" customHeight="1">
      <x:c r="A153" s="133" t="str">
        <x:v>EST-0166</x:v>
      </x:c>
      <x:c r="B153" s="134" t="n">
        <x:v>0</x:v>
      </x:c>
      <x:c r="C153" s="134" t="str">
        <x:v>permanece</x:v>
      </x:c>
      <x:c r="D153" s="134" t="str">
        <x:v>train</x:v>
      </x:c>
      <x:c r="E153" s="135" t="str">
        <x:v>group_by_student</x:v>
      </x:c>
    </x:row>
    <x:row r="154" ht="28" customHeight="1">
      <x:c r="A154" s="133" t="str">
        <x:v>EST-0167</x:v>
      </x:c>
      <x:c r="B154" s="134" t="n">
        <x:v>0</x:v>
      </x:c>
      <x:c r="C154" s="134" t="str">
        <x:v>permanece</x:v>
      </x:c>
      <x:c r="D154" s="134" t="str">
        <x:v>train</x:v>
      </x:c>
      <x:c r="E154" s="135" t="str">
        <x:v>group_by_student</x:v>
      </x:c>
    </x:row>
    <x:row r="155" ht="28" customHeight="1">
      <x:c r="A155" s="133" t="str">
        <x:v>EST-0168</x:v>
      </x:c>
      <x:c r="B155" s="134" t="n">
        <x:v>0</x:v>
      </x:c>
      <x:c r="C155" s="134" t="str">
        <x:v>permanece</x:v>
      </x:c>
      <x:c r="D155" s="134" t="str">
        <x:v>train</x:v>
      </x:c>
      <x:c r="E155" s="135" t="str">
        <x:v>group_by_student</x:v>
      </x:c>
    </x:row>
    <x:row r="156" ht="28" customHeight="1">
      <x:c r="A156" s="133" t="str">
        <x:v>EST-0169</x:v>
      </x:c>
      <x:c r="B156" s="134" t="n">
        <x:v>0</x:v>
      </x:c>
      <x:c r="C156" s="134" t="str">
        <x:v>permanece</x:v>
      </x:c>
      <x:c r="D156" s="134" t="str">
        <x:v>validation</x:v>
      </x:c>
      <x:c r="E156" s="135" t="str">
        <x:v>group_by_student</x:v>
      </x:c>
    </x:row>
    <x:row r="157" ht="28" customHeight="1">
      <x:c r="A157" s="133" t="str">
        <x:v>EST-0171</x:v>
      </x:c>
      <x:c r="B157" s="134" t="n">
        <x:v>0</x:v>
      </x:c>
      <x:c r="C157" s="134" t="str">
        <x:v>permanece</x:v>
      </x:c>
      <x:c r="D157" s="134" t="str">
        <x:v>validation</x:v>
      </x:c>
      <x:c r="E157" s="135" t="str">
        <x:v>group_by_student</x:v>
      </x:c>
    </x:row>
    <x:row r="158" ht="28" customHeight="1">
      <x:c r="A158" s="133" t="str">
        <x:v>EST-0172</x:v>
      </x:c>
      <x:c r="B158" s="134" t="n">
        <x:v>1</x:v>
      </x:c>
      <x:c r="C158" s="134" t="str">
        <x:v>deserta</x:v>
      </x:c>
      <x:c r="D158" s="134" t="str">
        <x:v>train</x:v>
      </x:c>
      <x:c r="E158" s="135" t="str">
        <x:v>group_by_student</x:v>
      </x:c>
    </x:row>
    <x:row r="159" ht="28" customHeight="1">
      <x:c r="A159" s="133" t="str">
        <x:v>EST-0173</x:v>
      </x:c>
      <x:c r="B159" s="134" t="n">
        <x:v>0</x:v>
      </x:c>
      <x:c r="C159" s="134" t="str">
        <x:v>permanece</x:v>
      </x:c>
      <x:c r="D159" s="134" t="str">
        <x:v>train</x:v>
      </x:c>
      <x:c r="E159" s="135" t="str">
        <x:v>group_by_student</x:v>
      </x:c>
    </x:row>
    <x:row r="160" ht="28" customHeight="1">
      <x:c r="A160" s="133" t="str">
        <x:v>EST-0174</x:v>
      </x:c>
      <x:c r="B160" s="134" t="n">
        <x:v>0</x:v>
      </x:c>
      <x:c r="C160" s="134" t="str">
        <x:v>permanece</x:v>
      </x:c>
      <x:c r="D160" s="134" t="str">
        <x:v>train</x:v>
      </x:c>
      <x:c r="E160" s="135" t="str">
        <x:v>group_by_student</x:v>
      </x:c>
    </x:row>
    <x:row r="161" ht="28" customHeight="1">
      <x:c r="A161" s="133" t="str">
        <x:v>EST-0175</x:v>
      </x:c>
      <x:c r="B161" s="134" t="n">
        <x:v>0</x:v>
      </x:c>
      <x:c r="C161" s="134" t="str">
        <x:v>permanece</x:v>
      </x:c>
      <x:c r="D161" s="134" t="str">
        <x:v>train</x:v>
      </x:c>
      <x:c r="E161" s="135" t="str">
        <x:v>group_by_student</x:v>
      </x:c>
    </x:row>
    <x:row r="162" ht="28" customHeight="1">
      <x:c r="A162" s="133" t="str">
        <x:v>EST-0176</x:v>
      </x:c>
      <x:c r="B162" s="134" t="n">
        <x:v>0</x:v>
      </x:c>
      <x:c r="C162" s="134" t="str">
        <x:v>permanece</x:v>
      </x:c>
      <x:c r="D162" s="134" t="str">
        <x:v>train</x:v>
      </x:c>
      <x:c r="E162" s="135" t="str">
        <x:v>group_by_student</x:v>
      </x:c>
    </x:row>
    <x:row r="163" ht="28" customHeight="1">
      <x:c r="A163" s="133" t="str">
        <x:v>EST-0177</x:v>
      </x:c>
      <x:c r="B163" s="134" t="n">
        <x:v>0</x:v>
      </x:c>
      <x:c r="C163" s="134" t="str">
        <x:v>permanece</x:v>
      </x:c>
      <x:c r="D163" s="134" t="str">
        <x:v>train</x:v>
      </x:c>
      <x:c r="E163" s="135" t="str">
        <x:v>group_by_student</x:v>
      </x:c>
    </x:row>
    <x:row r="164" ht="28" customHeight="1">
      <x:c r="A164" s="133" t="str">
        <x:v>EST-0178</x:v>
      </x:c>
      <x:c r="B164" s="134" t="n">
        <x:v>0</x:v>
      </x:c>
      <x:c r="C164" s="134" t="str">
        <x:v>permanece</x:v>
      </x:c>
      <x:c r="D164" s="134" t="str">
        <x:v>train</x:v>
      </x:c>
      <x:c r="E164" s="135" t="str">
        <x:v>group_by_student</x:v>
      </x:c>
    </x:row>
    <x:row r="165" ht="28" customHeight="1">
      <x:c r="A165" s="133" t="str">
        <x:v>EST-0179</x:v>
      </x:c>
      <x:c r="B165" s="134" t="n">
        <x:v>0</x:v>
      </x:c>
      <x:c r="C165" s="134" t="str">
        <x:v>permanece</x:v>
      </x:c>
      <x:c r="D165" s="134" t="str">
        <x:v>train</x:v>
      </x:c>
      <x:c r="E165" s="135" t="str">
        <x:v>group_by_student</x:v>
      </x:c>
    </x:row>
    <x:row r="166" ht="28" customHeight="1">
      <x:c r="A166" s="133" t="str">
        <x:v>EST-0180</x:v>
      </x:c>
      <x:c r="B166" s="134" t="n">
        <x:v>0</x:v>
      </x:c>
      <x:c r="C166" s="134" t="str">
        <x:v>permanece</x:v>
      </x:c>
      <x:c r="D166" s="134" t="str">
        <x:v>train</x:v>
      </x:c>
      <x:c r="E166" s="135" t="str">
        <x:v>group_by_student</x:v>
      </x:c>
    </x:row>
    <x:row r="167" ht="28" customHeight="1">
      <x:c r="A167" s="133" t="str">
        <x:v>EST-0182</x:v>
      </x:c>
      <x:c r="B167" s="134" t="n">
        <x:v>0</x:v>
      </x:c>
      <x:c r="C167" s="134" t="str">
        <x:v>permanece</x:v>
      </x:c>
      <x:c r="D167" s="134" t="str">
        <x:v>validation</x:v>
      </x:c>
      <x:c r="E167" s="135" t="str">
        <x:v>group_by_student</x:v>
      </x:c>
    </x:row>
    <x:row r="168" ht="28" customHeight="1">
      <x:c r="A168" s="133" t="str">
        <x:v>EST-0183</x:v>
      </x:c>
      <x:c r="B168" s="134" t="n">
        <x:v>0</x:v>
      </x:c>
      <x:c r="C168" s="134" t="str">
        <x:v>permanece</x:v>
      </x:c>
      <x:c r="D168" s="134" t="str">
        <x:v>train</x:v>
      </x:c>
      <x:c r="E168" s="135" t="str">
        <x:v>group_by_student</x:v>
      </x:c>
    </x:row>
    <x:row r="169" ht="28" customHeight="1">
      <x:c r="A169" s="133" t="str">
        <x:v>EST-0184</x:v>
      </x:c>
      <x:c r="B169" s="134" t="n">
        <x:v>0</x:v>
      </x:c>
      <x:c r="C169" s="134" t="str">
        <x:v>permanece</x:v>
      </x:c>
      <x:c r="D169" s="134" t="str">
        <x:v>validation</x:v>
      </x:c>
      <x:c r="E169" s="135" t="str">
        <x:v>group_by_student</x:v>
      </x:c>
    </x:row>
    <x:row r="170" ht="28" customHeight="1">
      <x:c r="A170" s="133" t="str">
        <x:v>EST-0185</x:v>
      </x:c>
      <x:c r="B170" s="134" t="n">
        <x:v>1</x:v>
      </x:c>
      <x:c r="C170" s="134" t="str">
        <x:v>deserta</x:v>
      </x:c>
      <x:c r="D170" s="134" t="str">
        <x:v>validation</x:v>
      </x:c>
      <x:c r="E170" s="135" t="str">
        <x:v>group_by_student</x:v>
      </x:c>
    </x:row>
    <x:row r="171" ht="28" customHeight="1">
      <x:c r="A171" s="133" t="str">
        <x:v>EST-0186</x:v>
      </x:c>
      <x:c r="B171" s="134" t="n">
        <x:v>0</x:v>
      </x:c>
      <x:c r="C171" s="134" t="str">
        <x:v>permanece</x:v>
      </x:c>
      <x:c r="D171" s="134" t="str">
        <x:v>validation</x:v>
      </x:c>
      <x:c r="E171" s="135" t="str">
        <x:v>group_by_student</x:v>
      </x:c>
    </x:row>
    <x:row r="172" ht="28" customHeight="1">
      <x:c r="A172" s="133" t="str">
        <x:v>EST-0187</x:v>
      </x:c>
      <x:c r="B172" s="134" t="n">
        <x:v>0</x:v>
      </x:c>
      <x:c r="C172" s="134" t="str">
        <x:v>permanece</x:v>
      </x:c>
      <x:c r="D172" s="134" t="str">
        <x:v>validation</x:v>
      </x:c>
      <x:c r="E172" s="135" t="str">
        <x:v>group_by_student</x:v>
      </x:c>
    </x:row>
    <x:row r="173" ht="28" customHeight="1">
      <x:c r="A173" s="133" t="str">
        <x:v>EST-0188</x:v>
      </x:c>
      <x:c r="B173" s="134" t="n">
        <x:v>0</x:v>
      </x:c>
      <x:c r="C173" s="134" t="str">
        <x:v>permanece</x:v>
      </x:c>
      <x:c r="D173" s="134" t="str">
        <x:v>train</x:v>
      </x:c>
      <x:c r="E173" s="135" t="str">
        <x:v>group_by_student</x:v>
      </x:c>
    </x:row>
    <x:row r="174" ht="28" customHeight="1">
      <x:c r="A174" s="133" t="str">
        <x:v>EST-0189</x:v>
      </x:c>
      <x:c r="B174" s="134" t="n">
        <x:v>0</x:v>
      </x:c>
      <x:c r="C174" s="134" t="str">
        <x:v>permanece</x:v>
      </x:c>
      <x:c r="D174" s="134" t="str">
        <x:v>train</x:v>
      </x:c>
      <x:c r="E174" s="135" t="str">
        <x:v>group_by_student</x:v>
      </x:c>
    </x:row>
    <x:row r="175" ht="28" customHeight="1">
      <x:c r="A175" s="133" t="str">
        <x:v>EST-0190</x:v>
      </x:c>
      <x:c r="B175" s="134" t="n">
        <x:v>0</x:v>
      </x:c>
      <x:c r="C175" s="134" t="str">
        <x:v>permanece</x:v>
      </x:c>
      <x:c r="D175" s="134" t="str">
        <x:v>validation</x:v>
      </x:c>
      <x:c r="E175" s="135" t="str">
        <x:v>group_by_student</x:v>
      </x:c>
    </x:row>
    <x:row r="176" ht="28" customHeight="1">
      <x:c r="A176" s="133" t="str">
        <x:v>EST-0191</x:v>
      </x:c>
      <x:c r="B176" s="134" t="n">
        <x:v>0</x:v>
      </x:c>
      <x:c r="C176" s="134" t="str">
        <x:v>permanece</x:v>
      </x:c>
      <x:c r="D176" s="134" t="str">
        <x:v>train</x:v>
      </x:c>
      <x:c r="E176" s="135" t="str">
        <x:v>group_by_student</x:v>
      </x:c>
    </x:row>
    <x:row r="177" ht="28" customHeight="1">
      <x:c r="A177" s="133" t="str">
        <x:v>EST-0193</x:v>
      </x:c>
      <x:c r="B177" s="134" t="n">
        <x:v>0</x:v>
      </x:c>
      <x:c r="C177" s="134" t="str">
        <x:v>permanece</x:v>
      </x:c>
      <x:c r="D177" s="134" t="str">
        <x:v>holdout</x:v>
      </x:c>
      <x:c r="E177" s="135" t="str">
        <x:v>group_by_student</x:v>
      </x:c>
    </x:row>
    <x:row r="178" ht="28" customHeight="1">
      <x:c r="A178" s="133" t="str">
        <x:v>EST-0194</x:v>
      </x:c>
      <x:c r="B178" s="134" t="n">
        <x:v>1</x:v>
      </x:c>
      <x:c r="C178" s="134" t="str">
        <x:v>deserta</x:v>
      </x:c>
      <x:c r="D178" s="134" t="str">
        <x:v>train</x:v>
      </x:c>
      <x:c r="E178" s="135" t="str">
        <x:v>group_by_student</x:v>
      </x:c>
    </x:row>
    <x:row r="179" ht="28" customHeight="1">
      <x:c r="A179" s="133" t="str">
        <x:v>EST-0195</x:v>
      </x:c>
      <x:c r="B179" s="134" t="n">
        <x:v>0</x:v>
      </x:c>
      <x:c r="C179" s="134" t="str">
        <x:v>permanece</x:v>
      </x:c>
      <x:c r="D179" s="134" t="str">
        <x:v>train</x:v>
      </x:c>
      <x:c r="E179" s="135" t="str">
        <x:v>group_by_student</x:v>
      </x:c>
    </x:row>
    <x:row r="180" ht="28" customHeight="1">
      <x:c r="A180" s="133" t="str">
        <x:v>EST-0196</x:v>
      </x:c>
      <x:c r="B180" s="134" t="n">
        <x:v>0</x:v>
      </x:c>
      <x:c r="C180" s="134" t="str">
        <x:v>permanece</x:v>
      </x:c>
      <x:c r="D180" s="134" t="str">
        <x:v>holdout</x:v>
      </x:c>
      <x:c r="E180" s="135" t="str">
        <x:v>group_by_student</x:v>
      </x:c>
    </x:row>
    <x:row r="181" ht="28" customHeight="1">
      <x:c r="A181" s="133" t="str">
        <x:v>EST-0197</x:v>
      </x:c>
      <x:c r="B181" s="134" t="n">
        <x:v>0</x:v>
      </x:c>
      <x:c r="C181" s="134" t="str">
        <x:v>permanece</x:v>
      </x:c>
      <x:c r="D181" s="134" t="str">
        <x:v>train</x:v>
      </x:c>
      <x:c r="E181" s="135" t="str">
        <x:v>group_by_student</x:v>
      </x:c>
    </x:row>
    <x:row r="182" ht="28" customHeight="1">
      <x:c r="A182" s="133" t="str">
        <x:v>EST-0198</x:v>
      </x:c>
      <x:c r="B182" s="134" t="n">
        <x:v>0</x:v>
      </x:c>
      <x:c r="C182" s="134" t="str">
        <x:v>permanece</x:v>
      </x:c>
      <x:c r="D182" s="134" t="str">
        <x:v>train</x:v>
      </x:c>
      <x:c r="E182" s="135" t="str">
        <x:v>group_by_student</x:v>
      </x:c>
    </x:row>
    <x:row r="183" ht="28" customHeight="1">
      <x:c r="A183" s="133" t="str">
        <x:v>EST-0199</x:v>
      </x:c>
      <x:c r="B183" s="134" t="n">
        <x:v>0</x:v>
      </x:c>
      <x:c r="C183" s="134" t="str">
        <x:v>permanece</x:v>
      </x:c>
      <x:c r="D183" s="134" t="str">
        <x:v>train</x:v>
      </x:c>
      <x:c r="E183" s="135" t="str">
        <x:v>group_by_student</x:v>
      </x:c>
    </x:row>
    <x:row r="184" ht="28" customHeight="1">
      <x:c r="A184" s="133" t="str">
        <x:v>EST-0200</x:v>
      </x:c>
      <x:c r="B184" s="134" t="n">
        <x:v>0</x:v>
      </x:c>
      <x:c r="C184" s="134" t="str">
        <x:v>permanece</x:v>
      </x:c>
      <x:c r="D184" s="134" t="str">
        <x:v>train</x:v>
      </x:c>
      <x:c r="E184" s="135" t="str">
        <x:v>group_by_student</x:v>
      </x:c>
    </x:row>
    <x:row r="185" ht="28" customHeight="1">
      <x:c r="A185" s="133" t="str">
        <x:v>EST-0201</x:v>
      </x:c>
      <x:c r="B185" s="134" t="n">
        <x:v>1</x:v>
      </x:c>
      <x:c r="C185" s="134" t="str">
        <x:v>deserta</x:v>
      </x:c>
      <x:c r="D185" s="134" t="str">
        <x:v>train</x:v>
      </x:c>
      <x:c r="E185" s="135" t="str">
        <x:v>group_by_student</x:v>
      </x:c>
    </x:row>
    <x:row r="186" ht="28" customHeight="1">
      <x:c r="A186" s="133" t="str">
        <x:v>EST-0202</x:v>
      </x:c>
      <x:c r="B186" s="134" t="n">
        <x:v>0</x:v>
      </x:c>
      <x:c r="C186" s="134" t="str">
        <x:v>permanece</x:v>
      </x:c>
      <x:c r="D186" s="134" t="str">
        <x:v>holdout</x:v>
      </x:c>
      <x:c r="E186" s="135" t="str">
        <x:v>group_by_student</x:v>
      </x:c>
    </x:row>
    <x:row r="187" ht="28" customHeight="1">
      <x:c r="A187" s="133" t="str">
        <x:v>EST-0204</x:v>
      </x:c>
      <x:c r="B187" s="134" t="n">
        <x:v>0</x:v>
      </x:c>
      <x:c r="C187" s="134" t="str">
        <x:v>permanece</x:v>
      </x:c>
      <x:c r="D187" s="134" t="str">
        <x:v>holdout</x:v>
      </x:c>
      <x:c r="E187" s="135" t="str">
        <x:v>group_by_student</x:v>
      </x:c>
    </x:row>
    <x:row r="188" ht="28" customHeight="1">
      <x:c r="A188" s="133" t="str">
        <x:v>EST-0205</x:v>
      </x:c>
      <x:c r="B188" s="134" t="n">
        <x:v>0</x:v>
      </x:c>
      <x:c r="C188" s="134" t="str">
        <x:v>permanece</x:v>
      </x:c>
      <x:c r="D188" s="134" t="str">
        <x:v>train</x:v>
      </x:c>
      <x:c r="E188" s="135" t="str">
        <x:v>group_by_student</x:v>
      </x:c>
    </x:row>
    <x:row r="189" ht="28" customHeight="1">
      <x:c r="A189" s="133" t="str">
        <x:v>EST-0206</x:v>
      </x:c>
      <x:c r="B189" s="134" t="n">
        <x:v>1</x:v>
      </x:c>
      <x:c r="C189" s="134" t="str">
        <x:v>deserta</x:v>
      </x:c>
      <x:c r="D189" s="134" t="str">
        <x:v>train</x:v>
      </x:c>
      <x:c r="E189" s="135" t="str">
        <x:v>group_by_student</x:v>
      </x:c>
    </x:row>
    <x:row r="190" ht="28" customHeight="1">
      <x:c r="A190" s="133" t="str">
        <x:v>EST-0207</x:v>
      </x:c>
      <x:c r="B190" s="134" t="n">
        <x:v>0</x:v>
      </x:c>
      <x:c r="C190" s="134" t="str">
        <x:v>permanece</x:v>
      </x:c>
      <x:c r="D190" s="134" t="str">
        <x:v>train</x:v>
      </x:c>
      <x:c r="E190" s="135" t="str">
        <x:v>group_by_student</x:v>
      </x:c>
    </x:row>
    <x:row r="191" ht="28" customHeight="1">
      <x:c r="A191" s="133" t="str">
        <x:v>EST-0208</x:v>
      </x:c>
      <x:c r="B191" s="134" t="n">
        <x:v>0</x:v>
      </x:c>
      <x:c r="C191" s="134" t="str">
        <x:v>permanece</x:v>
      </x:c>
      <x:c r="D191" s="134" t="str">
        <x:v>holdout</x:v>
      </x:c>
      <x:c r="E191" s="135" t="str">
        <x:v>group_by_student</x:v>
      </x:c>
    </x:row>
    <x:row r="192" ht="28" customHeight="1">
      <x:c r="A192" s="133" t="str">
        <x:v>EST-0209</x:v>
      </x:c>
      <x:c r="B192" s="134" t="n">
        <x:v>1</x:v>
      </x:c>
      <x:c r="C192" s="134" t="str">
        <x:v>deserta</x:v>
      </x:c>
      <x:c r="D192" s="134" t="str">
        <x:v>train</x:v>
      </x:c>
      <x:c r="E192" s="135" t="str">
        <x:v>group_by_student</x:v>
      </x:c>
    </x:row>
    <x:row r="193" ht="28" customHeight="1">
      <x:c r="A193" s="133" t="str">
        <x:v>EST-0210</x:v>
      </x:c>
      <x:c r="B193" s="134" t="n">
        <x:v>0</x:v>
      </x:c>
      <x:c r="C193" s="134" t="str">
        <x:v>permanece</x:v>
      </x:c>
      <x:c r="D193" s="134" t="str">
        <x:v>train</x:v>
      </x:c>
      <x:c r="E193" s="135" t="str">
        <x:v>group_by_student</x:v>
      </x:c>
    </x:row>
    <x:row r="194" ht="28" customHeight="1">
      <x:c r="A194" s="133" t="str">
        <x:v>EST-0211</x:v>
      </x:c>
      <x:c r="B194" s="134" t="n">
        <x:v>1</x:v>
      </x:c>
      <x:c r="C194" s="134" t="str">
        <x:v>deserta</x:v>
      </x:c>
      <x:c r="D194" s="134" t="str">
        <x:v>train</x:v>
      </x:c>
      <x:c r="E194" s="135" t="str">
        <x:v>group_by_student</x:v>
      </x:c>
    </x:row>
    <x:row r="195" ht="28" customHeight="1">
      <x:c r="A195" s="133" t="str">
        <x:v>EST-0212</x:v>
      </x:c>
      <x:c r="B195" s="134" t="n">
        <x:v>0</x:v>
      </x:c>
      <x:c r="C195" s="134" t="str">
        <x:v>permanece</x:v>
      </x:c>
      <x:c r="D195" s="134" t="str">
        <x:v>train</x:v>
      </x:c>
      <x:c r="E195" s="135" t="str">
        <x:v>group_by_student</x:v>
      </x:c>
    </x:row>
    <x:row r="196" ht="28" customHeight="1">
      <x:c r="A196" s="133" t="str">
        <x:v>EST-0213</x:v>
      </x:c>
      <x:c r="B196" s="134" t="n">
        <x:v>0</x:v>
      </x:c>
      <x:c r="C196" s="134" t="str">
        <x:v>permanece</x:v>
      </x:c>
      <x:c r="D196" s="134" t="str">
        <x:v>train</x:v>
      </x:c>
      <x:c r="E196" s="135" t="str">
        <x:v>group_by_student</x:v>
      </x:c>
    </x:row>
    <x:row r="197" ht="28" customHeight="1">
      <x:c r="A197" s="133" t="str">
        <x:v>EST-0215</x:v>
      </x:c>
      <x:c r="B197" s="134" t="n">
        <x:v>0</x:v>
      </x:c>
      <x:c r="C197" s="134" t="str">
        <x:v>permanece</x:v>
      </x:c>
      <x:c r="D197" s="134" t="str">
        <x:v>train</x:v>
      </x:c>
      <x:c r="E197" s="135" t="str">
        <x:v>group_by_student</x:v>
      </x:c>
    </x:row>
    <x:row r="198" ht="28" customHeight="1">
      <x:c r="A198" s="133" t="str">
        <x:v>EST-0216</x:v>
      </x:c>
      <x:c r="B198" s="134" t="n">
        <x:v>0</x:v>
      </x:c>
      <x:c r="C198" s="134" t="str">
        <x:v>permanece</x:v>
      </x:c>
      <x:c r="D198" s="134" t="str">
        <x:v>train</x:v>
      </x:c>
      <x:c r="E198" s="135" t="str">
        <x:v>group_by_student</x:v>
      </x:c>
    </x:row>
    <x:row r="199" ht="28" customHeight="1">
      <x:c r="A199" s="133" t="str">
        <x:v>EST-0217</x:v>
      </x:c>
      <x:c r="B199" s="134" t="n">
        <x:v>0</x:v>
      </x:c>
      <x:c r="C199" s="134" t="str">
        <x:v>permanece</x:v>
      </x:c>
      <x:c r="D199" s="134" t="str">
        <x:v>train</x:v>
      </x:c>
      <x:c r="E199" s="135" t="str">
        <x:v>group_by_student</x:v>
      </x:c>
    </x:row>
    <x:row r="200" ht="28" customHeight="1">
      <x:c r="A200" s="133" t="str">
        <x:v>EST-0218</x:v>
      </x:c>
      <x:c r="B200" s="134" t="n">
        <x:v>0</x:v>
      </x:c>
      <x:c r="C200" s="134" t="str">
        <x:v>permanece</x:v>
      </x:c>
      <x:c r="D200" s="134" t="str">
        <x:v>train</x:v>
      </x:c>
      <x:c r="E200" s="135" t="str">
        <x:v>group_by_student</x:v>
      </x:c>
    </x:row>
    <x:row r="201" ht="28" customHeight="1">
      <x:c r="A201" s="133" t="str">
        <x:v>EST-0219</x:v>
      </x:c>
      <x:c r="B201" s="134" t="n">
        <x:v>0</x:v>
      </x:c>
      <x:c r="C201" s="134" t="str">
        <x:v>permanece</x:v>
      </x:c>
      <x:c r="D201" s="134" t="str">
        <x:v>train</x:v>
      </x:c>
      <x:c r="E201" s="135" t="str">
        <x:v>group_by_student</x:v>
      </x:c>
    </x:row>
    <x:row r="202" ht="28" customHeight="1">
      <x:c r="A202" s="133" t="str">
        <x:v>EST-0220</x:v>
      </x:c>
      <x:c r="B202" s="134" t="n">
        <x:v>1</x:v>
      </x:c>
      <x:c r="C202" s="134" t="str">
        <x:v>deserta</x:v>
      </x:c>
      <x:c r="D202" s="134" t="str">
        <x:v>train</x:v>
      </x:c>
      <x:c r="E202" s="135" t="str">
        <x:v>group_by_student</x:v>
      </x:c>
    </x:row>
    <x:row r="203" ht="28" customHeight="1">
      <x:c r="A203" s="133" t="str">
        <x:v>EST-0221</x:v>
      </x:c>
      <x:c r="B203" s="134" t="n">
        <x:v>0</x:v>
      </x:c>
      <x:c r="C203" s="134" t="str">
        <x:v>permanece</x:v>
      </x:c>
      <x:c r="D203" s="134" t="str">
        <x:v>train</x:v>
      </x:c>
      <x:c r="E203" s="135" t="str">
        <x:v>group_by_student</x:v>
      </x:c>
    </x:row>
    <x:row r="204" ht="28" customHeight="1">
      <x:c r="A204" s="133" t="str">
        <x:v>EST-0222</x:v>
      </x:c>
      <x:c r="B204" s="134" t="n">
        <x:v>0</x:v>
      </x:c>
      <x:c r="C204" s="134" t="str">
        <x:v>permanece</x:v>
      </x:c>
      <x:c r="D204" s="134" t="str">
        <x:v>train</x:v>
      </x:c>
      <x:c r="E204" s="135" t="str">
        <x:v>group_by_student</x:v>
      </x:c>
    </x:row>
    <x:row r="205" ht="28" customHeight="1">
      <x:c r="A205" s="133" t="str">
        <x:v>EST-0223</x:v>
      </x:c>
      <x:c r="B205" s="134" t="n">
        <x:v>0</x:v>
      </x:c>
      <x:c r="C205" s="134" t="str">
        <x:v>permanece</x:v>
      </x:c>
      <x:c r="D205" s="134" t="str">
        <x:v>train</x:v>
      </x:c>
      <x:c r="E205" s="135" t="str">
        <x:v>group_by_student</x:v>
      </x:c>
    </x:row>
    <x:row r="206" ht="28" customHeight="1">
      <x:c r="A206" s="133" t="str">
        <x:v>EST-0224</x:v>
      </x:c>
      <x:c r="B206" s="134" t="n">
        <x:v>0</x:v>
      </x:c>
      <x:c r="C206" s="134" t="str">
        <x:v>permanece</x:v>
      </x:c>
      <x:c r="D206" s="134" t="str">
        <x:v>train</x:v>
      </x:c>
      <x:c r="E206" s="135" t="str">
        <x:v>group_by_student</x:v>
      </x:c>
    </x:row>
    <x:row r="207" ht="28" customHeight="1">
      <x:c r="A207" s="133" t="str">
        <x:v>EST-0226</x:v>
      </x:c>
      <x:c r="B207" s="134" t="n">
        <x:v>0</x:v>
      </x:c>
      <x:c r="C207" s="134" t="str">
        <x:v>permanece</x:v>
      </x:c>
      <x:c r="D207" s="134" t="str">
        <x:v>validation</x:v>
      </x:c>
      <x:c r="E207" s="135" t="str">
        <x:v>group_by_student</x:v>
      </x:c>
    </x:row>
    <x:row r="208" ht="28" customHeight="1">
      <x:c r="A208" s="133" t="str">
        <x:v>EST-0227</x:v>
      </x:c>
      <x:c r="B208" s="134" t="n">
        <x:v>0</x:v>
      </x:c>
      <x:c r="C208" s="134" t="str">
        <x:v>permanece</x:v>
      </x:c>
      <x:c r="D208" s="134" t="str">
        <x:v>holdout</x:v>
      </x:c>
      <x:c r="E208" s="135" t="str">
        <x:v>group_by_student</x:v>
      </x:c>
    </x:row>
    <x:row r="209" ht="28" customHeight="1">
      <x:c r="A209" s="133" t="str">
        <x:v>EST-0228</x:v>
      </x:c>
      <x:c r="B209" s="134" t="n">
        <x:v>0</x:v>
      </x:c>
      <x:c r="C209" s="134" t="str">
        <x:v>permanece</x:v>
      </x:c>
      <x:c r="D209" s="134" t="str">
        <x:v>train</x:v>
      </x:c>
      <x:c r="E209" s="135" t="str">
        <x:v>group_by_student</x:v>
      </x:c>
    </x:row>
    <x:row r="210" ht="28" customHeight="1">
      <x:c r="A210" s="133" t="str">
        <x:v>EST-0229</x:v>
      </x:c>
      <x:c r="B210" s="134" t="n">
        <x:v>0</x:v>
      </x:c>
      <x:c r="C210" s="134" t="str">
        <x:v>permanece</x:v>
      </x:c>
      <x:c r="D210" s="134" t="str">
        <x:v>train</x:v>
      </x:c>
      <x:c r="E210" s="135" t="str">
        <x:v>group_by_student</x:v>
      </x:c>
    </x:row>
    <x:row r="211" ht="28" customHeight="1">
      <x:c r="A211" s="133" t="str">
        <x:v>EST-0230</x:v>
      </x:c>
      <x:c r="B211" s="134" t="n">
        <x:v>0</x:v>
      </x:c>
      <x:c r="C211" s="134" t="str">
        <x:v>permanece</x:v>
      </x:c>
      <x:c r="D211" s="134" t="str">
        <x:v>train</x:v>
      </x:c>
      <x:c r="E211" s="135" t="str">
        <x:v>group_by_student</x:v>
      </x:c>
    </x:row>
    <x:row r="212" ht="28" customHeight="1">
      <x:c r="A212" s="133" t="str">
        <x:v>EST-0231</x:v>
      </x:c>
      <x:c r="B212" s="134" t="n">
        <x:v>0</x:v>
      </x:c>
      <x:c r="C212" s="134" t="str">
        <x:v>permanece</x:v>
      </x:c>
      <x:c r="D212" s="134" t="str">
        <x:v>train</x:v>
      </x:c>
      <x:c r="E212" s="135" t="str">
        <x:v>group_by_student</x:v>
      </x:c>
    </x:row>
    <x:row r="213" ht="28" customHeight="1">
      <x:c r="A213" s="133" t="str">
        <x:v>EST-0232</x:v>
      </x:c>
      <x:c r="B213" s="134" t="n">
        <x:v>0</x:v>
      </x:c>
      <x:c r="C213" s="134" t="str">
        <x:v>permanece</x:v>
      </x:c>
      <x:c r="D213" s="134" t="str">
        <x:v>train</x:v>
      </x:c>
      <x:c r="E213" s="135" t="str">
        <x:v>group_by_student</x:v>
      </x:c>
    </x:row>
    <x:row r="214" ht="28" customHeight="1">
      <x:c r="A214" s="133" t="str">
        <x:v>EST-0233</x:v>
      </x:c>
      <x:c r="B214" s="134" t="n">
        <x:v>0</x:v>
      </x:c>
      <x:c r="C214" s="134" t="str">
        <x:v>permanece</x:v>
      </x:c>
      <x:c r="D214" s="134" t="str">
        <x:v>train</x:v>
      </x:c>
      <x:c r="E214" s="135" t="str">
        <x:v>group_by_student</x:v>
      </x:c>
    </x:row>
    <x:row r="215" ht="28" customHeight="1">
      <x:c r="A215" s="133" t="str">
        <x:v>EST-0234</x:v>
      </x:c>
      <x:c r="B215" s="134" t="n">
        <x:v>0</x:v>
      </x:c>
      <x:c r="C215" s="134" t="str">
        <x:v>permanece</x:v>
      </x:c>
      <x:c r="D215" s="134" t="str">
        <x:v>train</x:v>
      </x:c>
      <x:c r="E215" s="135" t="str">
        <x:v>group_by_student</x:v>
      </x:c>
    </x:row>
    <x:row r="216" ht="28" customHeight="1">
      <x:c r="A216" s="133" t="str">
        <x:v>EST-0235</x:v>
      </x:c>
      <x:c r="B216" s="134" t="n">
        <x:v>0</x:v>
      </x:c>
      <x:c r="C216" s="134" t="str">
        <x:v>permanece</x:v>
      </x:c>
      <x:c r="D216" s="134" t="str">
        <x:v>train</x:v>
      </x:c>
      <x:c r="E216" s="135" t="str">
        <x:v>group_by_student</x:v>
      </x:c>
    </x:row>
    <x:row r="217" ht="28" customHeight="1">
      <x:c r="A217" s="133" t="str">
        <x:v>EST-0237</x:v>
      </x:c>
      <x:c r="B217" s="134" t="n">
        <x:v>0</x:v>
      </x:c>
      <x:c r="C217" s="134" t="str">
        <x:v>permanece</x:v>
      </x:c>
      <x:c r="D217" s="134" t="str">
        <x:v>train</x:v>
      </x:c>
      <x:c r="E217" s="135" t="str">
        <x:v>group_by_student</x:v>
      </x:c>
    </x:row>
    <x:row r="218" ht="28" customHeight="1">
      <x:c r="A218" s="133" t="str">
        <x:v>EST-0238</x:v>
      </x:c>
      <x:c r="B218" s="134" t="n">
        <x:v>0</x:v>
      </x:c>
      <x:c r="C218" s="134" t="str">
        <x:v>permanece</x:v>
      </x:c>
      <x:c r="D218" s="134" t="str">
        <x:v>train</x:v>
      </x:c>
      <x:c r="E218" s="135" t="str">
        <x:v>group_by_student</x:v>
      </x:c>
    </x:row>
    <x:row r="219" ht="28" customHeight="1">
      <x:c r="A219" s="133" t="str">
        <x:v>EST-0239</x:v>
      </x:c>
      <x:c r="B219" s="134" t="n">
        <x:v>0</x:v>
      </x:c>
      <x:c r="C219" s="134" t="str">
        <x:v>permanece</x:v>
      </x:c>
      <x:c r="D219" s="134" t="str">
        <x:v>validation</x:v>
      </x:c>
      <x:c r="E219" s="135" t="str">
        <x:v>group_by_student</x:v>
      </x:c>
    </x:row>
    <x:row r="220" ht="28" customHeight="1">
      <x:c r="A220" s="133" t="str">
        <x:v>EST-0240</x:v>
      </x:c>
      <x:c r="B220" s="134" t="n">
        <x:v>1</x:v>
      </x:c>
      <x:c r="C220" s="134" t="str">
        <x:v>deserta</x:v>
      </x:c>
      <x:c r="D220" s="134" t="str">
        <x:v>train</x:v>
      </x:c>
      <x:c r="E220" s="135" t="str">
        <x:v>group_by_student</x:v>
      </x:c>
    </x:row>
    <x:row r="221" ht="28" customHeight="1">
      <x:c r="A221" s="133" t="str">
        <x:v>EST-0241</x:v>
      </x:c>
      <x:c r="B221" s="134" t="n">
        <x:v>0</x:v>
      </x:c>
      <x:c r="C221" s="134" t="str">
        <x:v>permanece</x:v>
      </x:c>
      <x:c r="D221" s="134" t="str">
        <x:v>train</x:v>
      </x:c>
      <x:c r="E221" s="135" t="str">
        <x:v>group_by_student</x:v>
      </x:c>
    </x:row>
    <x:row r="222" ht="28" customHeight="1">
      <x:c r="A222" s="133" t="str">
        <x:v>EST-0242</x:v>
      </x:c>
      <x:c r="B222" s="134" t="n">
        <x:v>0</x:v>
      </x:c>
      <x:c r="C222" s="134" t="str">
        <x:v>permanece</x:v>
      </x:c>
      <x:c r="D222" s="134" t="str">
        <x:v>train</x:v>
      </x:c>
      <x:c r="E222" s="135" t="str">
        <x:v>group_by_student</x:v>
      </x:c>
    </x:row>
    <x:row r="223" ht="28" customHeight="1">
      <x:c r="A223" s="133" t="str">
        <x:v>EST-0243</x:v>
      </x:c>
      <x:c r="B223" s="134" t="n">
        <x:v>1</x:v>
      </x:c>
      <x:c r="C223" s="134" t="str">
        <x:v>deserta</x:v>
      </x:c>
      <x:c r="D223" s="134" t="str">
        <x:v>train</x:v>
      </x:c>
      <x:c r="E223" s="135" t="str">
        <x:v>group_by_student</x:v>
      </x:c>
    </x:row>
    <x:row r="224" ht="28" customHeight="1">
      <x:c r="A224" s="133" t="str">
        <x:v>EST-0244</x:v>
      </x:c>
      <x:c r="B224" s="134" t="n">
        <x:v>0</x:v>
      </x:c>
      <x:c r="C224" s="134" t="str">
        <x:v>permanece</x:v>
      </x:c>
      <x:c r="D224" s="134" t="str">
        <x:v>train</x:v>
      </x:c>
      <x:c r="E224" s="135" t="str">
        <x:v>group_by_student</x:v>
      </x:c>
    </x:row>
    <x:row r="225" ht="28" customHeight="1">
      <x:c r="A225" s="133" t="str">
        <x:v>EST-0245</x:v>
      </x:c>
      <x:c r="B225" s="134" t="n">
        <x:v>0</x:v>
      </x:c>
      <x:c r="C225" s="134" t="str">
        <x:v>permanece</x:v>
      </x:c>
      <x:c r="D225" s="134" t="str">
        <x:v>train</x:v>
      </x:c>
      <x:c r="E225" s="135" t="str">
        <x:v>group_by_student</x:v>
      </x:c>
    </x:row>
    <x:row r="226" ht="28" customHeight="1">
      <x:c r="A226" s="133" t="str">
        <x:v>EST-0246</x:v>
      </x:c>
      <x:c r="B226" s="134" t="n">
        <x:v>0</x:v>
      </x:c>
      <x:c r="C226" s="134" t="str">
        <x:v>permanece</x:v>
      </x:c>
      <x:c r="D226" s="134" t="str">
        <x:v>train</x:v>
      </x:c>
      <x:c r="E226" s="135" t="str">
        <x:v>group_by_student</x:v>
      </x:c>
    </x:row>
    <x:row r="227" ht="28" customHeight="1">
      <x:c r="A227" s="133" t="str">
        <x:v>EST-0248</x:v>
      </x:c>
      <x:c r="B227" s="134" t="n">
        <x:v>0</x:v>
      </x:c>
      <x:c r="C227" s="134" t="str">
        <x:v>permanece</x:v>
      </x:c>
      <x:c r="D227" s="134" t="str">
        <x:v>validation</x:v>
      </x:c>
      <x:c r="E227" s="135" t="str">
        <x:v>group_by_student</x:v>
      </x:c>
    </x:row>
    <x:row r="228" ht="28" customHeight="1">
      <x:c r="A228" s="133" t="str">
        <x:v>EST-0249</x:v>
      </x:c>
      <x:c r="B228" s="134" t="n">
        <x:v>0</x:v>
      </x:c>
      <x:c r="C228" s="134" t="str">
        <x:v>permanece</x:v>
      </x:c>
      <x:c r="D228" s="134" t="str">
        <x:v>train</x:v>
      </x:c>
      <x:c r="E228" s="135" t="str">
        <x:v>group_by_student</x:v>
      </x:c>
    </x:row>
    <x:row r="229" ht="28" customHeight="1">
      <x:c r="A229" s="136" t="str">
        <x:v>EST-0250</x:v>
      </x:c>
      <x:c r="B229" s="137" t="n">
        <x:v>0</x:v>
      </x:c>
      <x:c r="C229" s="137" t="str">
        <x:v>permanece</x:v>
      </x:c>
      <x:c r="D229" s="137" t="str">
        <x:v>train</x:v>
      </x:c>
      <x:c r="E229" s="138" t="str">
        <x:v>group_by_student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d5f0bf81fe74a34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9" hidden="0" customWidth="1"/>
    <x:col min="4" max="4" width="15" hidden="0" customWidth="1"/>
    <x:col min="5" max="5" width="18" hidden="0" customWidth="1"/>
    <x:col min="6" max="6" width="19" hidden="0" customWidth="1"/>
    <x:col min="7" max="7" width="18" hidden="0" customWidth="1"/>
    <x:col min="8" max="8" width="21" hidden="0" customWidth="1"/>
    <x:col min="9" max="9" width="22" hidden="0" customWidth="1"/>
    <x:col min="10" max="10" width="20" hidden="0" customWidth="1"/>
    <x:col min="11" max="11" width="20" hidden="0" customWidth="1"/>
    <x:col min="12" max="12" width="18" hidden="0" customWidth="1"/>
    <x:col min="13" max="13" width="60" hidden="0" customWidth="1"/>
  </x:cols>
  <x:sheetData>
    <x:row r="1" ht="34" customHeight="1">
      <x:c r="A1" s="101" t="str">
        <x:v>ML V6 — Contrato de inferencia actual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</x:row>
    <x:row r="2" ht="45" customHeight="1">
      <x:c r="A2" s="105" t="str">
        <x:v>Referencia para comprobar el Feature Builder. No debe importarse como Prediction. En ejecución real estas 7 features deben derivarse desde MySQL/Prisma y enviarse al servicio ML.</x:v>
      </x:c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</x:row>
    <x:row r="4" ht="48" customHeight="1">
      <x:c r="A4" s="110" t="str">
        <x:v>student_code</x:v>
      </x:c>
      <x:c r="B4" s="110" t="str">
        <x:v>cutoff_date</x:v>
      </x:c>
      <x:c r="C4" s="110" t="str">
        <x:v>grado</x:v>
      </x:c>
      <x:c r="D4" s="110" t="str">
        <x:v>seccion_codigo</x:v>
      </x:c>
      <x:c r="E4" s="110" t="str">
        <x:v>promedio_general</x:v>
      </x:c>
      <x:c r="F4" s="110" t="str">
        <x:v>cursos_desaprobados</x:v>
      </x:c>
      <x:c r="G4" s="110" t="str">
        <x:v>asistencia_general</x:v>
      </x:c>
      <x:c r="H4" s="110" t="str">
        <x:v>frecuencia_acceso_lms</x:v>
      </x:c>
      <x:c r="I4" s="110" t="str">
        <x:v>tiempo_interaccion_lms</x:v>
      </x:c>
      <x:c r="J4" s="110" t="str">
        <x:v>actividades_realizadas</x:v>
      </x:c>
      <x:c r="K4" s="110" t="str">
        <x:v>recursos_consultados</x:v>
      </x:c>
      <x:c r="L4" s="110" t="str">
        <x:v>eligible_predict</x:v>
      </x:c>
      <x:c r="M4" s="110" t="str">
        <x:v>nota</x:v>
      </x:c>
    </x:row>
    <x:row r="5" ht="34" customHeight="1">
      <x:c r="A5" s="130" t="str">
        <x:v>EST-0002</x:v>
      </x:c>
      <x:c r="B5" s="131" t="str">
        <x:v>2026-09-21</x:v>
      </x:c>
      <x:c r="C5" s="131" t="n">
        <x:v>1</x:v>
      </x:c>
      <x:c r="D5" s="131" t="str">
        <x:v>1A</x:v>
      </x:c>
      <x:c r="E5" s="131" t="n">
        <x:v>15.62</x:v>
      </x:c>
      <x:c r="F5" s="131" t="n">
        <x:v>0</x:v>
      </x:c>
      <x:c r="G5" s="131" t="n">
        <x:v>92.13</x:v>
      </x:c>
      <x:c r="H5" s="131" t="n">
        <x:v>5.62</x:v>
      </x:c>
      <x:c r="I5" s="131" t="n">
        <x:v>11.54</x:v>
      </x:c>
      <x:c r="J5" s="131" t="n">
        <x:v>13</x:v>
      </x:c>
      <x:c r="K5" s="131" t="n">
        <x:v>9</x:v>
      </x:c>
      <x:c r="L5" s="152" t="b">
        <x:v>1</x:v>
      </x:c>
      <x:c r="M5" s="132" t="str">
        <x:v>Derivar desde BD vía Feature Builder; esta hoja es contrato de referencia</x:v>
      </x:c>
    </x:row>
    <x:row r="6" ht="34" customHeight="1">
      <x:c r="A6" s="133" t="str">
        <x:v>EST-0003</x:v>
      </x:c>
      <x:c r="B6" s="134" t="str">
        <x:v>2026-09-21</x:v>
      </x:c>
      <x:c r="C6" s="134" t="n">
        <x:v>1</x:v>
      </x:c>
      <x:c r="D6" s="134" t="str">
        <x:v>1A</x:v>
      </x:c>
      <x:c r="E6" s="134" t="n">
        <x:v>16.18</x:v>
      </x:c>
      <x:c r="F6" s="134" t="n">
        <x:v>0</x:v>
      </x:c>
      <x:c r="G6" s="134" t="n">
        <x:v>96.65</x:v>
      </x:c>
      <x:c r="H6" s="134" t="n">
        <x:v>9.14</x:v>
      </x:c>
      <x:c r="I6" s="134" t="n">
        <x:v>20.23</x:v>
      </x:c>
      <x:c r="J6" s="134" t="n">
        <x:v>18</x:v>
      </x:c>
      <x:c r="K6" s="134" t="n">
        <x:v>13</x:v>
      </x:c>
      <x:c r="L6" s="153" t="b">
        <x:v>1</x:v>
      </x:c>
      <x:c r="M6" s="135" t="str">
        <x:v>Derivar desde BD vía Feature Builder; esta hoja es contrato de referencia</x:v>
      </x:c>
    </x:row>
    <x:row r="7" ht="34" customHeight="1">
      <x:c r="A7" s="133" t="str">
        <x:v>EST-0004</x:v>
      </x:c>
      <x:c r="B7" s="134" t="str">
        <x:v>2026-09-21</x:v>
      </x:c>
      <x:c r="C7" s="134" t="n">
        <x:v>1</x:v>
      </x:c>
      <x:c r="D7" s="134" t="str">
        <x:v>1A</x:v>
      </x:c>
      <x:c r="E7" s="134" t="n">
        <x:v>16.29</x:v>
      </x:c>
      <x:c r="F7" s="134" t="n">
        <x:v>0</x:v>
      </x:c>
      <x:c r="G7" s="134" t="n">
        <x:v>91.66</x:v>
      </x:c>
      <x:c r="H7" s="134" t="n">
        <x:v>6.04</x:v>
      </x:c>
      <x:c r="I7" s="134" t="n">
        <x:v>10.21</x:v>
      </x:c>
      <x:c r="J7" s="134" t="n">
        <x:v>13</x:v>
      </x:c>
      <x:c r="K7" s="134" t="n">
        <x:v>9</x:v>
      </x:c>
      <x:c r="L7" s="153" t="b">
        <x:v>1</x:v>
      </x:c>
      <x:c r="M7" s="135" t="str">
        <x:v>Derivar desde BD vía Feature Builder; esta hoja es contrato de referencia</x:v>
      </x:c>
    </x:row>
    <x:row r="8" ht="34" customHeight="1">
      <x:c r="A8" s="133" t="str">
        <x:v>EST-0005</x:v>
      </x:c>
      <x:c r="B8" s="134" t="str">
        <x:v>2026-09-21</x:v>
      </x:c>
      <x:c r="C8" s="134" t="n">
        <x:v>1</x:v>
      </x:c>
      <x:c r="D8" s="134" t="str">
        <x:v>1A</x:v>
      </x:c>
      <x:c r="E8" s="134" t="n">
        <x:v>12.55</x:v>
      </x:c>
      <x:c r="F8" s="134" t="n">
        <x:v>0</x:v>
      </x:c>
      <x:c r="G8" s="134" t="n">
        <x:v>89.47</x:v>
      </x:c>
      <x:c r="H8" s="134" t="n">
        <x:v>10.08</x:v>
      </x:c>
      <x:c r="I8" s="134" t="n">
        <x:v>18.94</x:v>
      </x:c>
      <x:c r="J8" s="134" t="n">
        <x:v>20</x:v>
      </x:c>
      <x:c r="K8" s="134" t="n">
        <x:v>15</x:v>
      </x:c>
      <x:c r="L8" s="153" t="b">
        <x:v>1</x:v>
      </x:c>
      <x:c r="M8" s="135" t="str">
        <x:v>Derivar desde BD vía Feature Builder; esta hoja es contrato de referencia</x:v>
      </x:c>
    </x:row>
    <x:row r="9" ht="34" customHeight="1">
      <x:c r="A9" s="133" t="str">
        <x:v>EST-0006</x:v>
      </x:c>
      <x:c r="B9" s="134" t="str">
        <x:v>2026-09-21</x:v>
      </x:c>
      <x:c r="C9" s="134" t="n">
        <x:v>1</x:v>
      </x:c>
      <x:c r="D9" s="134" t="str">
        <x:v>1A</x:v>
      </x:c>
      <x:c r="E9" s="134" t="n">
        <x:v>16.59</x:v>
      </x:c>
      <x:c r="F9" s="134" t="n">
        <x:v>0</x:v>
      </x:c>
      <x:c r="G9" s="134" t="n">
        <x:v>86.7</x:v>
      </x:c>
      <x:c r="H9" s="134" t="n">
        <x:v>8</x:v>
      </x:c>
      <x:c r="I9" s="134" t="n">
        <x:v>14.45</x:v>
      </x:c>
      <x:c r="J9" s="134" t="n">
        <x:v>16</x:v>
      </x:c>
      <x:c r="K9" s="134" t="n">
        <x:v>12</x:v>
      </x:c>
      <x:c r="L9" s="153" t="b">
        <x:v>1</x:v>
      </x:c>
      <x:c r="M9" s="135" t="str">
        <x:v>Derivar desde BD vía Feature Builder; esta hoja es contrato de referencia</x:v>
      </x:c>
    </x:row>
    <x:row r="10" ht="34" customHeight="1">
      <x:c r="A10" s="133" t="str">
        <x:v>EST-0007</x:v>
      </x:c>
      <x:c r="B10" s="134" t="str">
        <x:v>2026-09-21</x:v>
      </x:c>
      <x:c r="C10" s="134" t="n">
        <x:v>1</x:v>
      </x:c>
      <x:c r="D10" s="134" t="str">
        <x:v>1A</x:v>
      </x:c>
      <x:c r="E10" s="134" t="n">
        <x:v>15.69</x:v>
      </x:c>
      <x:c r="F10" s="134" t="n">
        <x:v>0</x:v>
      </x:c>
      <x:c r="G10" s="134" t="n">
        <x:v>94.65</x:v>
      </x:c>
      <x:c r="H10" s="134" t="n">
        <x:v>9.64</x:v>
      </x:c>
      <x:c r="I10" s="134" t="n">
        <x:v>17.77</x:v>
      </x:c>
      <x:c r="J10" s="134" t="n">
        <x:v>18</x:v>
      </x:c>
      <x:c r="K10" s="134" t="n">
        <x:v>15</x:v>
      </x:c>
      <x:c r="L10" s="153" t="b">
        <x:v>1</x:v>
      </x:c>
      <x:c r="M10" s="135" t="str">
        <x:v>Derivar desde BD vía Feature Builder; esta hoja es contrato de referencia</x:v>
      </x:c>
    </x:row>
    <x:row r="11" ht="34" customHeight="1">
      <x:c r="A11" s="133" t="str">
        <x:v>EST-0008</x:v>
      </x:c>
      <x:c r="B11" s="134" t="str">
        <x:v>2026-09-21</x:v>
      </x:c>
      <x:c r="C11" s="134" t="n">
        <x:v>1</x:v>
      </x:c>
      <x:c r="D11" s="134" t="str">
        <x:v>1A</x:v>
      </x:c>
      <x:c r="E11" s="134" t="n">
        <x:v>15.05</x:v>
      </x:c>
      <x:c r="F11" s="134" t="n">
        <x:v>0</x:v>
      </x:c>
      <x:c r="G11" s="134" t="n">
        <x:v>88.37</x:v>
      </x:c>
      <x:c r="H11" s="134" t="n">
        <x:v>6.46</x:v>
      </x:c>
      <x:c r="I11" s="134" t="n">
        <x:v>11.69</x:v>
      </x:c>
      <x:c r="J11" s="134" t="n">
        <x:v>11</x:v>
      </x:c>
      <x:c r="K11" s="134" t="n">
        <x:v>9</x:v>
      </x:c>
      <x:c r="L11" s="153" t="b">
        <x:v>1</x:v>
      </x:c>
      <x:c r="M11" s="135" t="str">
        <x:v>Derivar desde BD vía Feature Builder; esta hoja es contrato de referencia</x:v>
      </x:c>
    </x:row>
    <x:row r="12" ht="34" customHeight="1">
      <x:c r="A12" s="133" t="str">
        <x:v>EST-0009</x:v>
      </x:c>
      <x:c r="B12" s="134" t="str">
        <x:v>2026-09-21</x:v>
      </x:c>
      <x:c r="C12" s="134" t="n">
        <x:v>1</x:v>
      </x:c>
      <x:c r="D12" s="134" t="str">
        <x:v>1A</x:v>
      </x:c>
      <x:c r="E12" s="134" t="n">
        <x:v>16.52</x:v>
      </x:c>
      <x:c r="F12" s="134" t="n">
        <x:v>0</x:v>
      </x:c>
      <x:c r="G12" s="134" t="n">
        <x:v>99.2</x:v>
      </x:c>
      <x:c r="H12" s="134" t="n">
        <x:v>7.27</x:v>
      </x:c>
      <x:c r="I12" s="134" t="n">
        <x:v>12.83</x:v>
      </x:c>
      <x:c r="J12" s="134" t="n">
        <x:v>16</x:v>
      </x:c>
      <x:c r="K12" s="134" t="n">
        <x:v>9</x:v>
      </x:c>
      <x:c r="L12" s="153" t="b">
        <x:v>1</x:v>
      </x:c>
      <x:c r="M12" s="135" t="str">
        <x:v>Derivar desde BD vía Feature Builder; esta hoja es contrato de referencia</x:v>
      </x:c>
    </x:row>
    <x:row r="13" ht="34" customHeight="1">
      <x:c r="A13" s="133" t="str">
        <x:v>EST-0011</x:v>
      </x:c>
      <x:c r="B13" s="134" t="str">
        <x:v>2026-09-21</x:v>
      </x:c>
      <x:c r="C13" s="134" t="n">
        <x:v>1</x:v>
      </x:c>
      <x:c r="D13" s="134" t="str">
        <x:v>1A</x:v>
      </x:c>
      <x:c r="E13" s="134" t="n">
        <x:v>14.83</x:v>
      </x:c>
      <x:c r="F13" s="134" t="n">
        <x:v>0</x:v>
      </x:c>
      <x:c r="G13" s="134" t="n">
        <x:v>87.29</x:v>
      </x:c>
      <x:c r="H13" s="134" t="n">
        <x:v>6.68</x:v>
      </x:c>
      <x:c r="I13" s="134" t="n">
        <x:v>12.16</x:v>
      </x:c>
      <x:c r="J13" s="134" t="n">
        <x:v>13</x:v>
      </x:c>
      <x:c r="K13" s="134" t="n">
        <x:v>11</x:v>
      </x:c>
      <x:c r="L13" s="153" t="b">
        <x:v>1</x:v>
      </x:c>
      <x:c r="M13" s="135" t="str">
        <x:v>Derivar desde BD vía Feature Builder; esta hoja es contrato de referencia</x:v>
      </x:c>
    </x:row>
    <x:row r="14" ht="34" customHeight="1">
      <x:c r="A14" s="133" t="str">
        <x:v>EST-0012</x:v>
      </x:c>
      <x:c r="B14" s="134" t="str">
        <x:v>2026-09-21</x:v>
      </x:c>
      <x:c r="C14" s="134" t="n">
        <x:v>1</x:v>
      </x:c>
      <x:c r="D14" s="134" t="str">
        <x:v>1A</x:v>
      </x:c>
      <x:c r="E14" s="134" t="n">
        <x:v>14.09</x:v>
      </x:c>
      <x:c r="F14" s="134" t="n">
        <x:v>0</x:v>
      </x:c>
      <x:c r="G14" s="134" t="n">
        <x:v>92.39</x:v>
      </x:c>
      <x:c r="H14" s="134" t="n">
        <x:v>5.75</x:v>
      </x:c>
      <x:c r="I14" s="134" t="n">
        <x:v>8.98</x:v>
      </x:c>
      <x:c r="J14" s="134" t="n">
        <x:v>12</x:v>
      </x:c>
      <x:c r="K14" s="134" t="n">
        <x:v>10</x:v>
      </x:c>
      <x:c r="L14" s="153" t="b">
        <x:v>1</x:v>
      </x:c>
      <x:c r="M14" s="135" t="str">
        <x:v>Derivar desde BD vía Feature Builder; esta hoja es contrato de referencia</x:v>
      </x:c>
    </x:row>
    <x:row r="15" ht="34" customHeight="1">
      <x:c r="A15" s="133" t="str">
        <x:v>EST-0013</x:v>
      </x:c>
      <x:c r="B15" s="134" t="str">
        <x:v>2026-09-21</x:v>
      </x:c>
      <x:c r="C15" s="134" t="n">
        <x:v>1</x:v>
      </x:c>
      <x:c r="D15" s="134" t="str">
        <x:v>1B</x:v>
      </x:c>
      <x:c r="E15" s="134" t="n">
        <x:v>12.42</x:v>
      </x:c>
      <x:c r="F15" s="134" t="n">
        <x:v>0</x:v>
      </x:c>
      <x:c r="G15" s="134" t="n">
        <x:v>88.22</x:v>
      </x:c>
      <x:c r="H15" s="134" t="n">
        <x:v>5.87</x:v>
      </x:c>
      <x:c r="I15" s="134" t="n">
        <x:v>11.28</x:v>
      </x:c>
      <x:c r="J15" s="134" t="n">
        <x:v>13</x:v>
      </x:c>
      <x:c r="K15" s="134" t="n">
        <x:v>9</x:v>
      </x:c>
      <x:c r="L15" s="153" t="b">
        <x:v>1</x:v>
      </x:c>
      <x:c r="M15" s="135" t="str">
        <x:v>Derivar desde BD vía Feature Builder; esta hoja es contrato de referencia</x:v>
      </x:c>
    </x:row>
    <x:row r="16" ht="34" customHeight="1">
      <x:c r="A16" s="133" t="str">
        <x:v>EST-0014</x:v>
      </x:c>
      <x:c r="B16" s="134" t="str">
        <x:v>2026-09-21</x:v>
      </x:c>
      <x:c r="C16" s="134" t="n">
        <x:v>1</x:v>
      </x:c>
      <x:c r="D16" s="134" t="str">
        <x:v>1B</x:v>
      </x:c>
      <x:c r="E16" s="134" t="n">
        <x:v>16.31</x:v>
      </x:c>
      <x:c r="F16" s="134" t="n">
        <x:v>0</x:v>
      </x:c>
      <x:c r="G16" s="134" t="n">
        <x:v>96.12</x:v>
      </x:c>
      <x:c r="H16" s="134" t="n">
        <x:v>10.77</x:v>
      </x:c>
      <x:c r="I16" s="134" t="n">
        <x:v>19.32</x:v>
      </x:c>
      <x:c r="J16" s="134" t="n">
        <x:v>17</x:v>
      </x:c>
      <x:c r="K16" s="134" t="n">
        <x:v>12</x:v>
      </x:c>
      <x:c r="L16" s="153" t="b">
        <x:v>1</x:v>
      </x:c>
      <x:c r="M16" s="135" t="str">
        <x:v>Derivar desde BD vía Feature Builder; esta hoja es contrato de referencia</x:v>
      </x:c>
    </x:row>
    <x:row r="17" ht="34" customHeight="1">
      <x:c r="A17" s="133" t="str">
        <x:v>EST-0015</x:v>
      </x:c>
      <x:c r="B17" s="134" t="str">
        <x:v>2026-09-21</x:v>
      </x:c>
      <x:c r="C17" s="134" t="n">
        <x:v>1</x:v>
      </x:c>
      <x:c r="D17" s="134" t="str">
        <x:v>1B</x:v>
      </x:c>
      <x:c r="E17" s="134" t="n">
        <x:v>16.35</x:v>
      </x:c>
      <x:c r="F17" s="134" t="n">
        <x:v>0</x:v>
      </x:c>
      <x:c r="G17" s="134" t="n">
        <x:v>88.35</x:v>
      </x:c>
      <x:c r="H17" s="134" t="n">
        <x:v>6.93</x:v>
      </x:c>
      <x:c r="I17" s="134" t="n">
        <x:v>13.07</x:v>
      </x:c>
      <x:c r="J17" s="134" t="n">
        <x:v>14</x:v>
      </x:c>
      <x:c r="K17" s="134" t="n">
        <x:v>9</x:v>
      </x:c>
      <x:c r="L17" s="153" t="b">
        <x:v>1</x:v>
      </x:c>
      <x:c r="M17" s="135" t="str">
        <x:v>Derivar desde BD vía Feature Builder; esta hoja es contrato de referencia</x:v>
      </x:c>
    </x:row>
    <x:row r="18" ht="34" customHeight="1">
      <x:c r="A18" s="133" t="str">
        <x:v>EST-0016</x:v>
      </x:c>
      <x:c r="B18" s="134" t="str">
        <x:v>2026-09-21</x:v>
      </x:c>
      <x:c r="C18" s="134" t="n">
        <x:v>1</x:v>
      </x:c>
      <x:c r="D18" s="134" t="str">
        <x:v>1B</x:v>
      </x:c>
      <x:c r="E18" s="134" t="n">
        <x:v>11.13</x:v>
      </x:c>
      <x:c r="F18" s="134" t="n">
        <x:v>1</x:v>
      </x:c>
      <x:c r="G18" s="134" t="n">
        <x:v>88.88</x:v>
      </x:c>
      <x:c r="H18" s="134" t="n">
        <x:v>6.85</x:v>
      </x:c>
      <x:c r="I18" s="134" t="n">
        <x:v>11.75</x:v>
      </x:c>
      <x:c r="J18" s="134" t="n">
        <x:v>11</x:v>
      </x:c>
      <x:c r="K18" s="134" t="n">
        <x:v>7</x:v>
      </x:c>
      <x:c r="L18" s="153" t="b">
        <x:v>1</x:v>
      </x:c>
      <x:c r="M18" s="135" t="str">
        <x:v>Derivar desde BD vía Feature Builder; esta hoja es contrato de referencia</x:v>
      </x:c>
    </x:row>
    <x:row r="19" ht="34" customHeight="1">
      <x:c r="A19" s="133" t="str">
        <x:v>EST-0017</x:v>
      </x:c>
      <x:c r="B19" s="134" t="str">
        <x:v>2026-09-21</x:v>
      </x:c>
      <x:c r="C19" s="134" t="n">
        <x:v>1</x:v>
      </x:c>
      <x:c r="D19" s="134" t="str">
        <x:v>1B</x:v>
      </x:c>
      <x:c r="E19" s="134" t="n">
        <x:v>14.96</x:v>
      </x:c>
      <x:c r="F19" s="134" t="n">
        <x:v>0</x:v>
      </x:c>
      <x:c r="G19" s="134" t="n">
        <x:v>95.77</x:v>
      </x:c>
      <x:c r="H19" s="134" t="n">
        <x:v>9.08</x:v>
      </x:c>
      <x:c r="I19" s="134" t="n">
        <x:v>14.92</x:v>
      </x:c>
      <x:c r="J19" s="134" t="n">
        <x:v>14</x:v>
      </x:c>
      <x:c r="K19" s="134" t="n">
        <x:v>12</x:v>
      </x:c>
      <x:c r="L19" s="153" t="b">
        <x:v>1</x:v>
      </x:c>
      <x:c r="M19" s="135" t="str">
        <x:v>Derivar desde BD vía Feature Builder; esta hoja es contrato de referencia</x:v>
      </x:c>
    </x:row>
    <x:row r="20" ht="34" customHeight="1">
      <x:c r="A20" s="133" t="str">
        <x:v>EST-0018</x:v>
      </x:c>
      <x:c r="B20" s="134" t="str">
        <x:v>2026-09-21</x:v>
      </x:c>
      <x:c r="C20" s="134" t="n">
        <x:v>1</x:v>
      </x:c>
      <x:c r="D20" s="134" t="str">
        <x:v>1B</x:v>
      </x:c>
      <x:c r="E20" s="134" t="n">
        <x:v>14.86</x:v>
      </x:c>
      <x:c r="F20" s="134" t="n">
        <x:v>0</x:v>
      </x:c>
      <x:c r="G20" s="134" t="n">
        <x:v>92.75</x:v>
      </x:c>
      <x:c r="H20" s="134" t="n">
        <x:v>6.92</x:v>
      </x:c>
      <x:c r="I20" s="134" t="n">
        <x:v>16.71</x:v>
      </x:c>
      <x:c r="J20" s="134" t="n">
        <x:v>14</x:v>
      </x:c>
      <x:c r="K20" s="134" t="n">
        <x:v>13</x:v>
      </x:c>
      <x:c r="L20" s="153" t="b">
        <x:v>1</x:v>
      </x:c>
      <x:c r="M20" s="135" t="str">
        <x:v>Derivar desde BD vía Feature Builder; esta hoja es contrato de referencia</x:v>
      </x:c>
    </x:row>
    <x:row r="21" ht="34" customHeight="1">
      <x:c r="A21" s="133" t="str">
        <x:v>EST-0020</x:v>
      </x:c>
      <x:c r="B21" s="134" t="str">
        <x:v>2026-09-21</x:v>
      </x:c>
      <x:c r="C21" s="134" t="n">
        <x:v>1</x:v>
      </x:c>
      <x:c r="D21" s="134" t="str">
        <x:v>1B</x:v>
      </x:c>
      <x:c r="E21" s="134" t="n">
        <x:v>19.47</x:v>
      </x:c>
      <x:c r="F21" s="134" t="n">
        <x:v>0</x:v>
      </x:c>
      <x:c r="G21" s="134" t="n">
        <x:v>99.5</x:v>
      </x:c>
      <x:c r="H21" s="134" t="n">
        <x:v>9.5</x:v>
      </x:c>
      <x:c r="I21" s="134" t="n">
        <x:v>17.99</x:v>
      </x:c>
      <x:c r="J21" s="134" t="n">
        <x:v>19</x:v>
      </x:c>
      <x:c r="K21" s="134" t="n">
        <x:v>13</x:v>
      </x:c>
      <x:c r="L21" s="153" t="b">
        <x:v>1</x:v>
      </x:c>
      <x:c r="M21" s="135" t="str">
        <x:v>Derivar desde BD vía Feature Builder; esta hoja es contrato de referencia</x:v>
      </x:c>
    </x:row>
    <x:row r="22" ht="34" customHeight="1">
      <x:c r="A22" s="133" t="str">
        <x:v>EST-0021</x:v>
      </x:c>
      <x:c r="B22" s="134" t="str">
        <x:v>2026-09-21</x:v>
      </x:c>
      <x:c r="C22" s="134" t="n">
        <x:v>1</x:v>
      </x:c>
      <x:c r="D22" s="134" t="str">
        <x:v>1B</x:v>
      </x:c>
      <x:c r="E22" s="134" t="n">
        <x:v>13.77</x:v>
      </x:c>
      <x:c r="F22" s="134" t="n">
        <x:v>0</x:v>
      </x:c>
      <x:c r="G22" s="134" t="n">
        <x:v>95.13</x:v>
      </x:c>
      <x:c r="H22" s="134" t="n">
        <x:v>7.5</x:v>
      </x:c>
      <x:c r="I22" s="134" t="n">
        <x:v>13.22</x:v>
      </x:c>
      <x:c r="J22" s="134" t="n">
        <x:v>13</x:v>
      </x:c>
      <x:c r="K22" s="134" t="n">
        <x:v>9</x:v>
      </x:c>
      <x:c r="L22" s="153" t="b">
        <x:v>1</x:v>
      </x:c>
      <x:c r="M22" s="135" t="str">
        <x:v>Derivar desde BD vía Feature Builder; esta hoja es contrato de referencia</x:v>
      </x:c>
    </x:row>
    <x:row r="23" ht="34" customHeight="1">
      <x:c r="A23" s="133" t="str">
        <x:v>EST-0022</x:v>
      </x:c>
      <x:c r="B23" s="134" t="str">
        <x:v>2026-09-21</x:v>
      </x:c>
      <x:c r="C23" s="134" t="n">
        <x:v>1</x:v>
      </x:c>
      <x:c r="D23" s="134" t="str">
        <x:v>1B</x:v>
      </x:c>
      <x:c r="E23" s="134" t="n">
        <x:v>16.53</x:v>
      </x:c>
      <x:c r="F23" s="134" t="n">
        <x:v>0</x:v>
      </x:c>
      <x:c r="G23" s="134" t="n">
        <x:v>92.74</x:v>
      </x:c>
      <x:c r="H23" s="134" t="n">
        <x:v>8.49</x:v>
      </x:c>
      <x:c r="I23" s="134" t="n">
        <x:v>16.95</x:v>
      </x:c>
      <x:c r="J23" s="134" t="n">
        <x:v>17</x:v>
      </x:c>
      <x:c r="K23" s="134" t="n">
        <x:v>12</x:v>
      </x:c>
      <x:c r="L23" s="153" t="b">
        <x:v>1</x:v>
      </x:c>
      <x:c r="M23" s="135" t="str">
        <x:v>Derivar desde BD vía Feature Builder; esta hoja es contrato de referencia</x:v>
      </x:c>
    </x:row>
    <x:row r="24" ht="34" customHeight="1">
      <x:c r="A24" s="133" t="str">
        <x:v>EST-0023</x:v>
      </x:c>
      <x:c r="B24" s="134" t="str">
        <x:v>2026-09-21</x:v>
      </x:c>
      <x:c r="C24" s="134" t="n">
        <x:v>1</x:v>
      </x:c>
      <x:c r="D24" s="134" t="str">
        <x:v>1B</x:v>
      </x:c>
      <x:c r="E24" s="134" t="n">
        <x:v>17.37</x:v>
      </x:c>
      <x:c r="F24" s="134" t="n">
        <x:v>0</x:v>
      </x:c>
      <x:c r="G24" s="134" t="n">
        <x:v>93.36</x:v>
      </x:c>
      <x:c r="H24" s="134" t="n">
        <x:v>7.59</x:v>
      </x:c>
      <x:c r="I24" s="134" t="n">
        <x:v>13.03</x:v>
      </x:c>
      <x:c r="J24" s="134" t="n">
        <x:v>14</x:v>
      </x:c>
      <x:c r="K24" s="134" t="n">
        <x:v>12</x:v>
      </x:c>
      <x:c r="L24" s="153" t="b">
        <x:v>1</x:v>
      </x:c>
      <x:c r="M24" s="135" t="str">
        <x:v>Derivar desde BD vía Feature Builder; esta hoja es contrato de referencia</x:v>
      </x:c>
    </x:row>
    <x:row r="25" ht="34" customHeight="1">
      <x:c r="A25" s="133" t="str">
        <x:v>EST-0024</x:v>
      </x:c>
      <x:c r="B25" s="134" t="str">
        <x:v>2026-09-21</x:v>
      </x:c>
      <x:c r="C25" s="134" t="n">
        <x:v>1</x:v>
      </x:c>
      <x:c r="D25" s="134" t="str">
        <x:v>1B</x:v>
      </x:c>
      <x:c r="E25" s="134" t="n">
        <x:v>15.34</x:v>
      </x:c>
      <x:c r="F25" s="134" t="n">
        <x:v>0</x:v>
      </x:c>
      <x:c r="G25" s="134" t="n">
        <x:v>92.45</x:v>
      </x:c>
      <x:c r="H25" s="134" t="n">
        <x:v>6.09</x:v>
      </x:c>
      <x:c r="I25" s="134" t="n">
        <x:v>10.35</x:v>
      </x:c>
      <x:c r="J25" s="134" t="n">
        <x:v>9</x:v>
      </x:c>
      <x:c r="K25" s="134" t="n">
        <x:v>7</x:v>
      </x:c>
      <x:c r="L25" s="153" t="b">
        <x:v>1</x:v>
      </x:c>
      <x:c r="M25" s="135" t="str">
        <x:v>Derivar desde BD vía Feature Builder; esta hoja es contrato de referencia</x:v>
      </x:c>
    </x:row>
    <x:row r="26" ht="34" customHeight="1">
      <x:c r="A26" s="133" t="str">
        <x:v>EST-0025</x:v>
      </x:c>
      <x:c r="B26" s="134" t="str">
        <x:v>2026-09-21</x:v>
      </x:c>
      <x:c r="C26" s="134" t="n">
        <x:v>1</x:v>
      </x:c>
      <x:c r="D26" s="134" t="str">
        <x:v>1C</x:v>
      </x:c>
      <x:c r="E26" s="134" t="n">
        <x:v>12.86</x:v>
      </x:c>
      <x:c r="F26" s="134" t="n">
        <x:v>0</x:v>
      </x:c>
      <x:c r="G26" s="134" t="n">
        <x:v>89.93</x:v>
      </x:c>
      <x:c r="H26" s="134" t="n">
        <x:v>5.91</x:v>
      </x:c>
      <x:c r="I26" s="134" t="n">
        <x:v>13.67</x:v>
      </x:c>
      <x:c r="J26" s="134" t="n">
        <x:v>13</x:v>
      </x:c>
      <x:c r="K26" s="134" t="n">
        <x:v>10</x:v>
      </x:c>
      <x:c r="L26" s="153" t="b">
        <x:v>1</x:v>
      </x:c>
      <x:c r="M26" s="135" t="str">
        <x:v>Derivar desde BD vía Feature Builder; esta hoja es contrato de referencia</x:v>
      </x:c>
    </x:row>
    <x:row r="27" ht="34" customHeight="1">
      <x:c r="A27" s="133" t="str">
        <x:v>EST-0026</x:v>
      </x:c>
      <x:c r="B27" s="134" t="str">
        <x:v>2026-09-21</x:v>
      </x:c>
      <x:c r="C27" s="134" t="n">
        <x:v>1</x:v>
      </x:c>
      <x:c r="D27" s="134" t="str">
        <x:v>1C</x:v>
      </x:c>
      <x:c r="E27" s="134" t="n">
        <x:v>17.2</x:v>
      </x:c>
      <x:c r="F27" s="134" t="n">
        <x:v>0</x:v>
      </x:c>
      <x:c r="G27" s="134" t="n">
        <x:v>90.89</x:v>
      </x:c>
      <x:c r="H27" s="134" t="n">
        <x:v>8.65</x:v>
      </x:c>
      <x:c r="I27" s="134" t="n">
        <x:v>19.41</x:v>
      </x:c>
      <x:c r="J27" s="134" t="n">
        <x:v>15</x:v>
      </x:c>
      <x:c r="K27" s="134" t="n">
        <x:v>14</x:v>
      </x:c>
      <x:c r="L27" s="153" t="b">
        <x:v>1</x:v>
      </x:c>
      <x:c r="M27" s="135" t="str">
        <x:v>Derivar desde BD vía Feature Builder; esta hoja es contrato de referencia</x:v>
      </x:c>
    </x:row>
    <x:row r="28" ht="34" customHeight="1">
      <x:c r="A28" s="133" t="str">
        <x:v>EST-0027</x:v>
      </x:c>
      <x:c r="B28" s="134" t="str">
        <x:v>2026-09-21</x:v>
      </x:c>
      <x:c r="C28" s="134" t="n">
        <x:v>1</x:v>
      </x:c>
      <x:c r="D28" s="134" t="str">
        <x:v>1C</x:v>
      </x:c>
      <x:c r="E28" s="134" t="n">
        <x:v>16.25</x:v>
      </x:c>
      <x:c r="F28" s="134" t="n">
        <x:v>0</x:v>
      </x:c>
      <x:c r="G28" s="134" t="n">
        <x:v>88.11</x:v>
      </x:c>
      <x:c r="H28" s="134" t="n">
        <x:v>5.02</x:v>
      </x:c>
      <x:c r="I28" s="134" t="n">
        <x:v>10.02</x:v>
      </x:c>
      <x:c r="J28" s="134" t="n">
        <x:v>14</x:v>
      </x:c>
      <x:c r="K28" s="134" t="n">
        <x:v>9</x:v>
      </x:c>
      <x:c r="L28" s="153" t="b">
        <x:v>1</x:v>
      </x:c>
      <x:c r="M28" s="135" t="str">
        <x:v>Derivar desde BD vía Feature Builder; esta hoja es contrato de referencia</x:v>
      </x:c>
    </x:row>
    <x:row r="29" ht="34" customHeight="1">
      <x:c r="A29" s="133" t="str">
        <x:v>EST-0029</x:v>
      </x:c>
      <x:c r="B29" s="134" t="str">
        <x:v>2026-09-21</x:v>
      </x:c>
      <x:c r="C29" s="134" t="n">
        <x:v>1</x:v>
      </x:c>
      <x:c r="D29" s="134" t="str">
        <x:v>1C</x:v>
      </x:c>
      <x:c r="E29" s="134" t="n">
        <x:v>12.1</x:v>
      </x:c>
      <x:c r="F29" s="134" t="n">
        <x:v>0</x:v>
      </x:c>
      <x:c r="G29" s="134" t="n">
        <x:v>94.9</x:v>
      </x:c>
      <x:c r="H29" s="134" t="n">
        <x:v>6.48</x:v>
      </x:c>
      <x:c r="I29" s="134" t="n">
        <x:v>12.27</x:v>
      </x:c>
      <x:c r="J29" s="134" t="n">
        <x:v>10</x:v>
      </x:c>
      <x:c r="K29" s="134" t="n">
        <x:v>7</x:v>
      </x:c>
      <x:c r="L29" s="153" t="b">
        <x:v>1</x:v>
      </x:c>
      <x:c r="M29" s="135" t="str">
        <x:v>Derivar desde BD vía Feature Builder; esta hoja es contrato de referencia</x:v>
      </x:c>
    </x:row>
    <x:row r="30" ht="34" customHeight="1">
      <x:c r="A30" s="133" t="str">
        <x:v>EST-0030</x:v>
      </x:c>
      <x:c r="B30" s="134" t="str">
        <x:v>2026-09-21</x:v>
      </x:c>
      <x:c r="C30" s="134" t="n">
        <x:v>1</x:v>
      </x:c>
      <x:c r="D30" s="134" t="str">
        <x:v>1C</x:v>
      </x:c>
      <x:c r="E30" s="134" t="n">
        <x:v>15.27</x:v>
      </x:c>
      <x:c r="F30" s="134" t="n">
        <x:v>0</x:v>
      </x:c>
      <x:c r="G30" s="134" t="n">
        <x:v>93.04</x:v>
      </x:c>
      <x:c r="H30" s="134" t="n">
        <x:v>5.11</x:v>
      </x:c>
      <x:c r="I30" s="134" t="n">
        <x:v>8.46</x:v>
      </x:c>
      <x:c r="J30" s="134" t="n">
        <x:v>9</x:v>
      </x:c>
      <x:c r="K30" s="134" t="n">
        <x:v>8</x:v>
      </x:c>
      <x:c r="L30" s="153" t="b">
        <x:v>1</x:v>
      </x:c>
      <x:c r="M30" s="135" t="str">
        <x:v>Derivar desde BD vía Feature Builder; esta hoja es contrato de referencia</x:v>
      </x:c>
    </x:row>
    <x:row r="31" ht="34" customHeight="1">
      <x:c r="A31" s="133" t="str">
        <x:v>EST-0031</x:v>
      </x:c>
      <x:c r="B31" s="134" t="str">
        <x:v>2026-09-21</x:v>
      </x:c>
      <x:c r="C31" s="134" t="n">
        <x:v>1</x:v>
      </x:c>
      <x:c r="D31" s="134" t="str">
        <x:v>1C</x:v>
      </x:c>
      <x:c r="E31" s="134" t="n">
        <x:v>15.88</x:v>
      </x:c>
      <x:c r="F31" s="134" t="n">
        <x:v>0</x:v>
      </x:c>
      <x:c r="G31" s="134" t="n">
        <x:v>95.8</x:v>
      </x:c>
      <x:c r="H31" s="134" t="n">
        <x:v>9.93</x:v>
      </x:c>
      <x:c r="I31" s="134" t="n">
        <x:v>21.56</x:v>
      </x:c>
      <x:c r="J31" s="134" t="n">
        <x:v>18</x:v>
      </x:c>
      <x:c r="K31" s="134" t="n">
        <x:v>13</x:v>
      </x:c>
      <x:c r="L31" s="153" t="b">
        <x:v>1</x:v>
      </x:c>
      <x:c r="M31" s="135" t="str">
        <x:v>Derivar desde BD vía Feature Builder; esta hoja es contrato de referencia</x:v>
      </x:c>
    </x:row>
    <x:row r="32" ht="34" customHeight="1">
      <x:c r="A32" s="133" t="str">
        <x:v>EST-0032</x:v>
      </x:c>
      <x:c r="B32" s="134" t="str">
        <x:v>2026-09-21</x:v>
      </x:c>
      <x:c r="C32" s="134" t="n">
        <x:v>1</x:v>
      </x:c>
      <x:c r="D32" s="134" t="str">
        <x:v>1C</x:v>
      </x:c>
      <x:c r="E32" s="134" t="n">
        <x:v>16.7</x:v>
      </x:c>
      <x:c r="F32" s="134" t="n">
        <x:v>0</x:v>
      </x:c>
      <x:c r="G32" s="134" t="n">
        <x:v>92.12</x:v>
      </x:c>
      <x:c r="H32" s="134" t="n">
        <x:v>7.46</x:v>
      </x:c>
      <x:c r="I32" s="134" t="n">
        <x:v>15.8</x:v>
      </x:c>
      <x:c r="J32" s="134" t="n">
        <x:v>16</x:v>
      </x:c>
      <x:c r="K32" s="134" t="n">
        <x:v>12</x:v>
      </x:c>
      <x:c r="L32" s="153" t="b">
        <x:v>1</x:v>
      </x:c>
      <x:c r="M32" s="135" t="str">
        <x:v>Derivar desde BD vía Feature Builder; esta hoja es contrato de referencia</x:v>
      </x:c>
    </x:row>
    <x:row r="33" ht="34" customHeight="1">
      <x:c r="A33" s="133" t="str">
        <x:v>EST-0033</x:v>
      </x:c>
      <x:c r="B33" s="134" t="str">
        <x:v>2026-09-21</x:v>
      </x:c>
      <x:c r="C33" s="134" t="n">
        <x:v>1</x:v>
      </x:c>
      <x:c r="D33" s="134" t="str">
        <x:v>1C</x:v>
      </x:c>
      <x:c r="E33" s="134" t="n">
        <x:v>10.22</x:v>
      </x:c>
      <x:c r="F33" s="134" t="n">
        <x:v>1</x:v>
      </x:c>
      <x:c r="G33" s="134" t="n">
        <x:v>97.44</x:v>
      </x:c>
      <x:c r="H33" s="134" t="n">
        <x:v>7.04</x:v>
      </x:c>
      <x:c r="I33" s="134" t="n">
        <x:v>12.31</x:v>
      </x:c>
      <x:c r="J33" s="134" t="n">
        <x:v>12</x:v>
      </x:c>
      <x:c r="K33" s="134" t="n">
        <x:v>9</x:v>
      </x:c>
      <x:c r="L33" s="153" t="b">
        <x:v>1</x:v>
      </x:c>
      <x:c r="M33" s="135" t="str">
        <x:v>Derivar desde BD vía Feature Builder; esta hoja es contrato de referencia</x:v>
      </x:c>
    </x:row>
    <x:row r="34" ht="34" customHeight="1">
      <x:c r="A34" s="133" t="str">
        <x:v>EST-0034</x:v>
      </x:c>
      <x:c r="B34" s="134" t="str">
        <x:v>2026-09-21</x:v>
      </x:c>
      <x:c r="C34" s="134" t="n">
        <x:v>1</x:v>
      </x:c>
      <x:c r="D34" s="134" t="str">
        <x:v>1C</x:v>
      </x:c>
      <x:c r="E34" s="134" t="n">
        <x:v>19.5</x:v>
      </x:c>
      <x:c r="F34" s="134" t="n">
        <x:v>0</x:v>
      </x:c>
      <x:c r="G34" s="134" t="n">
        <x:v>97.78</x:v>
      </x:c>
      <x:c r="H34" s="134" t="n">
        <x:v>7.25</x:v>
      </x:c>
      <x:c r="I34" s="134" t="n">
        <x:v>14.52</x:v>
      </x:c>
      <x:c r="J34" s="134" t="n">
        <x:v>13</x:v>
      </x:c>
      <x:c r="K34" s="134" t="n">
        <x:v>9</x:v>
      </x:c>
      <x:c r="L34" s="153" t="b">
        <x:v>1</x:v>
      </x:c>
      <x:c r="M34" s="135" t="str">
        <x:v>Derivar desde BD vía Feature Builder; esta hoja es contrato de referencia</x:v>
      </x:c>
    </x:row>
    <x:row r="35" ht="34" customHeight="1">
      <x:c r="A35" s="133" t="str">
        <x:v>EST-0035</x:v>
      </x:c>
      <x:c r="B35" s="134" t="str">
        <x:v>2026-09-21</x:v>
      </x:c>
      <x:c r="C35" s="134" t="n">
        <x:v>1</x:v>
      </x:c>
      <x:c r="D35" s="134" t="str">
        <x:v>1C</x:v>
      </x:c>
      <x:c r="E35" s="134" t="n">
        <x:v>14.16</x:v>
      </x:c>
      <x:c r="F35" s="134" t="n">
        <x:v>0</x:v>
      </x:c>
      <x:c r="G35" s="134" t="n">
        <x:v>99.5</x:v>
      </x:c>
      <x:c r="H35" s="134" t="n">
        <x:v>6.54</x:v>
      </x:c>
      <x:c r="I35" s="134" t="n">
        <x:v>13.84</x:v>
      </x:c>
      <x:c r="J35" s="134" t="n">
        <x:v>13</x:v>
      </x:c>
      <x:c r="K35" s="134" t="n">
        <x:v>10</x:v>
      </x:c>
      <x:c r="L35" s="153" t="b">
        <x:v>1</x:v>
      </x:c>
      <x:c r="M35" s="135" t="str">
        <x:v>Derivar desde BD vía Feature Builder; esta hoja es contrato de referencia</x:v>
      </x:c>
    </x:row>
    <x:row r="36" ht="34" customHeight="1">
      <x:c r="A36" s="133" t="str">
        <x:v>EST-0036</x:v>
      </x:c>
      <x:c r="B36" s="134" t="str">
        <x:v>2026-09-21</x:v>
      </x:c>
      <x:c r="C36" s="134" t="n">
        <x:v>1</x:v>
      </x:c>
      <x:c r="D36" s="134" t="str">
        <x:v>1D</x:v>
      </x:c>
      <x:c r="E36" s="134" t="n">
        <x:v>15.33</x:v>
      </x:c>
      <x:c r="F36" s="134" t="n">
        <x:v>0</x:v>
      </x:c>
      <x:c r="G36" s="134" t="n">
        <x:v>89.76</x:v>
      </x:c>
      <x:c r="H36" s="134" t="n">
        <x:v>6.77</x:v>
      </x:c>
      <x:c r="I36" s="134" t="n">
        <x:v>9.28</x:v>
      </x:c>
      <x:c r="J36" s="134" t="n">
        <x:v>11</x:v>
      </x:c>
      <x:c r="K36" s="134" t="n">
        <x:v>11</x:v>
      </x:c>
      <x:c r="L36" s="153" t="b">
        <x:v>1</x:v>
      </x:c>
      <x:c r="M36" s="135" t="str">
        <x:v>Derivar desde BD vía Feature Builder; esta hoja es contrato de referencia</x:v>
      </x:c>
    </x:row>
    <x:row r="37" ht="34" customHeight="1">
      <x:c r="A37" s="133" t="str">
        <x:v>EST-0038</x:v>
      </x:c>
      <x:c r="B37" s="134" t="str">
        <x:v>2026-09-21</x:v>
      </x:c>
      <x:c r="C37" s="134" t="n">
        <x:v>1</x:v>
      </x:c>
      <x:c r="D37" s="134" t="str">
        <x:v>1D</x:v>
      </x:c>
      <x:c r="E37" s="134" t="n">
        <x:v>11.86</x:v>
      </x:c>
      <x:c r="F37" s="134" t="n">
        <x:v>0</x:v>
      </x:c>
      <x:c r="G37" s="134" t="n">
        <x:v>93.26</x:v>
      </x:c>
      <x:c r="H37" s="134" t="n">
        <x:v>9.35</x:v>
      </x:c>
      <x:c r="I37" s="134" t="n">
        <x:v>17.98</x:v>
      </x:c>
      <x:c r="J37" s="134" t="n">
        <x:v>16</x:v>
      </x:c>
      <x:c r="K37" s="134" t="n">
        <x:v>14</x:v>
      </x:c>
      <x:c r="L37" s="153" t="b">
        <x:v>1</x:v>
      </x:c>
      <x:c r="M37" s="135" t="str">
        <x:v>Derivar desde BD vía Feature Builder; esta hoja es contrato de referencia</x:v>
      </x:c>
    </x:row>
    <x:row r="38" ht="34" customHeight="1">
      <x:c r="A38" s="133" t="str">
        <x:v>EST-0039</x:v>
      </x:c>
      <x:c r="B38" s="134" t="str">
        <x:v>2026-09-21</x:v>
      </x:c>
      <x:c r="C38" s="134" t="n">
        <x:v>1</x:v>
      </x:c>
      <x:c r="D38" s="134" t="str">
        <x:v>1D</x:v>
      </x:c>
      <x:c r="E38" s="134" t="n">
        <x:v>12.92</x:v>
      </x:c>
      <x:c r="F38" s="134" t="n">
        <x:v>0</x:v>
      </x:c>
      <x:c r="G38" s="134" t="n">
        <x:v>86.2</x:v>
      </x:c>
      <x:c r="H38" s="134" t="n">
        <x:v>6.75</x:v>
      </x:c>
      <x:c r="I38" s="134" t="n">
        <x:v>11.43</x:v>
      </x:c>
      <x:c r="J38" s="134" t="n">
        <x:v>13</x:v>
      </x:c>
      <x:c r="K38" s="134" t="n">
        <x:v>10</x:v>
      </x:c>
      <x:c r="L38" s="153" t="b">
        <x:v>1</x:v>
      </x:c>
      <x:c r="M38" s="135" t="str">
        <x:v>Derivar desde BD vía Feature Builder; esta hoja es contrato de referencia</x:v>
      </x:c>
    </x:row>
    <x:row r="39" ht="34" customHeight="1">
      <x:c r="A39" s="133" t="str">
        <x:v>EST-0040</x:v>
      </x:c>
      <x:c r="B39" s="134" t="str">
        <x:v>2026-09-21</x:v>
      </x:c>
      <x:c r="C39" s="134" t="n">
        <x:v>1</x:v>
      </x:c>
      <x:c r="D39" s="134" t="str">
        <x:v>1D</x:v>
      </x:c>
      <x:c r="E39" s="134" t="n">
        <x:v>15.5</x:v>
      </x:c>
      <x:c r="F39" s="134" t="n">
        <x:v>0</x:v>
      </x:c>
      <x:c r="G39" s="134" t="n">
        <x:v>89.11</x:v>
      </x:c>
      <x:c r="H39" s="134" t="n">
        <x:v>6.79</x:v>
      </x:c>
      <x:c r="I39" s="134" t="n">
        <x:v>13.84</x:v>
      </x:c>
      <x:c r="J39" s="134" t="n">
        <x:v>12</x:v>
      </x:c>
      <x:c r="K39" s="134" t="n">
        <x:v>9</x:v>
      </x:c>
      <x:c r="L39" s="153" t="b">
        <x:v>1</x:v>
      </x:c>
      <x:c r="M39" s="135" t="str">
        <x:v>Derivar desde BD vía Feature Builder; esta hoja es contrato de referencia</x:v>
      </x:c>
    </x:row>
    <x:row r="40" ht="34" customHeight="1">
      <x:c r="A40" s="133" t="str">
        <x:v>EST-0041</x:v>
      </x:c>
      <x:c r="B40" s="134" t="str">
        <x:v>2026-09-21</x:v>
      </x:c>
      <x:c r="C40" s="134" t="n">
        <x:v>1</x:v>
      </x:c>
      <x:c r="D40" s="134" t="str">
        <x:v>1D</x:v>
      </x:c>
      <x:c r="E40" s="134" t="n">
        <x:v>13.92</x:v>
      </x:c>
      <x:c r="F40" s="134" t="n">
        <x:v>0</x:v>
      </x:c>
      <x:c r="G40" s="134" t="n">
        <x:v>86.3</x:v>
      </x:c>
      <x:c r="H40" s="134" t="n">
        <x:v>8.49</x:v>
      </x:c>
      <x:c r="I40" s="134" t="n">
        <x:v>17.51</x:v>
      </x:c>
      <x:c r="J40" s="134" t="n">
        <x:v>16</x:v>
      </x:c>
      <x:c r="K40" s="134" t="n">
        <x:v>12</x:v>
      </x:c>
      <x:c r="L40" s="153" t="b">
        <x:v>1</x:v>
      </x:c>
      <x:c r="M40" s="135" t="str">
        <x:v>Derivar desde BD vía Feature Builder; esta hoja es contrato de referencia</x:v>
      </x:c>
    </x:row>
    <x:row r="41" ht="34" customHeight="1">
      <x:c r="A41" s="133" t="str">
        <x:v>EST-0042</x:v>
      </x:c>
      <x:c r="B41" s="134" t="str">
        <x:v>2026-09-21</x:v>
      </x:c>
      <x:c r="C41" s="134" t="n">
        <x:v>1</x:v>
      </x:c>
      <x:c r="D41" s="134" t="str">
        <x:v>1D</x:v>
      </x:c>
      <x:c r="E41" s="134" t="n">
        <x:v>15.72</x:v>
      </x:c>
      <x:c r="F41" s="134" t="n">
        <x:v>0</x:v>
      </x:c>
      <x:c r="G41" s="134" t="n">
        <x:v>99.27</x:v>
      </x:c>
      <x:c r="H41" s="134" t="n">
        <x:v>8.79</x:v>
      </x:c>
      <x:c r="I41" s="134" t="n">
        <x:v>14.97</x:v>
      </x:c>
      <x:c r="J41" s="134" t="n">
        <x:v>17</x:v>
      </x:c>
      <x:c r="K41" s="134" t="n">
        <x:v>11</x:v>
      </x:c>
      <x:c r="L41" s="153" t="b">
        <x:v>1</x:v>
      </x:c>
      <x:c r="M41" s="135" t="str">
        <x:v>Derivar desde BD vía Feature Builder; esta hoja es contrato de referencia</x:v>
      </x:c>
    </x:row>
    <x:row r="42" ht="34" customHeight="1">
      <x:c r="A42" s="133" t="str">
        <x:v>EST-0043</x:v>
      </x:c>
      <x:c r="B42" s="134" t="str">
        <x:v>2026-09-21</x:v>
      </x:c>
      <x:c r="C42" s="134" t="n">
        <x:v>1</x:v>
      </x:c>
      <x:c r="D42" s="134" t="str">
        <x:v>1D</x:v>
      </x:c>
      <x:c r="E42" s="134" t="n">
        <x:v>13.42</x:v>
      </x:c>
      <x:c r="F42" s="134" t="n">
        <x:v>0</x:v>
      </x:c>
      <x:c r="G42" s="134" t="n">
        <x:v>90.11</x:v>
      </x:c>
      <x:c r="H42" s="134" t="n">
        <x:v>6.52</x:v>
      </x:c>
      <x:c r="I42" s="134" t="n">
        <x:v>13.87</x:v>
      </x:c>
      <x:c r="J42" s="134" t="n">
        <x:v>16</x:v>
      </x:c>
      <x:c r="K42" s="134" t="n">
        <x:v>9</x:v>
      </x:c>
      <x:c r="L42" s="153" t="b">
        <x:v>1</x:v>
      </x:c>
      <x:c r="M42" s="135" t="str">
        <x:v>Derivar desde BD vía Feature Builder; esta hoja es contrato de referencia</x:v>
      </x:c>
    </x:row>
    <x:row r="43" ht="34" customHeight="1">
      <x:c r="A43" s="133" t="str">
        <x:v>EST-0044</x:v>
      </x:c>
      <x:c r="B43" s="134" t="str">
        <x:v>2026-09-21</x:v>
      </x:c>
      <x:c r="C43" s="134" t="n">
        <x:v>1</x:v>
      </x:c>
      <x:c r="D43" s="134" t="str">
        <x:v>1D</x:v>
      </x:c>
      <x:c r="E43" s="134" t="n">
        <x:v>17.01</x:v>
      </x:c>
      <x:c r="F43" s="134" t="n">
        <x:v>0</x:v>
      </x:c>
      <x:c r="G43" s="134" t="n">
        <x:v>91.03</x:v>
      </x:c>
      <x:c r="H43" s="134" t="n">
        <x:v>7.31</x:v>
      </x:c>
      <x:c r="I43" s="134" t="n">
        <x:v>11.95</x:v>
      </x:c>
      <x:c r="J43" s="134" t="n">
        <x:v>13</x:v>
      </x:c>
      <x:c r="K43" s="134" t="n">
        <x:v>11</x:v>
      </x:c>
      <x:c r="L43" s="153" t="b">
        <x:v>1</x:v>
      </x:c>
      <x:c r="M43" s="135" t="str">
        <x:v>Derivar desde BD vía Feature Builder; esta hoja es contrato de referencia</x:v>
      </x:c>
    </x:row>
    <x:row r="44" ht="34" customHeight="1">
      <x:c r="A44" s="133" t="str">
        <x:v>EST-0045</x:v>
      </x:c>
      <x:c r="B44" s="134" t="str">
        <x:v>2026-09-21</x:v>
      </x:c>
      <x:c r="C44" s="134" t="n">
        <x:v>1</x:v>
      </x:c>
      <x:c r="D44" s="134" t="str">
        <x:v>1D</x:v>
      </x:c>
      <x:c r="E44" s="134" t="n">
        <x:v>14.55</x:v>
      </x:c>
      <x:c r="F44" s="134" t="n">
        <x:v>0</x:v>
      </x:c>
      <x:c r="G44" s="134" t="n">
        <x:v>87.02</x:v>
      </x:c>
      <x:c r="H44" s="134" t="n">
        <x:v>8.85</x:v>
      </x:c>
      <x:c r="I44" s="134" t="n">
        <x:v>17.06</x:v>
      </x:c>
      <x:c r="J44" s="134" t="n">
        <x:v>15</x:v>
      </x:c>
      <x:c r="K44" s="134" t="n">
        <x:v>12</x:v>
      </x:c>
      <x:c r="L44" s="153" t="b">
        <x:v>1</x:v>
      </x:c>
      <x:c r="M44" s="135" t="str">
        <x:v>Derivar desde BD vía Feature Builder; esta hoja es contrato de referencia</x:v>
      </x:c>
    </x:row>
    <x:row r="45" ht="34" customHeight="1">
      <x:c r="A45" s="133" t="str">
        <x:v>EST-0047</x:v>
      </x:c>
      <x:c r="B45" s="134" t="str">
        <x:v>2026-09-21</x:v>
      </x:c>
      <x:c r="C45" s="134" t="n">
        <x:v>2</x:v>
      </x:c>
      <x:c r="D45" s="134" t="str">
        <x:v>2A</x:v>
      </x:c>
      <x:c r="E45" s="134" t="n">
        <x:v>13.45</x:v>
      </x:c>
      <x:c r="F45" s="134" t="n">
        <x:v>0</x:v>
      </x:c>
      <x:c r="G45" s="134" t="n">
        <x:v>90.82</x:v>
      </x:c>
      <x:c r="H45" s="134" t="n">
        <x:v>6.28</x:v>
      </x:c>
      <x:c r="I45" s="134" t="n">
        <x:v>10.24</x:v>
      </x:c>
      <x:c r="J45" s="134" t="n">
        <x:v>11</x:v>
      </x:c>
      <x:c r="K45" s="134" t="n">
        <x:v>11</x:v>
      </x:c>
      <x:c r="L45" s="153" t="b">
        <x:v>1</x:v>
      </x:c>
      <x:c r="M45" s="135" t="str">
        <x:v>Derivar desde BD vía Feature Builder; esta hoja es contrato de referencia</x:v>
      </x:c>
    </x:row>
    <x:row r="46" ht="34" customHeight="1">
      <x:c r="A46" s="133" t="str">
        <x:v>EST-0048</x:v>
      </x:c>
      <x:c r="B46" s="134" t="str">
        <x:v>2026-09-21</x:v>
      </x:c>
      <x:c r="C46" s="134" t="n">
        <x:v>2</x:v>
      </x:c>
      <x:c r="D46" s="134" t="str">
        <x:v>2A</x:v>
      </x:c>
      <x:c r="E46" s="134" t="n">
        <x:v>13.53</x:v>
      </x:c>
      <x:c r="F46" s="134" t="n">
        <x:v>0</x:v>
      </x:c>
      <x:c r="G46" s="134" t="n">
        <x:v>96.2</x:v>
      </x:c>
      <x:c r="H46" s="134" t="n">
        <x:v>5.91</x:v>
      </x:c>
      <x:c r="I46" s="134" t="n">
        <x:v>12.24</x:v>
      </x:c>
      <x:c r="J46" s="134" t="n">
        <x:v>14</x:v>
      </x:c>
      <x:c r="K46" s="134" t="n">
        <x:v>11</x:v>
      </x:c>
      <x:c r="L46" s="153" t="b">
        <x:v>1</x:v>
      </x:c>
      <x:c r="M46" s="135" t="str">
        <x:v>Derivar desde BD vía Feature Builder; esta hoja es contrato de referencia</x:v>
      </x:c>
    </x:row>
    <x:row r="47" ht="34" customHeight="1">
      <x:c r="A47" s="133" t="str">
        <x:v>EST-0049</x:v>
      </x:c>
      <x:c r="B47" s="134" t="str">
        <x:v>2026-09-21</x:v>
      </x:c>
      <x:c r="C47" s="134" t="n">
        <x:v>2</x:v>
      </x:c>
      <x:c r="D47" s="134" t="str">
        <x:v>2A</x:v>
      </x:c>
      <x:c r="E47" s="134" t="n">
        <x:v>15.78</x:v>
      </x:c>
      <x:c r="F47" s="134" t="n">
        <x:v>0</x:v>
      </x:c>
      <x:c r="G47" s="134" t="n">
        <x:v>90.14</x:v>
      </x:c>
      <x:c r="H47" s="134" t="n">
        <x:v>6.5</x:v>
      </x:c>
      <x:c r="I47" s="134" t="n">
        <x:v>11.72</x:v>
      </x:c>
      <x:c r="J47" s="134" t="n">
        <x:v>12</x:v>
      </x:c>
      <x:c r="K47" s="134" t="n">
        <x:v>10</x:v>
      </x:c>
      <x:c r="L47" s="153" t="b">
        <x:v>1</x:v>
      </x:c>
      <x:c r="M47" s="135" t="str">
        <x:v>Derivar desde BD vía Feature Builder; esta hoja es contrato de referencia</x:v>
      </x:c>
    </x:row>
    <x:row r="48" ht="34" customHeight="1">
      <x:c r="A48" s="133" t="str">
        <x:v>EST-0050</x:v>
      </x:c>
      <x:c r="B48" s="134" t="str">
        <x:v>2026-09-21</x:v>
      </x:c>
      <x:c r="C48" s="134" t="n">
        <x:v>2</x:v>
      </x:c>
      <x:c r="D48" s="134" t="str">
        <x:v>2A</x:v>
      </x:c>
      <x:c r="E48" s="134" t="n">
        <x:v>13.48</x:v>
      </x:c>
      <x:c r="F48" s="134" t="n">
        <x:v>0</x:v>
      </x:c>
      <x:c r="G48" s="134" t="n">
        <x:v>95.21</x:v>
      </x:c>
      <x:c r="H48" s="134" t="n">
        <x:v>7.77</x:v>
      </x:c>
      <x:c r="I48" s="134" t="n">
        <x:v>13.96</x:v>
      </x:c>
      <x:c r="J48" s="134" t="n">
        <x:v>15</x:v>
      </x:c>
      <x:c r="K48" s="134" t="n">
        <x:v>9</x:v>
      </x:c>
      <x:c r="L48" s="153" t="b">
        <x:v>1</x:v>
      </x:c>
      <x:c r="M48" s="135" t="str">
        <x:v>Derivar desde BD vía Feature Builder; esta hoja es contrato de referencia</x:v>
      </x:c>
    </x:row>
    <x:row r="49" ht="34" customHeight="1">
      <x:c r="A49" s="133" t="str">
        <x:v>EST-0051</x:v>
      </x:c>
      <x:c r="B49" s="134" t="str">
        <x:v>2026-09-21</x:v>
      </x:c>
      <x:c r="C49" s="134" t="n">
        <x:v>2</x:v>
      </x:c>
      <x:c r="D49" s="134" t="str">
        <x:v>2A</x:v>
      </x:c>
      <x:c r="E49" s="134" t="n">
        <x:v>13.67</x:v>
      </x:c>
      <x:c r="F49" s="134" t="n">
        <x:v>0</x:v>
      </x:c>
      <x:c r="G49" s="134" t="n">
        <x:v>96.08</x:v>
      </x:c>
      <x:c r="H49" s="134" t="n">
        <x:v>6.01</x:v>
      </x:c>
      <x:c r="I49" s="134" t="n">
        <x:v>8.18</x:v>
      </x:c>
      <x:c r="J49" s="134" t="n">
        <x:v>11</x:v>
      </x:c>
      <x:c r="K49" s="134" t="n">
        <x:v>9</x:v>
      </x:c>
      <x:c r="L49" s="153" t="b">
        <x:v>1</x:v>
      </x:c>
      <x:c r="M49" s="135" t="str">
        <x:v>Derivar desde BD vía Feature Builder; esta hoja es contrato de referencia</x:v>
      </x:c>
    </x:row>
    <x:row r="50" ht="34" customHeight="1">
      <x:c r="A50" s="133" t="str">
        <x:v>EST-0052</x:v>
      </x:c>
      <x:c r="B50" s="134" t="str">
        <x:v>2026-09-21</x:v>
      </x:c>
      <x:c r="C50" s="134" t="n">
        <x:v>2</x:v>
      </x:c>
      <x:c r="D50" s="134" t="str">
        <x:v>2A</x:v>
      </x:c>
      <x:c r="E50" s="134" t="n">
        <x:v>14.36</x:v>
      </x:c>
      <x:c r="F50" s="134" t="n">
        <x:v>0</x:v>
      </x:c>
      <x:c r="G50" s="134" t="n">
        <x:v>95.74</x:v>
      </x:c>
      <x:c r="H50" s="134" t="n">
        <x:v>4.59</x:v>
      </x:c>
      <x:c r="I50" s="134" t="n">
        <x:v>7.14</x:v>
      </x:c>
      <x:c r="J50" s="134" t="n">
        <x:v>10</x:v>
      </x:c>
      <x:c r="K50" s="134" t="n">
        <x:v>8</x:v>
      </x:c>
      <x:c r="L50" s="153" t="b">
        <x:v>1</x:v>
      </x:c>
      <x:c r="M50" s="135" t="str">
        <x:v>Derivar desde BD vía Feature Builder; esta hoja es contrato de referencia</x:v>
      </x:c>
    </x:row>
    <x:row r="51" ht="34" customHeight="1">
      <x:c r="A51" s="133" t="str">
        <x:v>EST-0053</x:v>
      </x:c>
      <x:c r="B51" s="134" t="str">
        <x:v>2026-09-21</x:v>
      </x:c>
      <x:c r="C51" s="134" t="n">
        <x:v>2</x:v>
      </x:c>
      <x:c r="D51" s="134" t="str">
        <x:v>2A</x:v>
      </x:c>
      <x:c r="E51" s="134" t="n">
        <x:v>13.23</x:v>
      </x:c>
      <x:c r="F51" s="134" t="n">
        <x:v>0</x:v>
      </x:c>
      <x:c r="G51" s="134" t="n">
        <x:v>92.02</x:v>
      </x:c>
      <x:c r="H51" s="134" t="n">
        <x:v>4.93</x:v>
      </x:c>
      <x:c r="I51" s="134" t="n">
        <x:v>9.45</x:v>
      </x:c>
      <x:c r="J51" s="134" t="n">
        <x:v>11</x:v>
      </x:c>
      <x:c r="K51" s="134" t="n">
        <x:v>9</x:v>
      </x:c>
      <x:c r="L51" s="153" t="b">
        <x:v>1</x:v>
      </x:c>
      <x:c r="M51" s="135" t="str">
        <x:v>Derivar desde BD vía Feature Builder; esta hoja es contrato de referencia</x:v>
      </x:c>
    </x:row>
    <x:row r="52" ht="34" customHeight="1">
      <x:c r="A52" s="133" t="str">
        <x:v>EST-0054</x:v>
      </x:c>
      <x:c r="B52" s="134" t="str">
        <x:v>2026-09-21</x:v>
      </x:c>
      <x:c r="C52" s="134" t="n">
        <x:v>2</x:v>
      </x:c>
      <x:c r="D52" s="134" t="str">
        <x:v>2A</x:v>
      </x:c>
      <x:c r="E52" s="134" t="n">
        <x:v>16.84</x:v>
      </x:c>
      <x:c r="F52" s="134" t="n">
        <x:v>0</x:v>
      </x:c>
      <x:c r="G52" s="134" t="n">
        <x:v>99.5</x:v>
      </x:c>
      <x:c r="H52" s="134" t="n">
        <x:v>10.66</x:v>
      </x:c>
      <x:c r="I52" s="134" t="n">
        <x:v>18.25</x:v>
      </x:c>
      <x:c r="J52" s="134" t="n">
        <x:v>16</x:v>
      </x:c>
      <x:c r="K52" s="134" t="n">
        <x:v>14</x:v>
      </x:c>
      <x:c r="L52" s="153" t="b">
        <x:v>1</x:v>
      </x:c>
      <x:c r="M52" s="135" t="str">
        <x:v>Derivar desde BD vía Feature Builder; esta hoja es contrato de referencia</x:v>
      </x:c>
    </x:row>
    <x:row r="53" ht="34" customHeight="1">
      <x:c r="A53" s="133" t="str">
        <x:v>EST-0056</x:v>
      </x:c>
      <x:c r="B53" s="134" t="str">
        <x:v>2026-09-21</x:v>
      </x:c>
      <x:c r="C53" s="134" t="n">
        <x:v>2</x:v>
      </x:c>
      <x:c r="D53" s="134" t="str">
        <x:v>2A</x:v>
      </x:c>
      <x:c r="E53" s="134" t="n">
        <x:v>14.99</x:v>
      </x:c>
      <x:c r="F53" s="134" t="n">
        <x:v>0</x:v>
      </x:c>
      <x:c r="G53" s="134" t="n">
        <x:v>99.5</x:v>
      </x:c>
      <x:c r="H53" s="134" t="n">
        <x:v>6.9</x:v>
      </x:c>
      <x:c r="I53" s="134" t="n">
        <x:v>14.89</x:v>
      </x:c>
      <x:c r="J53" s="134" t="n">
        <x:v>15</x:v>
      </x:c>
      <x:c r="K53" s="134" t="n">
        <x:v>9</x:v>
      </x:c>
      <x:c r="L53" s="153" t="b">
        <x:v>1</x:v>
      </x:c>
      <x:c r="M53" s="135" t="str">
        <x:v>Derivar desde BD vía Feature Builder; esta hoja es contrato de referencia</x:v>
      </x:c>
    </x:row>
    <x:row r="54" ht="34" customHeight="1">
      <x:c r="A54" s="133" t="str">
        <x:v>EST-0057</x:v>
      </x:c>
      <x:c r="B54" s="134" t="str">
        <x:v>2026-09-21</x:v>
      </x:c>
      <x:c r="C54" s="134" t="n">
        <x:v>2</x:v>
      </x:c>
      <x:c r="D54" s="134" t="str">
        <x:v>2A</x:v>
      </x:c>
      <x:c r="E54" s="134" t="n">
        <x:v>14.86</x:v>
      </x:c>
      <x:c r="F54" s="134" t="n">
        <x:v>0</x:v>
      </x:c>
      <x:c r="G54" s="134" t="n">
        <x:v>85.86</x:v>
      </x:c>
      <x:c r="H54" s="134" t="n">
        <x:v>5.56</x:v>
      </x:c>
      <x:c r="I54" s="134" t="n">
        <x:v>10.28</x:v>
      </x:c>
      <x:c r="J54" s="134" t="n">
        <x:v>11</x:v>
      </x:c>
      <x:c r="K54" s="134" t="n">
        <x:v>9</x:v>
      </x:c>
      <x:c r="L54" s="153" t="b">
        <x:v>1</x:v>
      </x:c>
      <x:c r="M54" s="135" t="str">
        <x:v>Derivar desde BD vía Feature Builder; esta hoja es contrato de referencia</x:v>
      </x:c>
    </x:row>
    <x:row r="55" ht="34" customHeight="1">
      <x:c r="A55" s="133" t="str">
        <x:v>EST-0058</x:v>
      </x:c>
      <x:c r="B55" s="134" t="str">
        <x:v>2026-09-21</x:v>
      </x:c>
      <x:c r="C55" s="134" t="n">
        <x:v>2</x:v>
      </x:c>
      <x:c r="D55" s="134" t="str">
        <x:v>2A</x:v>
      </x:c>
      <x:c r="E55" s="134" t="n">
        <x:v>13.18</x:v>
      </x:c>
      <x:c r="F55" s="134" t="n">
        <x:v>0</x:v>
      </x:c>
      <x:c r="G55" s="134" t="n">
        <x:v>91.75</x:v>
      </x:c>
      <x:c r="H55" s="134" t="n">
        <x:v>7.92</x:v>
      </x:c>
      <x:c r="I55" s="134" t="n">
        <x:v>13.71</x:v>
      </x:c>
      <x:c r="J55" s="134" t="n">
        <x:v>13</x:v>
      </x:c>
      <x:c r="K55" s="134" t="n">
        <x:v>12</x:v>
      </x:c>
      <x:c r="L55" s="153" t="b">
        <x:v>1</x:v>
      </x:c>
      <x:c r="M55" s="135" t="str">
        <x:v>Derivar desde BD vía Feature Builder; esta hoja es contrato de referencia</x:v>
      </x:c>
    </x:row>
    <x:row r="56" ht="34" customHeight="1">
      <x:c r="A56" s="133" t="str">
        <x:v>EST-0059</x:v>
      </x:c>
      <x:c r="B56" s="134" t="str">
        <x:v>2026-09-21</x:v>
      </x:c>
      <x:c r="C56" s="134" t="n">
        <x:v>2</x:v>
      </x:c>
      <x:c r="D56" s="134" t="str">
        <x:v>2B</x:v>
      </x:c>
      <x:c r="E56" s="134" t="n">
        <x:v>15.42</x:v>
      </x:c>
      <x:c r="F56" s="134" t="n">
        <x:v>0</x:v>
      </x:c>
      <x:c r="G56" s="134" t="n">
        <x:v>92.05</x:v>
      </x:c>
      <x:c r="H56" s="134" t="n">
        <x:v>7.95</x:v>
      </x:c>
      <x:c r="I56" s="134" t="n">
        <x:v>13.18</x:v>
      </x:c>
      <x:c r="J56" s="134" t="n">
        <x:v>16</x:v>
      </x:c>
      <x:c r="K56" s="134" t="n">
        <x:v>12</x:v>
      </x:c>
      <x:c r="L56" s="153" t="b">
        <x:v>1</x:v>
      </x:c>
      <x:c r="M56" s="135" t="str">
        <x:v>Derivar desde BD vía Feature Builder; esta hoja es contrato de referencia</x:v>
      </x:c>
    </x:row>
    <x:row r="57" ht="34" customHeight="1">
      <x:c r="A57" s="133" t="str">
        <x:v>EST-0060</x:v>
      </x:c>
      <x:c r="B57" s="134" t="str">
        <x:v>2026-09-21</x:v>
      </x:c>
      <x:c r="C57" s="134" t="n">
        <x:v>2</x:v>
      </x:c>
      <x:c r="D57" s="134" t="str">
        <x:v>2B</x:v>
      </x:c>
      <x:c r="E57" s="134" t="n">
        <x:v>16.77</x:v>
      </x:c>
      <x:c r="F57" s="134" t="n">
        <x:v>0</x:v>
      </x:c>
      <x:c r="G57" s="134" t="n">
        <x:v>95.85</x:v>
      </x:c>
      <x:c r="H57" s="134" t="n">
        <x:v>9.98</x:v>
      </x:c>
      <x:c r="I57" s="134" t="n">
        <x:v>19.66</x:v>
      </x:c>
      <x:c r="J57" s="134" t="n">
        <x:v>15</x:v>
      </x:c>
      <x:c r="K57" s="134" t="n">
        <x:v>15</x:v>
      </x:c>
      <x:c r="L57" s="153" t="b">
        <x:v>1</x:v>
      </x:c>
      <x:c r="M57" s="135" t="str">
        <x:v>Derivar desde BD vía Feature Builder; esta hoja es contrato de referencia</x:v>
      </x:c>
    </x:row>
    <x:row r="58" ht="34" customHeight="1">
      <x:c r="A58" s="133" t="str">
        <x:v>EST-0061</x:v>
      </x:c>
      <x:c r="B58" s="134" t="str">
        <x:v>2026-09-21</x:v>
      </x:c>
      <x:c r="C58" s="134" t="n">
        <x:v>2</x:v>
      </x:c>
      <x:c r="D58" s="134" t="str">
        <x:v>2B</x:v>
      </x:c>
      <x:c r="E58" s="134" t="n">
        <x:v>15.04</x:v>
      </x:c>
      <x:c r="F58" s="134" t="n">
        <x:v>0</x:v>
      </x:c>
      <x:c r="G58" s="134" t="n">
        <x:v>96.98</x:v>
      </x:c>
      <x:c r="H58" s="134" t="n">
        <x:v>9.08</x:v>
      </x:c>
      <x:c r="I58" s="134" t="n">
        <x:v>18.44</x:v>
      </x:c>
      <x:c r="J58" s="134" t="n">
        <x:v>16</x:v>
      </x:c>
      <x:c r="K58" s="134" t="n">
        <x:v>13</x:v>
      </x:c>
      <x:c r="L58" s="153" t="b">
        <x:v>1</x:v>
      </x:c>
      <x:c r="M58" s="135" t="str">
        <x:v>Derivar desde BD vía Feature Builder; esta hoja es contrato de referencia</x:v>
      </x:c>
    </x:row>
    <x:row r="59" ht="34" customHeight="1">
      <x:c r="A59" s="133" t="str">
        <x:v>EST-0062</x:v>
      </x:c>
      <x:c r="B59" s="134" t="str">
        <x:v>2026-09-21</x:v>
      </x:c>
      <x:c r="C59" s="134" t="n">
        <x:v>2</x:v>
      </x:c>
      <x:c r="D59" s="134" t="str">
        <x:v>2B</x:v>
      </x:c>
      <x:c r="E59" s="134" t="n">
        <x:v>14.46</x:v>
      </x:c>
      <x:c r="F59" s="134" t="n">
        <x:v>0</x:v>
      </x:c>
      <x:c r="G59" s="134" t="n">
        <x:v>89.15</x:v>
      </x:c>
      <x:c r="H59" s="134" t="n">
        <x:v>5.9</x:v>
      </x:c>
      <x:c r="I59" s="134" t="n">
        <x:v>13.29</x:v>
      </x:c>
      <x:c r="J59" s="134" t="n">
        <x:v>12</x:v>
      </x:c>
      <x:c r="K59" s="134" t="n">
        <x:v>11</x:v>
      </x:c>
      <x:c r="L59" s="153" t="b">
        <x:v>1</x:v>
      </x:c>
      <x:c r="M59" s="135" t="str">
        <x:v>Derivar desde BD vía Feature Builder; esta hoja es contrato de referencia</x:v>
      </x:c>
    </x:row>
    <x:row r="60" ht="34" customHeight="1">
      <x:c r="A60" s="133" t="str">
        <x:v>EST-0063</x:v>
      </x:c>
      <x:c r="B60" s="134" t="str">
        <x:v>2026-09-21</x:v>
      </x:c>
      <x:c r="C60" s="134" t="n">
        <x:v>2</x:v>
      </x:c>
      <x:c r="D60" s="134" t="str">
        <x:v>2B</x:v>
      </x:c>
      <x:c r="E60" s="134" t="n">
        <x:v>14.85</x:v>
      </x:c>
      <x:c r="F60" s="134" t="n">
        <x:v>0</x:v>
      </x:c>
      <x:c r="G60" s="134" t="n">
        <x:v>95.4</x:v>
      </x:c>
      <x:c r="H60" s="134" t="n">
        <x:v>6.42</x:v>
      </x:c>
      <x:c r="I60" s="134" t="n">
        <x:v>13.12</x:v>
      </x:c>
      <x:c r="J60" s="134" t="n">
        <x:v>15</x:v>
      </x:c>
      <x:c r="K60" s="134" t="n">
        <x:v>9</x:v>
      </x:c>
      <x:c r="L60" s="153" t="b">
        <x:v>1</x:v>
      </x:c>
      <x:c r="M60" s="135" t="str">
        <x:v>Derivar desde BD vía Feature Builder; esta hoja es contrato de referencia</x:v>
      </x:c>
    </x:row>
    <x:row r="61" ht="34" customHeight="1">
      <x:c r="A61" s="133" t="str">
        <x:v>EST-0065</x:v>
      </x:c>
      <x:c r="B61" s="134" t="str">
        <x:v>2026-09-21</x:v>
      </x:c>
      <x:c r="C61" s="134" t="n">
        <x:v>2</x:v>
      </x:c>
      <x:c r="D61" s="134" t="str">
        <x:v>2B</x:v>
      </x:c>
      <x:c r="E61" s="134" t="n">
        <x:v>11.11</x:v>
      </x:c>
      <x:c r="F61" s="134" t="n">
        <x:v>0</x:v>
      </x:c>
      <x:c r="G61" s="134" t="n">
        <x:v>86.68</x:v>
      </x:c>
      <x:c r="H61" s="134" t="n">
        <x:v>8.8</x:v>
      </x:c>
      <x:c r="I61" s="134" t="n">
        <x:v>19.5</x:v>
      </x:c>
      <x:c r="J61" s="134" t="n">
        <x:v>17</x:v>
      </x:c>
      <x:c r="K61" s="134" t="n">
        <x:v>14</x:v>
      </x:c>
      <x:c r="L61" s="153" t="b">
        <x:v>1</x:v>
      </x:c>
      <x:c r="M61" s="135" t="str">
        <x:v>Derivar desde BD vía Feature Builder; esta hoja es contrato de referencia</x:v>
      </x:c>
    </x:row>
    <x:row r="62" ht="34" customHeight="1">
      <x:c r="A62" s="133" t="str">
        <x:v>EST-0066</x:v>
      </x:c>
      <x:c r="B62" s="134" t="str">
        <x:v>2026-09-21</x:v>
      </x:c>
      <x:c r="C62" s="134" t="n">
        <x:v>2</x:v>
      </x:c>
      <x:c r="D62" s="134" t="str">
        <x:v>2B</x:v>
      </x:c>
      <x:c r="E62" s="134" t="n">
        <x:v>16.07</x:v>
      </x:c>
      <x:c r="F62" s="134" t="n">
        <x:v>0</x:v>
      </x:c>
      <x:c r="G62" s="134" t="n">
        <x:v>96.68</x:v>
      </x:c>
      <x:c r="H62" s="134" t="n">
        <x:v>9.45</x:v>
      </x:c>
      <x:c r="I62" s="134" t="n">
        <x:v>20.99</x:v>
      </x:c>
      <x:c r="J62" s="134" t="n">
        <x:v>18</x:v>
      </x:c>
      <x:c r="K62" s="134" t="n">
        <x:v>12</x:v>
      </x:c>
      <x:c r="L62" s="153" t="b">
        <x:v>1</x:v>
      </x:c>
      <x:c r="M62" s="135" t="str">
        <x:v>Derivar desde BD vía Feature Builder; esta hoja es contrato de referencia</x:v>
      </x:c>
    </x:row>
    <x:row r="63" ht="34" customHeight="1">
      <x:c r="A63" s="133" t="str">
        <x:v>EST-0067</x:v>
      </x:c>
      <x:c r="B63" s="134" t="str">
        <x:v>2026-09-21</x:v>
      </x:c>
      <x:c r="C63" s="134" t="n">
        <x:v>2</x:v>
      </x:c>
      <x:c r="D63" s="134" t="str">
        <x:v>2B</x:v>
      </x:c>
      <x:c r="E63" s="134" t="n">
        <x:v>12.75</x:v>
      </x:c>
      <x:c r="F63" s="134" t="n">
        <x:v>0</x:v>
      </x:c>
      <x:c r="G63" s="134" t="n">
        <x:v>99.5</x:v>
      </x:c>
      <x:c r="H63" s="134" t="n">
        <x:v>6.78</x:v>
      </x:c>
      <x:c r="I63" s="134" t="n">
        <x:v>12.46</x:v>
      </x:c>
      <x:c r="J63" s="134" t="n">
        <x:v>12</x:v>
      </x:c>
      <x:c r="K63" s="134" t="n">
        <x:v>10</x:v>
      </x:c>
      <x:c r="L63" s="153" t="b">
        <x:v>1</x:v>
      </x:c>
      <x:c r="M63" s="135" t="str">
        <x:v>Derivar desde BD vía Feature Builder; esta hoja es contrato de referencia</x:v>
      </x:c>
    </x:row>
    <x:row r="64" ht="34" customHeight="1">
      <x:c r="A64" s="133" t="str">
        <x:v>EST-0068</x:v>
      </x:c>
      <x:c r="B64" s="134" t="str">
        <x:v>2026-09-21</x:v>
      </x:c>
      <x:c r="C64" s="134" t="n">
        <x:v>2</x:v>
      </x:c>
      <x:c r="D64" s="134" t="str">
        <x:v>2B</x:v>
      </x:c>
      <x:c r="E64" s="134" t="n">
        <x:v>15.23</x:v>
      </x:c>
      <x:c r="F64" s="134" t="n">
        <x:v>0</x:v>
      </x:c>
      <x:c r="G64" s="134" t="n">
        <x:v>89.82</x:v>
      </x:c>
      <x:c r="H64" s="134" t="n">
        <x:v>5.32</x:v>
      </x:c>
      <x:c r="I64" s="134" t="n">
        <x:v>10.68</x:v>
      </x:c>
      <x:c r="J64" s="134" t="n">
        <x:v>13</x:v>
      </x:c>
      <x:c r="K64" s="134" t="n">
        <x:v>11</x:v>
      </x:c>
      <x:c r="L64" s="153" t="b">
        <x:v>1</x:v>
      </x:c>
      <x:c r="M64" s="135" t="str">
        <x:v>Derivar desde BD vía Feature Builder; esta hoja es contrato de referencia</x:v>
      </x:c>
    </x:row>
    <x:row r="65" ht="34" customHeight="1">
      <x:c r="A65" s="133" t="str">
        <x:v>EST-0069</x:v>
      </x:c>
      <x:c r="B65" s="134" t="str">
        <x:v>2026-09-21</x:v>
      </x:c>
      <x:c r="C65" s="134" t="n">
        <x:v>2</x:v>
      </x:c>
      <x:c r="D65" s="134" t="str">
        <x:v>2B</x:v>
      </x:c>
      <x:c r="E65" s="134" t="n">
        <x:v>14.65</x:v>
      </x:c>
      <x:c r="F65" s="134" t="n">
        <x:v>0</x:v>
      </x:c>
      <x:c r="G65" s="134" t="n">
        <x:v>87.59</x:v>
      </x:c>
      <x:c r="H65" s="134" t="n">
        <x:v>9.02</x:v>
      </x:c>
      <x:c r="I65" s="134" t="n">
        <x:v>19.91</x:v>
      </x:c>
      <x:c r="J65" s="134" t="n">
        <x:v>19</x:v>
      </x:c>
      <x:c r="K65" s="134" t="n">
        <x:v>13</x:v>
      </x:c>
      <x:c r="L65" s="153" t="b">
        <x:v>1</x:v>
      </x:c>
      <x:c r="M65" s="135" t="str">
        <x:v>Derivar desde BD vía Feature Builder; esta hoja es contrato de referencia</x:v>
      </x:c>
    </x:row>
    <x:row r="66" ht="34" customHeight="1">
      <x:c r="A66" s="133" t="str">
        <x:v>EST-0070</x:v>
      </x:c>
      <x:c r="B66" s="134" t="str">
        <x:v>2026-09-21</x:v>
      </x:c>
      <x:c r="C66" s="134" t="n">
        <x:v>2</x:v>
      </x:c>
      <x:c r="D66" s="134" t="str">
        <x:v>2B</x:v>
      </x:c>
      <x:c r="E66" s="134" t="n">
        <x:v>16.15</x:v>
      </x:c>
      <x:c r="F66" s="134" t="n">
        <x:v>0</x:v>
      </x:c>
      <x:c r="G66" s="134" t="n">
        <x:v>96.03</x:v>
      </x:c>
      <x:c r="H66" s="134" t="n">
        <x:v>7.45</x:v>
      </x:c>
      <x:c r="I66" s="134" t="n">
        <x:v>15.72</x:v>
      </x:c>
      <x:c r="J66" s="134" t="n">
        <x:v>13</x:v>
      </x:c>
      <x:c r="K66" s="134" t="n">
        <x:v>10</x:v>
      </x:c>
      <x:c r="L66" s="153" t="b">
        <x:v>1</x:v>
      </x:c>
      <x:c r="M66" s="135" t="str">
        <x:v>Derivar desde BD vía Feature Builder; esta hoja es contrato de referencia</x:v>
      </x:c>
    </x:row>
    <x:row r="67" ht="34" customHeight="1">
      <x:c r="A67" s="133" t="str">
        <x:v>EST-0071</x:v>
      </x:c>
      <x:c r="B67" s="134" t="str">
        <x:v>2026-09-21</x:v>
      </x:c>
      <x:c r="C67" s="134" t="n">
        <x:v>2</x:v>
      </x:c>
      <x:c r="D67" s="134" t="str">
        <x:v>2C</x:v>
      </x:c>
      <x:c r="E67" s="134" t="n">
        <x:v>12.32</x:v>
      </x:c>
      <x:c r="F67" s="134" t="n">
        <x:v>0</x:v>
      </x:c>
      <x:c r="G67" s="134" t="n">
        <x:v>97.45</x:v>
      </x:c>
      <x:c r="H67" s="134" t="n">
        <x:v>7.46</x:v>
      </x:c>
      <x:c r="I67" s="134" t="n">
        <x:v>16.01</x:v>
      </x:c>
      <x:c r="J67" s="134" t="n">
        <x:v>16</x:v>
      </x:c>
      <x:c r="K67" s="134" t="n">
        <x:v>10</x:v>
      </x:c>
      <x:c r="L67" s="153" t="b">
        <x:v>1</x:v>
      </x:c>
      <x:c r="M67" s="135" t="str">
        <x:v>Derivar desde BD vía Feature Builder; esta hoja es contrato de referencia</x:v>
      </x:c>
    </x:row>
    <x:row r="68" ht="34" customHeight="1">
      <x:c r="A68" s="133" t="str">
        <x:v>EST-0072</x:v>
      </x:c>
      <x:c r="B68" s="134" t="str">
        <x:v>2026-09-21</x:v>
      </x:c>
      <x:c r="C68" s="134" t="n">
        <x:v>2</x:v>
      </x:c>
      <x:c r="D68" s="134" t="str">
        <x:v>2C</x:v>
      </x:c>
      <x:c r="E68" s="134" t="n">
        <x:v>13.9</x:v>
      </x:c>
      <x:c r="F68" s="134" t="n">
        <x:v>0</x:v>
      </x:c>
      <x:c r="G68" s="134" t="n">
        <x:v>90.41</x:v>
      </x:c>
      <x:c r="H68" s="134" t="n">
        <x:v>7.66</x:v>
      </x:c>
      <x:c r="I68" s="134" t="n">
        <x:v>16.52</x:v>
      </x:c>
      <x:c r="J68" s="134" t="n">
        <x:v>14</x:v>
      </x:c>
      <x:c r="K68" s="134" t="n">
        <x:v>12</x:v>
      </x:c>
      <x:c r="L68" s="153" t="b">
        <x:v>1</x:v>
      </x:c>
      <x:c r="M68" s="135" t="str">
        <x:v>Derivar desde BD vía Feature Builder; esta hoja es contrato de referencia</x:v>
      </x:c>
    </x:row>
    <x:row r="69" ht="34" customHeight="1">
      <x:c r="A69" s="133" t="str">
        <x:v>EST-0074</x:v>
      </x:c>
      <x:c r="B69" s="134" t="str">
        <x:v>2026-09-21</x:v>
      </x:c>
      <x:c r="C69" s="134" t="n">
        <x:v>2</x:v>
      </x:c>
      <x:c r="D69" s="134" t="str">
        <x:v>2C</x:v>
      </x:c>
      <x:c r="E69" s="134" t="n">
        <x:v>13.48</x:v>
      </x:c>
      <x:c r="F69" s="134" t="n">
        <x:v>0</x:v>
      </x:c>
      <x:c r="G69" s="134" t="n">
        <x:v>99.5</x:v>
      </x:c>
      <x:c r="H69" s="134" t="n">
        <x:v>6.06</x:v>
      </x:c>
      <x:c r="I69" s="134" t="n">
        <x:v>8.39</x:v>
      </x:c>
      <x:c r="J69" s="134" t="n">
        <x:v>12</x:v>
      </x:c>
      <x:c r="K69" s="134" t="n">
        <x:v>9</x:v>
      </x:c>
      <x:c r="L69" s="153" t="b">
        <x:v>1</x:v>
      </x:c>
      <x:c r="M69" s="135" t="str">
        <x:v>Derivar desde BD vía Feature Builder; esta hoja es contrato de referencia</x:v>
      </x:c>
    </x:row>
    <x:row r="70" ht="34" customHeight="1">
      <x:c r="A70" s="133" t="str">
        <x:v>EST-0075</x:v>
      </x:c>
      <x:c r="B70" s="134" t="str">
        <x:v>2026-09-21</x:v>
      </x:c>
      <x:c r="C70" s="134" t="n">
        <x:v>2</x:v>
      </x:c>
      <x:c r="D70" s="134" t="str">
        <x:v>2C</x:v>
      </x:c>
      <x:c r="E70" s="134" t="n">
        <x:v>12.41</x:v>
      </x:c>
      <x:c r="F70" s="134" t="n">
        <x:v>0</x:v>
      </x:c>
      <x:c r="G70" s="134" t="n">
        <x:v>89.13</x:v>
      </x:c>
      <x:c r="H70" s="134" t="n">
        <x:v>7.2</x:v>
      </x:c>
      <x:c r="I70" s="134" t="n">
        <x:v>14.4</x:v>
      </x:c>
      <x:c r="J70" s="134" t="n">
        <x:v>13</x:v>
      </x:c>
      <x:c r="K70" s="134" t="n">
        <x:v>13</x:v>
      </x:c>
      <x:c r="L70" s="153" t="b">
        <x:v>1</x:v>
      </x:c>
      <x:c r="M70" s="135" t="str">
        <x:v>Derivar desde BD vía Feature Builder; esta hoja es contrato de referencia</x:v>
      </x:c>
    </x:row>
    <x:row r="71" ht="34" customHeight="1">
      <x:c r="A71" s="133" t="str">
        <x:v>EST-0076</x:v>
      </x:c>
      <x:c r="B71" s="134" t="str">
        <x:v>2026-09-21</x:v>
      </x:c>
      <x:c r="C71" s="134" t="n">
        <x:v>2</x:v>
      </x:c>
      <x:c r="D71" s="134" t="str">
        <x:v>2C</x:v>
      </x:c>
      <x:c r="E71" s="134" t="n">
        <x:v>15.38</x:v>
      </x:c>
      <x:c r="F71" s="134" t="n">
        <x:v>0</x:v>
      </x:c>
      <x:c r="G71" s="134" t="n">
        <x:v>99.5</x:v>
      </x:c>
      <x:c r="H71" s="134" t="n">
        <x:v>10.42</x:v>
      </x:c>
      <x:c r="I71" s="134" t="n">
        <x:v>19.94</x:v>
      </x:c>
      <x:c r="J71" s="134" t="n">
        <x:v>18</x:v>
      </x:c>
      <x:c r="K71" s="134" t="n">
        <x:v>14</x:v>
      </x:c>
      <x:c r="L71" s="153" t="b">
        <x:v>1</x:v>
      </x:c>
      <x:c r="M71" s="135" t="str">
        <x:v>Derivar desde BD vía Feature Builder; esta hoja es contrato de referencia</x:v>
      </x:c>
    </x:row>
    <x:row r="72" ht="34" customHeight="1">
      <x:c r="A72" s="133" t="str">
        <x:v>EST-0077</x:v>
      </x:c>
      <x:c r="B72" s="134" t="str">
        <x:v>2026-09-21</x:v>
      </x:c>
      <x:c r="C72" s="134" t="n">
        <x:v>2</x:v>
      </x:c>
      <x:c r="D72" s="134" t="str">
        <x:v>2C</x:v>
      </x:c>
      <x:c r="E72" s="134" t="n">
        <x:v>15.44</x:v>
      </x:c>
      <x:c r="F72" s="134" t="n">
        <x:v>0</x:v>
      </x:c>
      <x:c r="G72" s="134" t="n">
        <x:v>88.46</x:v>
      </x:c>
      <x:c r="H72" s="134" t="n">
        <x:v>9.9</x:v>
      </x:c>
      <x:c r="I72" s="134" t="n">
        <x:v>17.14</x:v>
      </x:c>
      <x:c r="J72" s="134" t="n">
        <x:v>15</x:v>
      </x:c>
      <x:c r="K72" s="134" t="n">
        <x:v>13</x:v>
      </x:c>
      <x:c r="L72" s="153" t="b">
        <x:v>1</x:v>
      </x:c>
      <x:c r="M72" s="135" t="str">
        <x:v>Derivar desde BD vía Feature Builder; esta hoja es contrato de referencia</x:v>
      </x:c>
    </x:row>
    <x:row r="73" ht="34" customHeight="1">
      <x:c r="A73" s="133" t="str">
        <x:v>EST-0078</x:v>
      </x:c>
      <x:c r="B73" s="134" t="str">
        <x:v>2026-09-21</x:v>
      </x:c>
      <x:c r="C73" s="134" t="n">
        <x:v>2</x:v>
      </x:c>
      <x:c r="D73" s="134" t="str">
        <x:v>2C</x:v>
      </x:c>
      <x:c r="E73" s="134" t="n">
        <x:v>15.45</x:v>
      </x:c>
      <x:c r="F73" s="134" t="n">
        <x:v>0</x:v>
      </x:c>
      <x:c r="G73" s="134" t="n">
        <x:v>99.5</x:v>
      </x:c>
      <x:c r="H73" s="134" t="n">
        <x:v>9.01</x:v>
      </x:c>
      <x:c r="I73" s="134" t="n">
        <x:v>15.57</x:v>
      </x:c>
      <x:c r="J73" s="134" t="n">
        <x:v>15</x:v>
      </x:c>
      <x:c r="K73" s="134" t="n">
        <x:v>13</x:v>
      </x:c>
      <x:c r="L73" s="153" t="b">
        <x:v>1</x:v>
      </x:c>
      <x:c r="M73" s="135" t="str">
        <x:v>Derivar desde BD vía Feature Builder; esta hoja es contrato de referencia</x:v>
      </x:c>
    </x:row>
    <x:row r="74" ht="34" customHeight="1">
      <x:c r="A74" s="133" t="str">
        <x:v>EST-0079</x:v>
      </x:c>
      <x:c r="B74" s="134" t="str">
        <x:v>2026-09-21</x:v>
      </x:c>
      <x:c r="C74" s="134" t="n">
        <x:v>2</x:v>
      </x:c>
      <x:c r="D74" s="134" t="str">
        <x:v>2C</x:v>
      </x:c>
      <x:c r="E74" s="134" t="n">
        <x:v>14.88</x:v>
      </x:c>
      <x:c r="F74" s="134" t="n">
        <x:v>0</x:v>
      </x:c>
      <x:c r="G74" s="134" t="n">
        <x:v>99.5</x:v>
      </x:c>
      <x:c r="H74" s="134" t="n">
        <x:v>6.1</x:v>
      </x:c>
      <x:c r="I74" s="134" t="n">
        <x:v>12.38</x:v>
      </x:c>
      <x:c r="J74" s="134" t="n">
        <x:v>13</x:v>
      </x:c>
      <x:c r="K74" s="134" t="n">
        <x:v>8</x:v>
      </x:c>
      <x:c r="L74" s="153" t="b">
        <x:v>1</x:v>
      </x:c>
      <x:c r="M74" s="135" t="str">
        <x:v>Derivar desde BD vía Feature Builder; esta hoja es contrato de referencia</x:v>
      </x:c>
    </x:row>
    <x:row r="75" ht="34" customHeight="1">
      <x:c r="A75" s="133" t="str">
        <x:v>EST-0080</x:v>
      </x:c>
      <x:c r="B75" s="134" t="str">
        <x:v>2026-09-21</x:v>
      </x:c>
      <x:c r="C75" s="134" t="n">
        <x:v>2</x:v>
      </x:c>
      <x:c r="D75" s="134" t="str">
        <x:v>2C</x:v>
      </x:c>
      <x:c r="E75" s="134" t="n">
        <x:v>13.55</x:v>
      </x:c>
      <x:c r="F75" s="134" t="n">
        <x:v>0</x:v>
      </x:c>
      <x:c r="G75" s="134" t="n">
        <x:v>84.26</x:v>
      </x:c>
      <x:c r="H75" s="134" t="n">
        <x:v>6.8</x:v>
      </x:c>
      <x:c r="I75" s="134" t="n">
        <x:v>13.6</x:v>
      </x:c>
      <x:c r="J75" s="134" t="n">
        <x:v>16</x:v>
      </x:c>
      <x:c r="K75" s="134" t="n">
        <x:v>9</x:v>
      </x:c>
      <x:c r="L75" s="153" t="b">
        <x:v>1</x:v>
      </x:c>
      <x:c r="M75" s="135" t="str">
        <x:v>Derivar desde BD vía Feature Builder; esta hoja es contrato de referencia</x:v>
      </x:c>
    </x:row>
    <x:row r="76" ht="34" customHeight="1">
      <x:c r="A76" s="133" t="str">
        <x:v>EST-0081</x:v>
      </x:c>
      <x:c r="B76" s="134" t="str">
        <x:v>2026-09-21</x:v>
      </x:c>
      <x:c r="C76" s="134" t="n">
        <x:v>2</x:v>
      </x:c>
      <x:c r="D76" s="134" t="str">
        <x:v>2C</x:v>
      </x:c>
      <x:c r="E76" s="134" t="n">
        <x:v>15.35</x:v>
      </x:c>
      <x:c r="F76" s="134" t="n">
        <x:v>0</x:v>
      </x:c>
      <x:c r="G76" s="134" t="n">
        <x:v>99.5</x:v>
      </x:c>
      <x:c r="H76" s="134" t="n">
        <x:v>8.38</x:v>
      </x:c>
      <x:c r="I76" s="134" t="n">
        <x:v>18.65</x:v>
      </x:c>
      <x:c r="J76" s="134" t="n">
        <x:v>18</x:v>
      </x:c>
      <x:c r="K76" s="134" t="n">
        <x:v>14</x:v>
      </x:c>
      <x:c r="L76" s="153" t="b">
        <x:v>1</x:v>
      </x:c>
      <x:c r="M76" s="135" t="str">
        <x:v>Derivar desde BD vía Feature Builder; esta hoja es contrato de referencia</x:v>
      </x:c>
    </x:row>
    <x:row r="77" ht="34" customHeight="1">
      <x:c r="A77" s="133" t="str">
        <x:v>EST-0083</x:v>
      </x:c>
      <x:c r="B77" s="134" t="str">
        <x:v>2026-09-21</x:v>
      </x:c>
      <x:c r="C77" s="134" t="n">
        <x:v>2</x:v>
      </x:c>
      <x:c r="D77" s="134" t="str">
        <x:v>2D</x:v>
      </x:c>
      <x:c r="E77" s="134" t="n">
        <x:v>16.47</x:v>
      </x:c>
      <x:c r="F77" s="134" t="n">
        <x:v>0</x:v>
      </x:c>
      <x:c r="G77" s="134" t="n">
        <x:v>94.95</x:v>
      </x:c>
      <x:c r="H77" s="134" t="n">
        <x:v>10.18</x:v>
      </x:c>
      <x:c r="I77" s="134" t="n">
        <x:v>17.69</x:v>
      </x:c>
      <x:c r="J77" s="134" t="n">
        <x:v>19</x:v>
      </x:c>
      <x:c r="K77" s="134" t="n">
        <x:v>13</x:v>
      </x:c>
      <x:c r="L77" s="153" t="b">
        <x:v>1</x:v>
      </x:c>
      <x:c r="M77" s="135" t="str">
        <x:v>Derivar desde BD vía Feature Builder; esta hoja es contrato de referencia</x:v>
      </x:c>
    </x:row>
    <x:row r="78" ht="34" customHeight="1">
      <x:c r="A78" s="133" t="str">
        <x:v>EST-0084</x:v>
      </x:c>
      <x:c r="B78" s="134" t="str">
        <x:v>2026-09-21</x:v>
      </x:c>
      <x:c r="C78" s="134" t="n">
        <x:v>2</x:v>
      </x:c>
      <x:c r="D78" s="134" t="str">
        <x:v>2D</x:v>
      </x:c>
      <x:c r="E78" s="134" t="n">
        <x:v>14.63</x:v>
      </x:c>
      <x:c r="F78" s="134" t="n">
        <x:v>0</x:v>
      </x:c>
      <x:c r="G78" s="134" t="n">
        <x:v>99.5</x:v>
      </x:c>
      <x:c r="H78" s="134" t="n">
        <x:v>6.22</x:v>
      </x:c>
      <x:c r="I78" s="134" t="n">
        <x:v>11.25</x:v>
      </x:c>
      <x:c r="J78" s="134" t="n">
        <x:v>14</x:v>
      </x:c>
      <x:c r="K78" s="134" t="n">
        <x:v>10</x:v>
      </x:c>
      <x:c r="L78" s="153" t="b">
        <x:v>1</x:v>
      </x:c>
      <x:c r="M78" s="135" t="str">
        <x:v>Derivar desde BD vía Feature Builder; esta hoja es contrato de referencia</x:v>
      </x:c>
    </x:row>
    <x:row r="79" ht="34" customHeight="1">
      <x:c r="A79" s="133" t="str">
        <x:v>EST-0085</x:v>
      </x:c>
      <x:c r="B79" s="134" t="str">
        <x:v>2026-09-21</x:v>
      </x:c>
      <x:c r="C79" s="134" t="n">
        <x:v>2</x:v>
      </x:c>
      <x:c r="D79" s="134" t="str">
        <x:v>2D</x:v>
      </x:c>
      <x:c r="E79" s="134" t="n">
        <x:v>15.13</x:v>
      </x:c>
      <x:c r="F79" s="134" t="n">
        <x:v>0</x:v>
      </x:c>
      <x:c r="G79" s="134" t="n">
        <x:v>94.2</x:v>
      </x:c>
      <x:c r="H79" s="134" t="n">
        <x:v>5.43</x:v>
      </x:c>
      <x:c r="I79" s="134" t="n">
        <x:v>11.46</x:v>
      </x:c>
      <x:c r="J79" s="134" t="n">
        <x:v>14</x:v>
      </x:c>
      <x:c r="K79" s="134" t="n">
        <x:v>8</x:v>
      </x:c>
      <x:c r="L79" s="153" t="b">
        <x:v>1</x:v>
      </x:c>
      <x:c r="M79" s="135" t="str">
        <x:v>Derivar desde BD vía Feature Builder; esta hoja es contrato de referencia</x:v>
      </x:c>
    </x:row>
    <x:row r="80" ht="34" customHeight="1">
      <x:c r="A80" s="133" t="str">
        <x:v>EST-0086</x:v>
      </x:c>
      <x:c r="B80" s="134" t="str">
        <x:v>2026-09-21</x:v>
      </x:c>
      <x:c r="C80" s="134" t="n">
        <x:v>2</x:v>
      </x:c>
      <x:c r="D80" s="134" t="str">
        <x:v>2D</x:v>
      </x:c>
      <x:c r="E80" s="134" t="n">
        <x:v>15.62</x:v>
      </x:c>
      <x:c r="F80" s="134" t="n">
        <x:v>0</x:v>
      </x:c>
      <x:c r="G80" s="134" t="n">
        <x:v>95.9</x:v>
      </x:c>
      <x:c r="H80" s="134" t="n">
        <x:v>6.21</x:v>
      </x:c>
      <x:c r="I80" s="134" t="n">
        <x:v>13.4</x:v>
      </x:c>
      <x:c r="J80" s="134" t="n">
        <x:v>14</x:v>
      </x:c>
      <x:c r="K80" s="134" t="n">
        <x:v>8</x:v>
      </x:c>
      <x:c r="L80" s="153" t="b">
        <x:v>1</x:v>
      </x:c>
      <x:c r="M80" s="135" t="str">
        <x:v>Derivar desde BD vía Feature Builder; esta hoja es contrato de referencia</x:v>
      </x:c>
    </x:row>
    <x:row r="81" ht="34" customHeight="1">
      <x:c r="A81" s="133" t="str">
        <x:v>EST-0087</x:v>
      </x:c>
      <x:c r="B81" s="134" t="str">
        <x:v>2026-09-21</x:v>
      </x:c>
      <x:c r="C81" s="134" t="n">
        <x:v>2</x:v>
      </x:c>
      <x:c r="D81" s="134" t="str">
        <x:v>2D</x:v>
      </x:c>
      <x:c r="E81" s="134" t="n">
        <x:v>15.51</x:v>
      </x:c>
      <x:c r="F81" s="134" t="n">
        <x:v>0</x:v>
      </x:c>
      <x:c r="G81" s="134" t="n">
        <x:v>91.27</x:v>
      </x:c>
      <x:c r="H81" s="134" t="n">
        <x:v>6.53</x:v>
      </x:c>
      <x:c r="I81" s="134" t="n">
        <x:v>9.2</x:v>
      </x:c>
      <x:c r="J81" s="134" t="n">
        <x:v>12</x:v>
      </x:c>
      <x:c r="K81" s="134" t="n">
        <x:v>7</x:v>
      </x:c>
      <x:c r="L81" s="153" t="b">
        <x:v>1</x:v>
      </x:c>
      <x:c r="M81" s="135" t="str">
        <x:v>Derivar desde BD vía Feature Builder; esta hoja es contrato de referencia</x:v>
      </x:c>
    </x:row>
    <x:row r="82" ht="34" customHeight="1">
      <x:c r="A82" s="133" t="str">
        <x:v>EST-0088</x:v>
      </x:c>
      <x:c r="B82" s="134" t="str">
        <x:v>2026-09-21</x:v>
      </x:c>
      <x:c r="C82" s="134" t="n">
        <x:v>2</x:v>
      </x:c>
      <x:c r="D82" s="134" t="str">
        <x:v>2D</x:v>
      </x:c>
      <x:c r="E82" s="134" t="n">
        <x:v>17.01</x:v>
      </x:c>
      <x:c r="F82" s="134" t="n">
        <x:v>0</x:v>
      </x:c>
      <x:c r="G82" s="134" t="n">
        <x:v>99.23</x:v>
      </x:c>
      <x:c r="H82" s="134" t="n">
        <x:v>5.82</x:v>
      </x:c>
      <x:c r="I82" s="134" t="n">
        <x:v>11.38</x:v>
      </x:c>
      <x:c r="J82" s="134" t="n">
        <x:v>10</x:v>
      </x:c>
      <x:c r="K82" s="134" t="n">
        <x:v>8</x:v>
      </x:c>
      <x:c r="L82" s="153" t="b">
        <x:v>1</x:v>
      </x:c>
      <x:c r="M82" s="135" t="str">
        <x:v>Derivar desde BD vía Feature Builder; esta hoja es contrato de referencia</x:v>
      </x:c>
    </x:row>
    <x:row r="83" ht="34" customHeight="1">
      <x:c r="A83" s="133" t="str">
        <x:v>EST-0089</x:v>
      </x:c>
      <x:c r="B83" s="134" t="str">
        <x:v>2026-09-21</x:v>
      </x:c>
      <x:c r="C83" s="134" t="n">
        <x:v>2</x:v>
      </x:c>
      <x:c r="D83" s="134" t="str">
        <x:v>2D</x:v>
      </x:c>
      <x:c r="E83" s="134" t="n">
        <x:v>17</x:v>
      </x:c>
      <x:c r="F83" s="134" t="n">
        <x:v>0</x:v>
      </x:c>
      <x:c r="G83" s="134" t="n">
        <x:v>99.5</x:v>
      </x:c>
      <x:c r="H83" s="134" t="n">
        <x:v>7.53</x:v>
      </x:c>
      <x:c r="I83" s="134" t="n">
        <x:v>15.64</x:v>
      </x:c>
      <x:c r="J83" s="134" t="n">
        <x:v>15</x:v>
      </x:c>
      <x:c r="K83" s="134" t="n">
        <x:v>13</x:v>
      </x:c>
      <x:c r="L83" s="153" t="b">
        <x:v>1</x:v>
      </x:c>
      <x:c r="M83" s="135" t="str">
        <x:v>Derivar desde BD vía Feature Builder; esta hoja es contrato de referencia</x:v>
      </x:c>
    </x:row>
    <x:row r="84" ht="34" customHeight="1">
      <x:c r="A84" s="133" t="str">
        <x:v>EST-0090</x:v>
      </x:c>
      <x:c r="B84" s="134" t="str">
        <x:v>2026-09-21</x:v>
      </x:c>
      <x:c r="C84" s="134" t="n">
        <x:v>2</x:v>
      </x:c>
      <x:c r="D84" s="134" t="str">
        <x:v>2D</x:v>
      </x:c>
      <x:c r="E84" s="134" t="n">
        <x:v>16.28</x:v>
      </x:c>
      <x:c r="F84" s="134" t="n">
        <x:v>0</x:v>
      </x:c>
      <x:c r="G84" s="134" t="n">
        <x:v>93.98</x:v>
      </x:c>
      <x:c r="H84" s="134" t="n">
        <x:v>5.86</x:v>
      </x:c>
      <x:c r="I84" s="134" t="n">
        <x:v>12.73</x:v>
      </x:c>
      <x:c r="J84" s="134" t="n">
        <x:v>15</x:v>
      </x:c>
      <x:c r="K84" s="134" t="n">
        <x:v>8</x:v>
      </x:c>
      <x:c r="L84" s="153" t="b">
        <x:v>1</x:v>
      </x:c>
      <x:c r="M84" s="135" t="str">
        <x:v>Derivar desde BD vía Feature Builder; esta hoja es contrato de referencia</x:v>
      </x:c>
    </x:row>
    <x:row r="85" ht="34" customHeight="1">
      <x:c r="A85" s="133" t="str">
        <x:v>EST-0091</x:v>
      </x:c>
      <x:c r="B85" s="134" t="str">
        <x:v>2026-09-21</x:v>
      </x:c>
      <x:c r="C85" s="134" t="n">
        <x:v>2</x:v>
      </x:c>
      <x:c r="D85" s="134" t="str">
        <x:v>2D</x:v>
      </x:c>
      <x:c r="E85" s="134" t="n">
        <x:v>11.86</x:v>
      </x:c>
      <x:c r="F85" s="134" t="n">
        <x:v>0</x:v>
      </x:c>
      <x:c r="G85" s="134" t="n">
        <x:v>89.95</x:v>
      </x:c>
      <x:c r="H85" s="134" t="n">
        <x:v>9.05</x:v>
      </x:c>
      <x:c r="I85" s="134" t="n">
        <x:v>17.81</x:v>
      </x:c>
      <x:c r="J85" s="134" t="n">
        <x:v>17</x:v>
      </x:c>
      <x:c r="K85" s="134" t="n">
        <x:v>10</x:v>
      </x:c>
      <x:c r="L85" s="153" t="b">
        <x:v>1</x:v>
      </x:c>
      <x:c r="M85" s="135" t="str">
        <x:v>Derivar desde BD vía Feature Builder; esta hoja es contrato de referencia</x:v>
      </x:c>
    </x:row>
    <x:row r="86" ht="34" customHeight="1">
      <x:c r="A86" s="133" t="str">
        <x:v>EST-0092</x:v>
      </x:c>
      <x:c r="B86" s="134" t="str">
        <x:v>2026-09-21</x:v>
      </x:c>
      <x:c r="C86" s="134" t="n">
        <x:v>2</x:v>
      </x:c>
      <x:c r="D86" s="134" t="str">
        <x:v>2D</x:v>
      </x:c>
      <x:c r="E86" s="134" t="n">
        <x:v>17.15</x:v>
      </x:c>
      <x:c r="F86" s="134" t="n">
        <x:v>0</x:v>
      </x:c>
      <x:c r="G86" s="134" t="n">
        <x:v>93</x:v>
      </x:c>
      <x:c r="H86" s="134" t="n">
        <x:v>8.11</x:v>
      </x:c>
      <x:c r="I86" s="134" t="n">
        <x:v>14.29</x:v>
      </x:c>
      <x:c r="J86" s="134" t="n">
        <x:v>16</x:v>
      </x:c>
      <x:c r="K86" s="134" t="n">
        <x:v>13</x:v>
      </x:c>
      <x:c r="L86" s="153" t="b">
        <x:v>1</x:v>
      </x:c>
      <x:c r="M86" s="135" t="str">
        <x:v>Derivar desde BD vía Feature Builder; esta hoja es contrato de referencia</x:v>
      </x:c>
    </x:row>
    <x:row r="87" ht="34" customHeight="1">
      <x:c r="A87" s="133" t="str">
        <x:v>EST-0094</x:v>
      </x:c>
      <x:c r="B87" s="134" t="str">
        <x:v>2026-09-21</x:v>
      </x:c>
      <x:c r="C87" s="134" t="n">
        <x:v>3</x:v>
      </x:c>
      <x:c r="D87" s="134" t="str">
        <x:v>3A</x:v>
      </x:c>
      <x:c r="E87" s="134" t="n">
        <x:v>14.82</x:v>
      </x:c>
      <x:c r="F87" s="134" t="n">
        <x:v>0</x:v>
      </x:c>
      <x:c r="G87" s="134" t="n">
        <x:v>92.66</x:v>
      </x:c>
      <x:c r="H87" s="134" t="n">
        <x:v>9.68</x:v>
      </x:c>
      <x:c r="I87" s="134" t="n">
        <x:v>16.04</x:v>
      </x:c>
      <x:c r="J87" s="134" t="n">
        <x:v>16</x:v>
      </x:c>
      <x:c r="K87" s="134" t="n">
        <x:v>11</x:v>
      </x:c>
      <x:c r="L87" s="153" t="b">
        <x:v>1</x:v>
      </x:c>
      <x:c r="M87" s="135" t="str">
        <x:v>Derivar desde BD vía Feature Builder; esta hoja es contrato de referencia</x:v>
      </x:c>
    </x:row>
    <x:row r="88" ht="34" customHeight="1">
      <x:c r="A88" s="133" t="str">
        <x:v>EST-0095</x:v>
      </x:c>
      <x:c r="B88" s="134" t="str">
        <x:v>2026-09-21</x:v>
      </x:c>
      <x:c r="C88" s="134" t="n">
        <x:v>3</x:v>
      </x:c>
      <x:c r="D88" s="134" t="str">
        <x:v>3A</x:v>
      </x:c>
      <x:c r="E88" s="134" t="n">
        <x:v>12.75</x:v>
      </x:c>
      <x:c r="F88" s="134" t="n">
        <x:v>0</x:v>
      </x:c>
      <x:c r="G88" s="134" t="n">
        <x:v>83.85</x:v>
      </x:c>
      <x:c r="H88" s="134" t="n">
        <x:v>7.69</x:v>
      </x:c>
      <x:c r="I88" s="134" t="n">
        <x:v>16.71</x:v>
      </x:c>
      <x:c r="J88" s="134" t="n">
        <x:v>14</x:v>
      </x:c>
      <x:c r="K88" s="134" t="n">
        <x:v>12</x:v>
      </x:c>
      <x:c r="L88" s="153" t="b">
        <x:v>1</x:v>
      </x:c>
      <x:c r="M88" s="135" t="str">
        <x:v>Derivar desde BD vía Feature Builder; esta hoja es contrato de referencia</x:v>
      </x:c>
    </x:row>
    <x:row r="89" ht="34" customHeight="1">
      <x:c r="A89" s="133" t="str">
        <x:v>EST-0096</x:v>
      </x:c>
      <x:c r="B89" s="134" t="str">
        <x:v>2026-09-21</x:v>
      </x:c>
      <x:c r="C89" s="134" t="n">
        <x:v>3</x:v>
      </x:c>
      <x:c r="D89" s="134" t="str">
        <x:v>3A</x:v>
      </x:c>
      <x:c r="E89" s="134" t="n">
        <x:v>13.96</x:v>
      </x:c>
      <x:c r="F89" s="134" t="n">
        <x:v>0</x:v>
      </x:c>
      <x:c r="G89" s="134" t="n">
        <x:v>95.41</x:v>
      </x:c>
      <x:c r="H89" s="134" t="n">
        <x:v>9.2</x:v>
      </x:c>
      <x:c r="I89" s="134" t="n">
        <x:v>18.75</x:v>
      </x:c>
      <x:c r="J89" s="134" t="n">
        <x:v>19</x:v>
      </x:c>
      <x:c r="K89" s="134" t="n">
        <x:v>13</x:v>
      </x:c>
      <x:c r="L89" s="153" t="b">
        <x:v>1</x:v>
      </x:c>
      <x:c r="M89" s="135" t="str">
        <x:v>Derivar desde BD vía Feature Builder; esta hoja es contrato de referencia</x:v>
      </x:c>
    </x:row>
    <x:row r="90" ht="34" customHeight="1">
      <x:c r="A90" s="133" t="str">
        <x:v>EST-0097</x:v>
      </x:c>
      <x:c r="B90" s="134" t="str">
        <x:v>2026-09-21</x:v>
      </x:c>
      <x:c r="C90" s="134" t="n">
        <x:v>3</x:v>
      </x:c>
      <x:c r="D90" s="134" t="str">
        <x:v>3A</x:v>
      </x:c>
      <x:c r="E90" s="134" t="n">
        <x:v>13.51</x:v>
      </x:c>
      <x:c r="F90" s="134" t="n">
        <x:v>0</x:v>
      </x:c>
      <x:c r="G90" s="134" t="n">
        <x:v>91.73</x:v>
      </x:c>
      <x:c r="H90" s="134" t="n">
        <x:v>4.83</x:v>
      </x:c>
      <x:c r="I90" s="134" t="n">
        <x:v>8.01</x:v>
      </x:c>
      <x:c r="J90" s="134" t="n">
        <x:v>9</x:v>
      </x:c>
      <x:c r="K90" s="134" t="n">
        <x:v>8</x:v>
      </x:c>
      <x:c r="L90" s="153" t="b">
        <x:v>1</x:v>
      </x:c>
      <x:c r="M90" s="135" t="str">
        <x:v>Derivar desde BD vía Feature Builder; esta hoja es contrato de referencia</x:v>
      </x:c>
    </x:row>
    <x:row r="91" ht="34" customHeight="1">
      <x:c r="A91" s="133" t="str">
        <x:v>EST-0098</x:v>
      </x:c>
      <x:c r="B91" s="134" t="str">
        <x:v>2026-09-21</x:v>
      </x:c>
      <x:c r="C91" s="134" t="n">
        <x:v>3</x:v>
      </x:c>
      <x:c r="D91" s="134" t="str">
        <x:v>3A</x:v>
      </x:c>
      <x:c r="E91" s="134" t="n">
        <x:v>16.15</x:v>
      </x:c>
      <x:c r="F91" s="134" t="n">
        <x:v>0</x:v>
      </x:c>
      <x:c r="G91" s="134" t="n">
        <x:v>89.19</x:v>
      </x:c>
      <x:c r="H91" s="134" t="n">
        <x:v>6.14</x:v>
      </x:c>
      <x:c r="I91" s="134" t="n">
        <x:v>9.39</x:v>
      </x:c>
      <x:c r="J91" s="134" t="n">
        <x:v>12</x:v>
      </x:c>
      <x:c r="K91" s="134" t="n">
        <x:v>9</x:v>
      </x:c>
      <x:c r="L91" s="153" t="b">
        <x:v>1</x:v>
      </x:c>
      <x:c r="M91" s="135" t="str">
        <x:v>Derivar desde BD vía Feature Builder; esta hoja es contrato de referencia</x:v>
      </x:c>
    </x:row>
    <x:row r="92" ht="34" customHeight="1">
      <x:c r="A92" s="133" t="str">
        <x:v>EST-0099</x:v>
      </x:c>
      <x:c r="B92" s="134" t="str">
        <x:v>2026-09-21</x:v>
      </x:c>
      <x:c r="C92" s="134" t="n">
        <x:v>3</x:v>
      </x:c>
      <x:c r="D92" s="134" t="str">
        <x:v>3A</x:v>
      </x:c>
      <x:c r="E92" s="134" t="n">
        <x:v>16.18</x:v>
      </x:c>
      <x:c r="F92" s="134" t="n">
        <x:v>0</x:v>
      </x:c>
      <x:c r="G92" s="134" t="n">
        <x:v>95.29</x:v>
      </x:c>
      <x:c r="H92" s="134" t="n">
        <x:v>10.62</x:v>
      </x:c>
      <x:c r="I92" s="134" t="n">
        <x:v>20.23</x:v>
      </x:c>
      <x:c r="J92" s="134" t="n">
        <x:v>19</x:v>
      </x:c>
      <x:c r="K92" s="134" t="n">
        <x:v>13</x:v>
      </x:c>
      <x:c r="L92" s="153" t="b">
        <x:v>1</x:v>
      </x:c>
      <x:c r="M92" s="135" t="str">
        <x:v>Derivar desde BD vía Feature Builder; esta hoja es contrato de referencia</x:v>
      </x:c>
    </x:row>
    <x:row r="93" ht="34" customHeight="1">
      <x:c r="A93" s="133" t="str">
        <x:v>EST-0100</x:v>
      </x:c>
      <x:c r="B93" s="134" t="str">
        <x:v>2026-09-21</x:v>
      </x:c>
      <x:c r="C93" s="134" t="n">
        <x:v>3</x:v>
      </x:c>
      <x:c r="D93" s="134" t="str">
        <x:v>3A</x:v>
      </x:c>
      <x:c r="E93" s="134" t="n">
        <x:v>14.24</x:v>
      </x:c>
      <x:c r="F93" s="134" t="n">
        <x:v>0</x:v>
      </x:c>
      <x:c r="G93" s="134" t="n">
        <x:v>95.75</x:v>
      </x:c>
      <x:c r="H93" s="134" t="n">
        <x:v>6.55</x:v>
      </x:c>
      <x:c r="I93" s="134" t="n">
        <x:v>12.37</x:v>
      </x:c>
      <x:c r="J93" s="134" t="n">
        <x:v>11</x:v>
      </x:c>
      <x:c r="K93" s="134" t="n">
        <x:v>11</x:v>
      </x:c>
      <x:c r="L93" s="153" t="b">
        <x:v>1</x:v>
      </x:c>
      <x:c r="M93" s="135" t="str">
        <x:v>Derivar desde BD vía Feature Builder; esta hoja es contrato de referencia</x:v>
      </x:c>
    </x:row>
    <x:row r="94" ht="34" customHeight="1">
      <x:c r="A94" s="133" t="str">
        <x:v>EST-0101</x:v>
      </x:c>
      <x:c r="B94" s="134" t="str">
        <x:v>2026-09-21</x:v>
      </x:c>
      <x:c r="C94" s="134" t="n">
        <x:v>3</x:v>
      </x:c>
      <x:c r="D94" s="134" t="str">
        <x:v>3A</x:v>
      </x:c>
      <x:c r="E94" s="134" t="n">
        <x:v>17.35</x:v>
      </x:c>
      <x:c r="F94" s="134" t="n">
        <x:v>0</x:v>
      </x:c>
      <x:c r="G94" s="134" t="n">
        <x:v>92.9</x:v>
      </x:c>
      <x:c r="H94" s="134" t="n">
        <x:v>8.06</x:v>
      </x:c>
      <x:c r="I94" s="134" t="n">
        <x:v>15.88</x:v>
      </x:c>
      <x:c r="J94" s="134" t="n">
        <x:v>14</x:v>
      </x:c>
      <x:c r="K94" s="134" t="n">
        <x:v>13</x:v>
      </x:c>
      <x:c r="L94" s="153" t="b">
        <x:v>1</x:v>
      </x:c>
      <x:c r="M94" s="135" t="str">
        <x:v>Derivar desde BD vía Feature Builder; esta hoja es contrato de referencia</x:v>
      </x:c>
    </x:row>
    <x:row r="95" ht="34" customHeight="1">
      <x:c r="A95" s="133" t="str">
        <x:v>EST-0102</x:v>
      </x:c>
      <x:c r="B95" s="134" t="str">
        <x:v>2026-09-21</x:v>
      </x:c>
      <x:c r="C95" s="134" t="n">
        <x:v>3</x:v>
      </x:c>
      <x:c r="D95" s="134" t="str">
        <x:v>3A</x:v>
      </x:c>
      <x:c r="E95" s="134" t="n">
        <x:v>15.49</x:v>
      </x:c>
      <x:c r="F95" s="134" t="n">
        <x:v>0</x:v>
      </x:c>
      <x:c r="G95" s="134" t="n">
        <x:v>93.8</x:v>
      </x:c>
      <x:c r="H95" s="134" t="n">
        <x:v>9.05</x:v>
      </x:c>
      <x:c r="I95" s="134" t="n">
        <x:v>17.38</x:v>
      </x:c>
      <x:c r="J95" s="134" t="n">
        <x:v>14</x:v>
      </x:c>
      <x:c r="K95" s="134" t="n">
        <x:v>15</x:v>
      </x:c>
      <x:c r="L95" s="153" t="b">
        <x:v>1</x:v>
      </x:c>
      <x:c r="M95" s="135" t="str">
        <x:v>Derivar desde BD vía Feature Builder; esta hoja es contrato de referencia</x:v>
      </x:c>
    </x:row>
    <x:row r="96" ht="34" customHeight="1">
      <x:c r="A96" s="133" t="str">
        <x:v>EST-0103</x:v>
      </x:c>
      <x:c r="B96" s="134" t="str">
        <x:v>2026-09-21</x:v>
      </x:c>
      <x:c r="C96" s="134" t="n">
        <x:v>3</x:v>
      </x:c>
      <x:c r="D96" s="134" t="str">
        <x:v>3A</x:v>
      </x:c>
      <x:c r="E96" s="134" t="n">
        <x:v>16.74</x:v>
      </x:c>
      <x:c r="F96" s="134" t="n">
        <x:v>0</x:v>
      </x:c>
      <x:c r="G96" s="134" t="n">
        <x:v>82.48</x:v>
      </x:c>
      <x:c r="H96" s="134" t="n">
        <x:v>8.59</x:v>
      </x:c>
      <x:c r="I96" s="134" t="n">
        <x:v>15.38</x:v>
      </x:c>
      <x:c r="J96" s="134" t="n">
        <x:v>13</x:v>
      </x:c>
      <x:c r="K96" s="134" t="n">
        <x:v>12</x:v>
      </x:c>
      <x:c r="L96" s="153" t="b">
        <x:v>1</x:v>
      </x:c>
      <x:c r="M96" s="135" t="str">
        <x:v>Derivar desde BD vía Feature Builder; esta hoja es contrato de referencia</x:v>
      </x:c>
    </x:row>
    <x:row r="97" ht="34" customHeight="1">
      <x:c r="A97" s="133" t="str">
        <x:v>EST-0105</x:v>
      </x:c>
      <x:c r="B97" s="134" t="str">
        <x:v>2026-09-21</x:v>
      </x:c>
      <x:c r="C97" s="134" t="n">
        <x:v>3</x:v>
      </x:c>
      <x:c r="D97" s="134" t="str">
        <x:v>3B</x:v>
      </x:c>
      <x:c r="E97" s="134" t="n">
        <x:v>15.45</x:v>
      </x:c>
      <x:c r="F97" s="134" t="n">
        <x:v>0</x:v>
      </x:c>
      <x:c r="G97" s="134" t="n">
        <x:v>92.12</x:v>
      </x:c>
      <x:c r="H97" s="134" t="n">
        <x:v>9.18</x:v>
      </x:c>
      <x:c r="I97" s="134" t="n">
        <x:v>17.92</x:v>
      </x:c>
      <x:c r="J97" s="134" t="n">
        <x:v>16</x:v>
      </x:c>
      <x:c r="K97" s="134" t="n">
        <x:v>14</x:v>
      </x:c>
      <x:c r="L97" s="153" t="b">
        <x:v>1</x:v>
      </x:c>
      <x:c r="M97" s="135" t="str">
        <x:v>Derivar desde BD vía Feature Builder; esta hoja es contrato de referencia</x:v>
      </x:c>
    </x:row>
    <x:row r="98" ht="34" customHeight="1">
      <x:c r="A98" s="133" t="str">
        <x:v>EST-0106</x:v>
      </x:c>
      <x:c r="B98" s="134" t="str">
        <x:v>2026-09-21</x:v>
      </x:c>
      <x:c r="C98" s="134" t="n">
        <x:v>3</x:v>
      </x:c>
      <x:c r="D98" s="134" t="str">
        <x:v>3B</x:v>
      </x:c>
      <x:c r="E98" s="134" t="n">
        <x:v>16.22</x:v>
      </x:c>
      <x:c r="F98" s="134" t="n">
        <x:v>0</x:v>
      </x:c>
      <x:c r="G98" s="134" t="n">
        <x:v>91.52</x:v>
      </x:c>
      <x:c r="H98" s="134" t="n">
        <x:v>9.37</x:v>
      </x:c>
      <x:c r="I98" s="134" t="n">
        <x:v>17.74</x:v>
      </x:c>
      <x:c r="J98" s="134" t="n">
        <x:v>15</x:v>
      </x:c>
      <x:c r="K98" s="134" t="n">
        <x:v>14</x:v>
      </x:c>
      <x:c r="L98" s="153" t="b">
        <x:v>1</x:v>
      </x:c>
      <x:c r="M98" s="135" t="str">
        <x:v>Derivar desde BD vía Feature Builder; esta hoja es contrato de referencia</x:v>
      </x:c>
    </x:row>
    <x:row r="99" ht="34" customHeight="1">
      <x:c r="A99" s="133" t="str">
        <x:v>EST-0107</x:v>
      </x:c>
      <x:c r="B99" s="134" t="str">
        <x:v>2026-09-21</x:v>
      </x:c>
      <x:c r="C99" s="134" t="n">
        <x:v>3</x:v>
      </x:c>
      <x:c r="D99" s="134" t="str">
        <x:v>3B</x:v>
      </x:c>
      <x:c r="E99" s="134" t="n">
        <x:v>15.88</x:v>
      </x:c>
      <x:c r="F99" s="134" t="n">
        <x:v>0</x:v>
      </x:c>
      <x:c r="G99" s="134" t="n">
        <x:v>94.64</x:v>
      </x:c>
      <x:c r="H99" s="134" t="n">
        <x:v>6.59</x:v>
      </x:c>
      <x:c r="I99" s="134" t="n">
        <x:v>14.92</x:v>
      </x:c>
      <x:c r="J99" s="134" t="n">
        <x:v>14</x:v>
      </x:c>
      <x:c r="K99" s="134" t="n">
        <x:v>11</x:v>
      </x:c>
      <x:c r="L99" s="153" t="b">
        <x:v>1</x:v>
      </x:c>
      <x:c r="M99" s="135" t="str">
        <x:v>Derivar desde BD vía Feature Builder; esta hoja es contrato de referencia</x:v>
      </x:c>
    </x:row>
    <x:row r="100" ht="34" customHeight="1">
      <x:c r="A100" s="133" t="str">
        <x:v>EST-0108</x:v>
      </x:c>
      <x:c r="B100" s="134" t="str">
        <x:v>2026-09-21</x:v>
      </x:c>
      <x:c r="C100" s="134" t="n">
        <x:v>3</x:v>
      </x:c>
      <x:c r="D100" s="134" t="str">
        <x:v>3B</x:v>
      </x:c>
      <x:c r="E100" s="134" t="n">
        <x:v>17.89</x:v>
      </x:c>
      <x:c r="F100" s="134" t="n">
        <x:v>0</x:v>
      </x:c>
      <x:c r="G100" s="134" t="n">
        <x:v>93.36</x:v>
      </x:c>
      <x:c r="H100" s="134" t="n">
        <x:v>7.21</x:v>
      </x:c>
      <x:c r="I100" s="134" t="n">
        <x:v>15.08</x:v>
      </x:c>
      <x:c r="J100" s="134" t="n">
        <x:v>15</x:v>
      </x:c>
      <x:c r="K100" s="134" t="n">
        <x:v>12</x:v>
      </x:c>
      <x:c r="L100" s="153" t="b">
        <x:v>1</x:v>
      </x:c>
      <x:c r="M100" s="135" t="str">
        <x:v>Derivar desde BD vía Feature Builder; esta hoja es contrato de referencia</x:v>
      </x:c>
    </x:row>
    <x:row r="101" ht="34" customHeight="1">
      <x:c r="A101" s="133" t="str">
        <x:v>EST-0109</x:v>
      </x:c>
      <x:c r="B101" s="134" t="str">
        <x:v>2026-09-21</x:v>
      </x:c>
      <x:c r="C101" s="134" t="n">
        <x:v>3</x:v>
      </x:c>
      <x:c r="D101" s="134" t="str">
        <x:v>3B</x:v>
      </x:c>
      <x:c r="E101" s="134" t="n">
        <x:v>11.34</x:v>
      </x:c>
      <x:c r="F101" s="134" t="n">
        <x:v>0</x:v>
      </x:c>
      <x:c r="G101" s="134" t="n">
        <x:v>93.39</x:v>
      </x:c>
      <x:c r="H101" s="134" t="n">
        <x:v>7.1</x:v>
      </x:c>
      <x:c r="I101" s="134" t="n">
        <x:v>10.56</x:v>
      </x:c>
      <x:c r="J101" s="134" t="n">
        <x:v>11</x:v>
      </x:c>
      <x:c r="K101" s="134" t="n">
        <x:v>10</x:v>
      </x:c>
      <x:c r="L101" s="153" t="b">
        <x:v>1</x:v>
      </x:c>
      <x:c r="M101" s="135" t="str">
        <x:v>Derivar desde BD vía Feature Builder; esta hoja es contrato de referencia</x:v>
      </x:c>
    </x:row>
    <x:row r="102" ht="34" customHeight="1">
      <x:c r="A102" s="133" t="str">
        <x:v>EST-0110</x:v>
      </x:c>
      <x:c r="B102" s="134" t="str">
        <x:v>2026-09-21</x:v>
      </x:c>
      <x:c r="C102" s="134" t="n">
        <x:v>3</x:v>
      </x:c>
      <x:c r="D102" s="134" t="str">
        <x:v>3B</x:v>
      </x:c>
      <x:c r="E102" s="134" t="n">
        <x:v>16.67</x:v>
      </x:c>
      <x:c r="F102" s="134" t="n">
        <x:v>0</x:v>
      </x:c>
      <x:c r="G102" s="134" t="n">
        <x:v>92.55</x:v>
      </x:c>
      <x:c r="H102" s="134" t="n">
        <x:v>7.82</x:v>
      </x:c>
      <x:c r="I102" s="134" t="n">
        <x:v>14.13</x:v>
      </x:c>
      <x:c r="J102" s="134" t="n">
        <x:v>16</x:v>
      </x:c>
      <x:c r="K102" s="134" t="n">
        <x:v>10</x:v>
      </x:c>
      <x:c r="L102" s="153" t="b">
        <x:v>1</x:v>
      </x:c>
      <x:c r="M102" s="135" t="str">
        <x:v>Derivar desde BD vía Feature Builder; esta hoja es contrato de referencia</x:v>
      </x:c>
    </x:row>
    <x:row r="103" ht="34" customHeight="1">
      <x:c r="A103" s="133" t="str">
        <x:v>EST-0111</x:v>
      </x:c>
      <x:c r="B103" s="134" t="str">
        <x:v>2026-09-21</x:v>
      </x:c>
      <x:c r="C103" s="134" t="n">
        <x:v>3</x:v>
      </x:c>
      <x:c r="D103" s="134" t="str">
        <x:v>3B</x:v>
      </x:c>
      <x:c r="E103" s="134" t="n">
        <x:v>15.68</x:v>
      </x:c>
      <x:c r="F103" s="134" t="n">
        <x:v>0</x:v>
      </x:c>
      <x:c r="G103" s="134" t="n">
        <x:v>92.62</x:v>
      </x:c>
      <x:c r="H103" s="134" t="n">
        <x:v>7.52</x:v>
      </x:c>
      <x:c r="I103" s="134" t="n">
        <x:v>18.42</x:v>
      </x:c>
      <x:c r="J103" s="134" t="n">
        <x:v>16</x:v>
      </x:c>
      <x:c r="K103" s="134" t="n">
        <x:v>12</x:v>
      </x:c>
      <x:c r="L103" s="153" t="b">
        <x:v>1</x:v>
      </x:c>
      <x:c r="M103" s="135" t="str">
        <x:v>Derivar desde BD vía Feature Builder; esta hoja es contrato de referencia</x:v>
      </x:c>
    </x:row>
    <x:row r="104" ht="34" customHeight="1">
      <x:c r="A104" s="133" t="str">
        <x:v>EST-0112</x:v>
      </x:c>
      <x:c r="B104" s="134" t="str">
        <x:v>2026-09-21</x:v>
      </x:c>
      <x:c r="C104" s="134" t="n">
        <x:v>3</x:v>
      </x:c>
      <x:c r="D104" s="134" t="str">
        <x:v>3B</x:v>
      </x:c>
      <x:c r="E104" s="134" t="n">
        <x:v>15.91</x:v>
      </x:c>
      <x:c r="F104" s="134" t="n">
        <x:v>0</x:v>
      </x:c>
      <x:c r="G104" s="134" t="n">
        <x:v>98.01</x:v>
      </x:c>
      <x:c r="H104" s="134" t="n">
        <x:v>6.56</x:v>
      </x:c>
      <x:c r="I104" s="134" t="n">
        <x:v>14.31</x:v>
      </x:c>
      <x:c r="J104" s="134" t="n">
        <x:v>15</x:v>
      </x:c>
      <x:c r="K104" s="134" t="n">
        <x:v>12</x:v>
      </x:c>
      <x:c r="L104" s="153" t="b">
        <x:v>1</x:v>
      </x:c>
      <x:c r="M104" s="135" t="str">
        <x:v>Derivar desde BD vía Feature Builder; esta hoja es contrato de referencia</x:v>
      </x:c>
    </x:row>
    <x:row r="105" ht="34" customHeight="1">
      <x:c r="A105" s="133" t="str">
        <x:v>EST-0113</x:v>
      </x:c>
      <x:c r="B105" s="134" t="str">
        <x:v>2026-09-21</x:v>
      </x:c>
      <x:c r="C105" s="134" t="n">
        <x:v>3</x:v>
      </x:c>
      <x:c r="D105" s="134" t="str">
        <x:v>3B</x:v>
      </x:c>
      <x:c r="E105" s="134" t="n">
        <x:v>13.77</x:v>
      </x:c>
      <x:c r="F105" s="134" t="n">
        <x:v>0</x:v>
      </x:c>
      <x:c r="G105" s="134" t="n">
        <x:v>88.29</x:v>
      </x:c>
      <x:c r="H105" s="134" t="n">
        <x:v>6.08</x:v>
      </x:c>
      <x:c r="I105" s="134" t="n">
        <x:v>9.98</x:v>
      </x:c>
      <x:c r="J105" s="134" t="n">
        <x:v>13</x:v>
      </x:c>
      <x:c r="K105" s="134" t="n">
        <x:v>9</x:v>
      </x:c>
      <x:c r="L105" s="153" t="b">
        <x:v>1</x:v>
      </x:c>
      <x:c r="M105" s="135" t="str">
        <x:v>Derivar desde BD vía Feature Builder; esta hoja es contrato de referencia</x:v>
      </x:c>
    </x:row>
    <x:row r="106" ht="34" customHeight="1">
      <x:c r="A106" s="133" t="str">
        <x:v>EST-0114</x:v>
      </x:c>
      <x:c r="B106" s="134" t="str">
        <x:v>2026-09-21</x:v>
      </x:c>
      <x:c r="C106" s="134" t="n">
        <x:v>3</x:v>
      </x:c>
      <x:c r="D106" s="134" t="str">
        <x:v>3B</x:v>
      </x:c>
      <x:c r="E106" s="134" t="n">
        <x:v>15.42</x:v>
      </x:c>
      <x:c r="F106" s="134" t="n">
        <x:v>0</x:v>
      </x:c>
      <x:c r="G106" s="134" t="n">
        <x:v>83.01</x:v>
      </x:c>
      <x:c r="H106" s="134" t="n">
        <x:v>8.66</x:v>
      </x:c>
      <x:c r="I106" s="134" t="n">
        <x:v>14.54</x:v>
      </x:c>
      <x:c r="J106" s="134" t="n">
        <x:v>15</x:v>
      </x:c>
      <x:c r="K106" s="134" t="n">
        <x:v>9</x:v>
      </x:c>
      <x:c r="L106" s="153" t="b">
        <x:v>1</x:v>
      </x:c>
      <x:c r="M106" s="135" t="str">
        <x:v>Derivar desde BD vía Feature Builder; esta hoja es contrato de referencia</x:v>
      </x:c>
    </x:row>
    <x:row r="107" ht="34" customHeight="1">
      <x:c r="A107" s="133" t="str">
        <x:v>EST-0116</x:v>
      </x:c>
      <x:c r="B107" s="134" t="str">
        <x:v>2026-09-21</x:v>
      </x:c>
      <x:c r="C107" s="134" t="n">
        <x:v>3</x:v>
      </x:c>
      <x:c r="D107" s="134" t="str">
        <x:v>3B</x:v>
      </x:c>
      <x:c r="E107" s="134" t="n">
        <x:v>15.07</x:v>
      </x:c>
      <x:c r="F107" s="134" t="n">
        <x:v>0</x:v>
      </x:c>
      <x:c r="G107" s="134" t="n">
        <x:v>85.67</x:v>
      </x:c>
      <x:c r="H107" s="134" t="n">
        <x:v>7.07</x:v>
      </x:c>
      <x:c r="I107" s="134" t="n">
        <x:v>13.41</x:v>
      </x:c>
      <x:c r="J107" s="134" t="n">
        <x:v>15</x:v>
      </x:c>
      <x:c r="K107" s="134" t="n">
        <x:v>11</x:v>
      </x:c>
      <x:c r="L107" s="153" t="b">
        <x:v>1</x:v>
      </x:c>
      <x:c r="M107" s="135" t="str">
        <x:v>Derivar desde BD vía Feature Builder; esta hoja es contrato de referencia</x:v>
      </x:c>
    </x:row>
    <x:row r="108" ht="34" customHeight="1">
      <x:c r="A108" s="133" t="str">
        <x:v>EST-0117</x:v>
      </x:c>
      <x:c r="B108" s="134" t="str">
        <x:v>2026-09-21</x:v>
      </x:c>
      <x:c r="C108" s="134" t="n">
        <x:v>3</x:v>
      </x:c>
      <x:c r="D108" s="134" t="str">
        <x:v>3C</x:v>
      </x:c>
      <x:c r="E108" s="134" t="n">
        <x:v>15.94</x:v>
      </x:c>
      <x:c r="F108" s="134" t="n">
        <x:v>0</x:v>
      </x:c>
      <x:c r="G108" s="134" t="n">
        <x:v>99.23</x:v>
      </x:c>
      <x:c r="H108" s="134" t="n">
        <x:v>10.3</x:v>
      </x:c>
      <x:c r="I108" s="134" t="n">
        <x:v>19.7</x:v>
      </x:c>
      <x:c r="J108" s="134" t="n">
        <x:v>19</x:v>
      </x:c>
      <x:c r="K108" s="134" t="n">
        <x:v>15</x:v>
      </x:c>
      <x:c r="L108" s="153" t="b">
        <x:v>1</x:v>
      </x:c>
      <x:c r="M108" s="135" t="str">
        <x:v>Derivar desde BD vía Feature Builder; esta hoja es contrato de referencia</x:v>
      </x:c>
    </x:row>
    <x:row r="109" ht="34" customHeight="1">
      <x:c r="A109" s="133" t="str">
        <x:v>EST-0118</x:v>
      </x:c>
      <x:c r="B109" s="134" t="str">
        <x:v>2026-09-21</x:v>
      </x:c>
      <x:c r="C109" s="134" t="n">
        <x:v>3</x:v>
      </x:c>
      <x:c r="D109" s="134" t="str">
        <x:v>3C</x:v>
      </x:c>
      <x:c r="E109" s="134" t="n">
        <x:v>16.56</x:v>
      </x:c>
      <x:c r="F109" s="134" t="n">
        <x:v>0</x:v>
      </x:c>
      <x:c r="G109" s="134" t="n">
        <x:v>95.84</x:v>
      </x:c>
      <x:c r="H109" s="134" t="n">
        <x:v>10.17</x:v>
      </x:c>
      <x:c r="I109" s="134" t="n">
        <x:v>19.72</x:v>
      </x:c>
      <x:c r="J109" s="134" t="n">
        <x:v>18</x:v>
      </x:c>
      <x:c r="K109" s="134" t="n">
        <x:v>14</x:v>
      </x:c>
      <x:c r="L109" s="153" t="b">
        <x:v>1</x:v>
      </x:c>
      <x:c r="M109" s="135" t="str">
        <x:v>Derivar desde BD vía Feature Builder; esta hoja es contrato de referencia</x:v>
      </x:c>
    </x:row>
    <x:row r="110" ht="34" customHeight="1">
      <x:c r="A110" s="133" t="str">
        <x:v>EST-0119</x:v>
      </x:c>
      <x:c r="B110" s="134" t="str">
        <x:v>2026-09-21</x:v>
      </x:c>
      <x:c r="C110" s="134" t="n">
        <x:v>3</x:v>
      </x:c>
      <x:c r="D110" s="134" t="str">
        <x:v>3C</x:v>
      </x:c>
      <x:c r="E110" s="134" t="n">
        <x:v>15.2</x:v>
      </x:c>
      <x:c r="F110" s="134" t="n">
        <x:v>0</x:v>
      </x:c>
      <x:c r="G110" s="134" t="n">
        <x:v>97.32</x:v>
      </x:c>
      <x:c r="H110" s="134" t="n">
        <x:v>8.85</x:v>
      </x:c>
      <x:c r="I110" s="134" t="n">
        <x:v>16.02</x:v>
      </x:c>
      <x:c r="J110" s="134" t="n">
        <x:v>13</x:v>
      </x:c>
      <x:c r="K110" s="134" t="n">
        <x:v>12</x:v>
      </x:c>
      <x:c r="L110" s="153" t="b">
        <x:v>1</x:v>
      </x:c>
      <x:c r="M110" s="135" t="str">
        <x:v>Derivar desde BD vía Feature Builder; esta hoja es contrato de referencia</x:v>
      </x:c>
    </x:row>
    <x:row r="111" ht="34" customHeight="1">
      <x:c r="A111" s="133" t="str">
        <x:v>EST-0120</x:v>
      </x:c>
      <x:c r="B111" s="134" t="str">
        <x:v>2026-09-21</x:v>
      </x:c>
      <x:c r="C111" s="134" t="n">
        <x:v>3</x:v>
      </x:c>
      <x:c r="D111" s="134" t="str">
        <x:v>3C</x:v>
      </x:c>
      <x:c r="E111" s="134" t="n">
        <x:v>12.86</x:v>
      </x:c>
      <x:c r="F111" s="134" t="n">
        <x:v>0</x:v>
      </x:c>
      <x:c r="G111" s="134" t="n">
        <x:v>97.9</x:v>
      </x:c>
      <x:c r="H111" s="134" t="n">
        <x:v>9.19</x:v>
      </x:c>
      <x:c r="I111" s="134" t="n">
        <x:v>16.65</x:v>
      </x:c>
      <x:c r="J111" s="134" t="n">
        <x:v>17</x:v>
      </x:c>
      <x:c r="K111" s="134" t="n">
        <x:v>13</x:v>
      </x:c>
      <x:c r="L111" s="153" t="b">
        <x:v>1</x:v>
      </x:c>
      <x:c r="M111" s="135" t="str">
        <x:v>Derivar desde BD vía Feature Builder; esta hoja es contrato de referencia</x:v>
      </x:c>
    </x:row>
    <x:row r="112" ht="34" customHeight="1">
      <x:c r="A112" s="133" t="str">
        <x:v>EST-0121</x:v>
      </x:c>
      <x:c r="B112" s="134" t="str">
        <x:v>2026-09-21</x:v>
      </x:c>
      <x:c r="C112" s="134" t="n">
        <x:v>3</x:v>
      </x:c>
      <x:c r="D112" s="134" t="str">
        <x:v>3C</x:v>
      </x:c>
      <x:c r="E112" s="134" t="n">
        <x:v>13.34</x:v>
      </x:c>
      <x:c r="F112" s="134" t="n">
        <x:v>0</x:v>
      </x:c>
      <x:c r="G112" s="134" t="n">
        <x:v>95.23</x:v>
      </x:c>
      <x:c r="H112" s="134" t="n">
        <x:v>9.86</x:v>
      </x:c>
      <x:c r="I112" s="134" t="n">
        <x:v>17.28</x:v>
      </x:c>
      <x:c r="J112" s="134" t="n">
        <x:v>17</x:v>
      </x:c>
      <x:c r="K112" s="134" t="n">
        <x:v>15</x:v>
      </x:c>
      <x:c r="L112" s="153" t="b">
        <x:v>1</x:v>
      </x:c>
      <x:c r="M112" s="135" t="str">
        <x:v>Derivar desde BD vía Feature Builder; esta hoja es contrato de referencia</x:v>
      </x:c>
    </x:row>
    <x:row r="113" ht="34" customHeight="1">
      <x:c r="A113" s="133" t="str">
        <x:v>EST-0122</x:v>
      </x:c>
      <x:c r="B113" s="134" t="str">
        <x:v>2026-09-21</x:v>
      </x:c>
      <x:c r="C113" s="134" t="n">
        <x:v>3</x:v>
      </x:c>
      <x:c r="D113" s="134" t="str">
        <x:v>3C</x:v>
      </x:c>
      <x:c r="E113" s="134" t="n">
        <x:v>13.36</x:v>
      </x:c>
      <x:c r="F113" s="134" t="n">
        <x:v>0</x:v>
      </x:c>
      <x:c r="G113" s="134" t="n">
        <x:v>92.01</x:v>
      </x:c>
      <x:c r="H113" s="134" t="n">
        <x:v>8.93</x:v>
      </x:c>
      <x:c r="I113" s="134" t="n">
        <x:v>15.67</x:v>
      </x:c>
      <x:c r="J113" s="134" t="n">
        <x:v>14</x:v>
      </x:c>
      <x:c r="K113" s="134" t="n">
        <x:v>12</x:v>
      </x:c>
      <x:c r="L113" s="153" t="b">
        <x:v>1</x:v>
      </x:c>
      <x:c r="M113" s="135" t="str">
        <x:v>Derivar desde BD vía Feature Builder; esta hoja es contrato de referencia</x:v>
      </x:c>
    </x:row>
    <x:row r="114" ht="34" customHeight="1">
      <x:c r="A114" s="133" t="str">
        <x:v>EST-0123</x:v>
      </x:c>
      <x:c r="B114" s="134" t="str">
        <x:v>2026-09-21</x:v>
      </x:c>
      <x:c r="C114" s="134" t="n">
        <x:v>3</x:v>
      </x:c>
      <x:c r="D114" s="134" t="str">
        <x:v>3C</x:v>
      </x:c>
      <x:c r="E114" s="134" t="n">
        <x:v>14.19</x:v>
      </x:c>
      <x:c r="F114" s="134" t="n">
        <x:v>0</x:v>
      </x:c>
      <x:c r="G114" s="134" t="n">
        <x:v>87.16</x:v>
      </x:c>
      <x:c r="H114" s="134" t="n">
        <x:v>7.24</x:v>
      </x:c>
      <x:c r="I114" s="134" t="n">
        <x:v>13.18</x:v>
      </x:c>
      <x:c r="J114" s="134" t="n">
        <x:v>15</x:v>
      </x:c>
      <x:c r="K114" s="134" t="n">
        <x:v>10</x:v>
      </x:c>
      <x:c r="L114" s="153" t="b">
        <x:v>1</x:v>
      </x:c>
      <x:c r="M114" s="135" t="str">
        <x:v>Derivar desde BD vía Feature Builder; esta hoja es contrato de referencia</x:v>
      </x:c>
    </x:row>
    <x:row r="115" ht="34" customHeight="1">
      <x:c r="A115" s="133" t="str">
        <x:v>EST-0124</x:v>
      </x:c>
      <x:c r="B115" s="134" t="str">
        <x:v>2026-09-21</x:v>
      </x:c>
      <x:c r="C115" s="134" t="n">
        <x:v>3</x:v>
      </x:c>
      <x:c r="D115" s="134" t="str">
        <x:v>3C</x:v>
      </x:c>
      <x:c r="E115" s="134" t="n">
        <x:v>15.95</x:v>
      </x:c>
      <x:c r="F115" s="134" t="n">
        <x:v>0</x:v>
      </x:c>
      <x:c r="G115" s="134" t="n">
        <x:v>96.32</x:v>
      </x:c>
      <x:c r="H115" s="134" t="n">
        <x:v>7.59</x:v>
      </x:c>
      <x:c r="I115" s="134" t="n">
        <x:v>15.42</x:v>
      </x:c>
      <x:c r="J115" s="134" t="n">
        <x:v>16</x:v>
      </x:c>
      <x:c r="K115" s="134" t="n">
        <x:v>9</x:v>
      </x:c>
      <x:c r="L115" s="153" t="b">
        <x:v>1</x:v>
      </x:c>
      <x:c r="M115" s="135" t="str">
        <x:v>Derivar desde BD vía Feature Builder; esta hoja es contrato de referencia</x:v>
      </x:c>
    </x:row>
    <x:row r="116" ht="34" customHeight="1">
      <x:c r="A116" s="133" t="str">
        <x:v>EST-0125</x:v>
      </x:c>
      <x:c r="B116" s="134" t="str">
        <x:v>2026-09-21</x:v>
      </x:c>
      <x:c r="C116" s="134" t="n">
        <x:v>3</x:v>
      </x:c>
      <x:c r="D116" s="134" t="str">
        <x:v>3C</x:v>
      </x:c>
      <x:c r="E116" s="134" t="n">
        <x:v>15.14</x:v>
      </x:c>
      <x:c r="F116" s="134" t="n">
        <x:v>0</x:v>
      </x:c>
      <x:c r="G116" s="134" t="n">
        <x:v>93.35</x:v>
      </x:c>
      <x:c r="H116" s="134" t="n">
        <x:v>7.98</x:v>
      </x:c>
      <x:c r="I116" s="134" t="n">
        <x:v>11.56</x:v>
      </x:c>
      <x:c r="J116" s="134" t="n">
        <x:v>13</x:v>
      </x:c>
      <x:c r="K116" s="134" t="n">
        <x:v>12</x:v>
      </x:c>
      <x:c r="L116" s="153" t="b">
        <x:v>1</x:v>
      </x:c>
      <x:c r="M116" s="135" t="str">
        <x:v>Derivar desde BD vía Feature Builder; esta hoja es contrato de referencia</x:v>
      </x:c>
    </x:row>
    <x:row r="117" ht="34" customHeight="1">
      <x:c r="A117" s="133" t="str">
        <x:v>EST-0127</x:v>
      </x:c>
      <x:c r="B117" s="134" t="str">
        <x:v>2026-09-21</x:v>
      </x:c>
      <x:c r="C117" s="134" t="n">
        <x:v>3</x:v>
      </x:c>
      <x:c r="D117" s="134" t="str">
        <x:v>3C</x:v>
      </x:c>
      <x:c r="E117" s="134" t="n">
        <x:v>14.41</x:v>
      </x:c>
      <x:c r="F117" s="134" t="n">
        <x:v>0</x:v>
      </x:c>
      <x:c r="G117" s="134" t="n">
        <x:v>89.53</x:v>
      </x:c>
      <x:c r="H117" s="134" t="n">
        <x:v>7.91</x:v>
      </x:c>
      <x:c r="I117" s="134" t="n">
        <x:v>16.12</x:v>
      </x:c>
      <x:c r="J117" s="134" t="n">
        <x:v>15</x:v>
      </x:c>
      <x:c r="K117" s="134" t="n">
        <x:v>10</x:v>
      </x:c>
      <x:c r="L117" s="153" t="b">
        <x:v>1</x:v>
      </x:c>
      <x:c r="M117" s="135" t="str">
        <x:v>Derivar desde BD vía Feature Builder; esta hoja es contrato de referencia</x:v>
      </x:c>
    </x:row>
    <x:row r="118" ht="34" customHeight="1">
      <x:c r="A118" s="133" t="str">
        <x:v>EST-0128</x:v>
      </x:c>
      <x:c r="B118" s="134" t="str">
        <x:v>2026-09-21</x:v>
      </x:c>
      <x:c r="C118" s="134" t="n">
        <x:v>3</x:v>
      </x:c>
      <x:c r="D118" s="134" t="str">
        <x:v>3D</x:v>
      </x:c>
      <x:c r="E118" s="134" t="n">
        <x:v>16.99</x:v>
      </x:c>
      <x:c r="F118" s="134" t="n">
        <x:v>0</x:v>
      </x:c>
      <x:c r="G118" s="134" t="n">
        <x:v>97.14</x:v>
      </x:c>
      <x:c r="H118" s="134" t="n">
        <x:v>7.55</x:v>
      </x:c>
      <x:c r="I118" s="134" t="n">
        <x:v>17.19</x:v>
      </x:c>
      <x:c r="J118" s="134" t="n">
        <x:v>16</x:v>
      </x:c>
      <x:c r="K118" s="134" t="n">
        <x:v>14</x:v>
      </x:c>
      <x:c r="L118" s="153" t="b">
        <x:v>1</x:v>
      </x:c>
      <x:c r="M118" s="135" t="str">
        <x:v>Derivar desde BD vía Feature Builder; esta hoja es contrato de referencia</x:v>
      </x:c>
    </x:row>
    <x:row r="119" ht="34" customHeight="1">
      <x:c r="A119" s="133" t="str">
        <x:v>EST-0129</x:v>
      </x:c>
      <x:c r="B119" s="134" t="str">
        <x:v>2026-09-21</x:v>
      </x:c>
      <x:c r="C119" s="134" t="n">
        <x:v>3</x:v>
      </x:c>
      <x:c r="D119" s="134" t="str">
        <x:v>3D</x:v>
      </x:c>
      <x:c r="E119" s="134" t="n">
        <x:v>11.46</x:v>
      </x:c>
      <x:c r="F119" s="134" t="n">
        <x:v>1</x:v>
      </x:c>
      <x:c r="G119" s="134" t="n">
        <x:v>87.46</x:v>
      </x:c>
      <x:c r="H119" s="134" t="n">
        <x:v>9.83</x:v>
      </x:c>
      <x:c r="I119" s="134" t="n">
        <x:v>18.25</x:v>
      </x:c>
      <x:c r="J119" s="134" t="n">
        <x:v>15</x:v>
      </x:c>
      <x:c r="K119" s="134" t="n">
        <x:v>13</x:v>
      </x:c>
      <x:c r="L119" s="153" t="b">
        <x:v>1</x:v>
      </x:c>
      <x:c r="M119" s="135" t="str">
        <x:v>Derivar desde BD vía Feature Builder; esta hoja es contrato de referencia</x:v>
      </x:c>
    </x:row>
    <x:row r="120" ht="34" customHeight="1">
      <x:c r="A120" s="133" t="str">
        <x:v>EST-0130</x:v>
      </x:c>
      <x:c r="B120" s="134" t="str">
        <x:v>2026-09-21</x:v>
      </x:c>
      <x:c r="C120" s="134" t="n">
        <x:v>3</x:v>
      </x:c>
      <x:c r="D120" s="134" t="str">
        <x:v>3D</x:v>
      </x:c>
      <x:c r="E120" s="134" t="n">
        <x:v>17.28</x:v>
      </x:c>
      <x:c r="F120" s="134" t="n">
        <x:v>0</x:v>
      </x:c>
      <x:c r="G120" s="134" t="n">
        <x:v>91.43</x:v>
      </x:c>
      <x:c r="H120" s="134" t="n">
        <x:v>7.45</x:v>
      </x:c>
      <x:c r="I120" s="134" t="n">
        <x:v>12.98</x:v>
      </x:c>
      <x:c r="J120" s="134" t="n">
        <x:v>14</x:v>
      </x:c>
      <x:c r="K120" s="134" t="n">
        <x:v>8</x:v>
      </x:c>
      <x:c r="L120" s="153" t="b">
        <x:v>1</x:v>
      </x:c>
      <x:c r="M120" s="135" t="str">
        <x:v>Derivar desde BD vía Feature Builder; esta hoja es contrato de referencia</x:v>
      </x:c>
    </x:row>
    <x:row r="121" ht="34" customHeight="1">
      <x:c r="A121" s="133" t="str">
        <x:v>EST-0131</x:v>
      </x:c>
      <x:c r="B121" s="134" t="str">
        <x:v>2026-09-21</x:v>
      </x:c>
      <x:c r="C121" s="134" t="n">
        <x:v>3</x:v>
      </x:c>
      <x:c r="D121" s="134" t="str">
        <x:v>3D</x:v>
      </x:c>
      <x:c r="E121" s="134" t="n">
        <x:v>16.92</x:v>
      </x:c>
      <x:c r="F121" s="134" t="n">
        <x:v>0</x:v>
      </x:c>
      <x:c r="G121" s="134" t="n">
        <x:v>88.01</x:v>
      </x:c>
      <x:c r="H121" s="134" t="n">
        <x:v>7.08</x:v>
      </x:c>
      <x:c r="I121" s="134" t="n">
        <x:v>14.29</x:v>
      </x:c>
      <x:c r="J121" s="134" t="n">
        <x:v>12</x:v>
      </x:c>
      <x:c r="K121" s="134" t="n">
        <x:v>13</x:v>
      </x:c>
      <x:c r="L121" s="153" t="b">
        <x:v>1</x:v>
      </x:c>
      <x:c r="M121" s="135" t="str">
        <x:v>Derivar desde BD vía Feature Builder; esta hoja es contrato de referencia</x:v>
      </x:c>
    </x:row>
    <x:row r="122" ht="34" customHeight="1">
      <x:c r="A122" s="133" t="str">
        <x:v>EST-0132</x:v>
      </x:c>
      <x:c r="B122" s="134" t="str">
        <x:v>2026-09-21</x:v>
      </x:c>
      <x:c r="C122" s="134" t="n">
        <x:v>3</x:v>
      </x:c>
      <x:c r="D122" s="134" t="str">
        <x:v>3D</x:v>
      </x:c>
      <x:c r="E122" s="134" t="n">
        <x:v>14.12</x:v>
      </x:c>
      <x:c r="F122" s="134" t="n">
        <x:v>0</x:v>
      </x:c>
      <x:c r="G122" s="134" t="n">
        <x:v>76.85</x:v>
      </x:c>
      <x:c r="H122" s="134" t="n">
        <x:v>6.25</x:v>
      </x:c>
      <x:c r="I122" s="134" t="n">
        <x:v>12.52</x:v>
      </x:c>
      <x:c r="J122" s="134" t="n">
        <x:v>13</x:v>
      </x:c>
      <x:c r="K122" s="134" t="n">
        <x:v>10</x:v>
      </x:c>
      <x:c r="L122" s="153" t="b">
        <x:v>1</x:v>
      </x:c>
      <x:c r="M122" s="135" t="str">
        <x:v>Derivar desde BD vía Feature Builder; esta hoja es contrato de referencia</x:v>
      </x:c>
    </x:row>
    <x:row r="123" ht="34" customHeight="1">
      <x:c r="A123" s="133" t="str">
        <x:v>EST-0133</x:v>
      </x:c>
      <x:c r="B123" s="134" t="str">
        <x:v>2026-09-21</x:v>
      </x:c>
      <x:c r="C123" s="134" t="n">
        <x:v>3</x:v>
      </x:c>
      <x:c r="D123" s="134" t="str">
        <x:v>3D</x:v>
      </x:c>
      <x:c r="E123" s="134" t="n">
        <x:v>15.46</x:v>
      </x:c>
      <x:c r="F123" s="134" t="n">
        <x:v>0</x:v>
      </x:c>
      <x:c r="G123" s="134" t="n">
        <x:v>86.99</x:v>
      </x:c>
      <x:c r="H123" s="134" t="n">
        <x:v>9.16</x:v>
      </x:c>
      <x:c r="I123" s="134" t="n">
        <x:v>17.2</x:v>
      </x:c>
      <x:c r="J123" s="134" t="n">
        <x:v>16</x:v>
      </x:c>
      <x:c r="K123" s="134" t="n">
        <x:v>13</x:v>
      </x:c>
      <x:c r="L123" s="153" t="b">
        <x:v>1</x:v>
      </x:c>
      <x:c r="M123" s="135" t="str">
        <x:v>Derivar desde BD vía Feature Builder; esta hoja es contrato de referencia</x:v>
      </x:c>
    </x:row>
    <x:row r="124" ht="34" customHeight="1">
      <x:c r="A124" s="133" t="str">
        <x:v>EST-0134</x:v>
      </x:c>
      <x:c r="B124" s="134" t="str">
        <x:v>2026-09-21</x:v>
      </x:c>
      <x:c r="C124" s="134" t="n">
        <x:v>3</x:v>
      </x:c>
      <x:c r="D124" s="134" t="str">
        <x:v>3D</x:v>
      </x:c>
      <x:c r="E124" s="134" t="n">
        <x:v>13.47</x:v>
      </x:c>
      <x:c r="F124" s="134" t="n">
        <x:v>0</x:v>
      </x:c>
      <x:c r="G124" s="134" t="n">
        <x:v>89.4</x:v>
      </x:c>
      <x:c r="H124" s="134" t="n">
        <x:v>3.68</x:v>
      </x:c>
      <x:c r="I124" s="134" t="n">
        <x:v>6.4</x:v>
      </x:c>
      <x:c r="J124" s="134" t="n">
        <x:v>9</x:v>
      </x:c>
      <x:c r="K124" s="134" t="n">
        <x:v>5</x:v>
      </x:c>
      <x:c r="L124" s="153" t="b">
        <x:v>1</x:v>
      </x:c>
      <x:c r="M124" s="135" t="str">
        <x:v>Derivar desde BD vía Feature Builder; esta hoja es contrato de referencia</x:v>
      </x:c>
    </x:row>
    <x:row r="125" ht="34" customHeight="1">
      <x:c r="A125" s="133" t="str">
        <x:v>EST-0135</x:v>
      </x:c>
      <x:c r="B125" s="134" t="str">
        <x:v>2026-09-21</x:v>
      </x:c>
      <x:c r="C125" s="134" t="n">
        <x:v>3</x:v>
      </x:c>
      <x:c r="D125" s="134" t="str">
        <x:v>3D</x:v>
      </x:c>
      <x:c r="E125" s="134" t="n">
        <x:v>15.99</x:v>
      </x:c>
      <x:c r="F125" s="134" t="n">
        <x:v>0</x:v>
      </x:c>
      <x:c r="G125" s="134" t="n">
        <x:v>91.67</x:v>
      </x:c>
      <x:c r="H125" s="134" t="n">
        <x:v>7.6</x:v>
      </x:c>
      <x:c r="I125" s="134" t="n">
        <x:v>13.61</x:v>
      </x:c>
      <x:c r="J125" s="134" t="n">
        <x:v>15</x:v>
      </x:c>
      <x:c r="K125" s="134" t="n">
        <x:v>12</x:v>
      </x:c>
      <x:c r="L125" s="153" t="b">
        <x:v>1</x:v>
      </x:c>
      <x:c r="M125" s="135" t="str">
        <x:v>Derivar desde BD vía Feature Builder; esta hoja es contrato de referencia</x:v>
      </x:c>
    </x:row>
    <x:row r="126" ht="34" customHeight="1">
      <x:c r="A126" s="133" t="str">
        <x:v>EST-0136</x:v>
      </x:c>
      <x:c r="B126" s="134" t="str">
        <x:v>2026-09-21</x:v>
      </x:c>
      <x:c r="C126" s="134" t="n">
        <x:v>3</x:v>
      </x:c>
      <x:c r="D126" s="134" t="str">
        <x:v>3D</x:v>
      </x:c>
      <x:c r="E126" s="134" t="n">
        <x:v>14.78</x:v>
      </x:c>
      <x:c r="F126" s="134" t="n">
        <x:v>0</x:v>
      </x:c>
      <x:c r="G126" s="134" t="n">
        <x:v>91.57</x:v>
      </x:c>
      <x:c r="H126" s="134" t="n">
        <x:v>8.21</x:v>
      </x:c>
      <x:c r="I126" s="134" t="n">
        <x:v>17.78</x:v>
      </x:c>
      <x:c r="J126" s="134" t="n">
        <x:v>14</x:v>
      </x:c>
      <x:c r="K126" s="134" t="n">
        <x:v>11</x:v>
      </x:c>
      <x:c r="L126" s="153" t="b">
        <x:v>1</x:v>
      </x:c>
      <x:c r="M126" s="135" t="str">
        <x:v>Derivar desde BD vía Feature Builder; esta hoja es contrato de referencia</x:v>
      </x:c>
    </x:row>
    <x:row r="127" ht="34" customHeight="1">
      <x:c r="A127" s="133" t="str">
        <x:v>EST-0138</x:v>
      </x:c>
      <x:c r="B127" s="134" t="str">
        <x:v>2026-09-21</x:v>
      </x:c>
      <x:c r="C127" s="134" t="n">
        <x:v>3</x:v>
      </x:c>
      <x:c r="D127" s="134" t="str">
        <x:v>3D</x:v>
      </x:c>
      <x:c r="E127" s="134" t="n">
        <x:v>13.2</x:v>
      </x:c>
      <x:c r="F127" s="134" t="n">
        <x:v>0</x:v>
      </x:c>
      <x:c r="G127" s="134" t="n">
        <x:v>91.92</x:v>
      </x:c>
      <x:c r="H127" s="134" t="n">
        <x:v>7.79</x:v>
      </x:c>
      <x:c r="I127" s="134" t="n">
        <x:v>17.15</x:v>
      </x:c>
      <x:c r="J127" s="134" t="n">
        <x:v>17</x:v>
      </x:c>
      <x:c r="K127" s="134" t="n">
        <x:v>10</x:v>
      </x:c>
      <x:c r="L127" s="153" t="b">
        <x:v>1</x:v>
      </x:c>
      <x:c r="M127" s="135" t="str">
        <x:v>Derivar desde BD vía Feature Builder; esta hoja es contrato de referencia</x:v>
      </x:c>
    </x:row>
    <x:row r="128" ht="34" customHeight="1">
      <x:c r="A128" s="133" t="str">
        <x:v>EST-0139</x:v>
      </x:c>
      <x:c r="B128" s="134" t="str">
        <x:v>2026-09-21</x:v>
      </x:c>
      <x:c r="C128" s="134" t="n">
        <x:v>4</x:v>
      </x:c>
      <x:c r="D128" s="134" t="str">
        <x:v>4A</x:v>
      </x:c>
      <x:c r="E128" s="134" t="n">
        <x:v>14.12</x:v>
      </x:c>
      <x:c r="F128" s="134" t="n">
        <x:v>0</x:v>
      </x:c>
      <x:c r="G128" s="134" t="n">
        <x:v>94.93</x:v>
      </x:c>
      <x:c r="H128" s="134" t="n">
        <x:v>7.99</x:v>
      </x:c>
      <x:c r="I128" s="134" t="n">
        <x:v>15.16</x:v>
      </x:c>
      <x:c r="J128" s="134" t="n">
        <x:v>16</x:v>
      </x:c>
      <x:c r="K128" s="134" t="n">
        <x:v>10</x:v>
      </x:c>
      <x:c r="L128" s="153" t="b">
        <x:v>1</x:v>
      </x:c>
      <x:c r="M128" s="135" t="str">
        <x:v>Derivar desde BD vía Feature Builder; esta hoja es contrato de referencia</x:v>
      </x:c>
    </x:row>
    <x:row r="129" ht="34" customHeight="1">
      <x:c r="A129" s="133" t="str">
        <x:v>EST-0140</x:v>
      </x:c>
      <x:c r="B129" s="134" t="str">
        <x:v>2026-09-21</x:v>
      </x:c>
      <x:c r="C129" s="134" t="n">
        <x:v>4</x:v>
      </x:c>
      <x:c r="D129" s="134" t="str">
        <x:v>4A</x:v>
      </x:c>
      <x:c r="E129" s="134" t="n">
        <x:v>15.79</x:v>
      </x:c>
      <x:c r="F129" s="134" t="n">
        <x:v>0</x:v>
      </x:c>
      <x:c r="G129" s="134" t="n">
        <x:v>96.79</x:v>
      </x:c>
      <x:c r="H129" s="134" t="n">
        <x:v>7.27</x:v>
      </x:c>
      <x:c r="I129" s="134" t="n">
        <x:v>13.09</x:v>
      </x:c>
      <x:c r="J129" s="134" t="n">
        <x:v>16</x:v>
      </x:c>
      <x:c r="K129" s="134" t="n">
        <x:v>9</x:v>
      </x:c>
      <x:c r="L129" s="153" t="b">
        <x:v>1</x:v>
      </x:c>
      <x:c r="M129" s="135" t="str">
        <x:v>Derivar desde BD vía Feature Builder; esta hoja es contrato de referencia</x:v>
      </x:c>
    </x:row>
    <x:row r="130" ht="34" customHeight="1">
      <x:c r="A130" s="133" t="str">
        <x:v>EST-0141</x:v>
      </x:c>
      <x:c r="B130" s="134" t="str">
        <x:v>2026-09-21</x:v>
      </x:c>
      <x:c r="C130" s="134" t="n">
        <x:v>4</x:v>
      </x:c>
      <x:c r="D130" s="134" t="str">
        <x:v>4A</x:v>
      </x:c>
      <x:c r="E130" s="134" t="n">
        <x:v>17.68</x:v>
      </x:c>
      <x:c r="F130" s="134" t="n">
        <x:v>0</x:v>
      </x:c>
      <x:c r="G130" s="134" t="n">
        <x:v>98.8</x:v>
      </x:c>
      <x:c r="H130" s="134" t="n">
        <x:v>6.39</x:v>
      </x:c>
      <x:c r="I130" s="134" t="n">
        <x:v>13.28</x:v>
      </x:c>
      <x:c r="J130" s="134" t="n">
        <x:v>15</x:v>
      </x:c>
      <x:c r="K130" s="134" t="n">
        <x:v>10</x:v>
      </x:c>
      <x:c r="L130" s="153" t="b">
        <x:v>1</x:v>
      </x:c>
      <x:c r="M130" s="135" t="str">
        <x:v>Derivar desde BD vía Feature Builder; esta hoja es contrato de referencia</x:v>
      </x:c>
    </x:row>
    <x:row r="131" ht="34" customHeight="1">
      <x:c r="A131" s="133" t="str">
        <x:v>EST-0142</x:v>
      </x:c>
      <x:c r="B131" s="134" t="str">
        <x:v>2026-09-21</x:v>
      </x:c>
      <x:c r="C131" s="134" t="n">
        <x:v>4</x:v>
      </x:c>
      <x:c r="D131" s="134" t="str">
        <x:v>4A</x:v>
      </x:c>
      <x:c r="E131" s="134" t="n">
        <x:v>14.48</x:v>
      </x:c>
      <x:c r="F131" s="134" t="n">
        <x:v>0</x:v>
      </x:c>
      <x:c r="G131" s="134" t="n">
        <x:v>92.79</x:v>
      </x:c>
      <x:c r="H131" s="134" t="n">
        <x:v>8.37</x:v>
      </x:c>
      <x:c r="I131" s="134" t="n">
        <x:v>16.26</x:v>
      </x:c>
      <x:c r="J131" s="134" t="n">
        <x:v>15</x:v>
      </x:c>
      <x:c r="K131" s="134" t="n">
        <x:v>13</x:v>
      </x:c>
      <x:c r="L131" s="153" t="b">
        <x:v>1</x:v>
      </x:c>
      <x:c r="M131" s="135" t="str">
        <x:v>Derivar desde BD vía Feature Builder; esta hoja es contrato de referencia</x:v>
      </x:c>
    </x:row>
    <x:row r="132" ht="34" customHeight="1">
      <x:c r="A132" s="133" t="str">
        <x:v>EST-0143</x:v>
      </x:c>
      <x:c r="B132" s="134" t="str">
        <x:v>2026-09-21</x:v>
      </x:c>
      <x:c r="C132" s="134" t="n">
        <x:v>4</x:v>
      </x:c>
      <x:c r="D132" s="134" t="str">
        <x:v>4A</x:v>
      </x:c>
      <x:c r="E132" s="134" t="n">
        <x:v>14.63</x:v>
      </x:c>
      <x:c r="F132" s="134" t="n">
        <x:v>0</x:v>
      </x:c>
      <x:c r="G132" s="134" t="n">
        <x:v>99.5</x:v>
      </x:c>
      <x:c r="H132" s="134" t="n">
        <x:v>10.19</x:v>
      </x:c>
      <x:c r="I132" s="134" t="n">
        <x:v>20.75</x:v>
      </x:c>
      <x:c r="J132" s="134" t="n">
        <x:v>16</x:v>
      </x:c>
      <x:c r="K132" s="134" t="n">
        <x:v>15</x:v>
      </x:c>
      <x:c r="L132" s="153" t="b">
        <x:v>1</x:v>
      </x:c>
      <x:c r="M132" s="135" t="str">
        <x:v>Derivar desde BD vía Feature Builder; esta hoja es contrato de referencia</x:v>
      </x:c>
    </x:row>
    <x:row r="133" ht="34" customHeight="1">
      <x:c r="A133" s="133" t="str">
        <x:v>EST-0144</x:v>
      </x:c>
      <x:c r="B133" s="134" t="str">
        <x:v>2026-09-21</x:v>
      </x:c>
      <x:c r="C133" s="134" t="n">
        <x:v>4</x:v>
      </x:c>
      <x:c r="D133" s="134" t="str">
        <x:v>4A</x:v>
      </x:c>
      <x:c r="E133" s="134" t="n">
        <x:v>13.59</x:v>
      </x:c>
      <x:c r="F133" s="134" t="n">
        <x:v>0</x:v>
      </x:c>
      <x:c r="G133" s="134" t="n">
        <x:v>92.74</x:v>
      </x:c>
      <x:c r="H133" s="134" t="n">
        <x:v>6.27</x:v>
      </x:c>
      <x:c r="I133" s="134" t="n">
        <x:v>13.2</x:v>
      </x:c>
      <x:c r="J133" s="134" t="n">
        <x:v>15</x:v>
      </x:c>
      <x:c r="K133" s="134" t="n">
        <x:v>10</x:v>
      </x:c>
      <x:c r="L133" s="153" t="b">
        <x:v>1</x:v>
      </x:c>
      <x:c r="M133" s="135" t="str">
        <x:v>Derivar desde BD vía Feature Builder; esta hoja es contrato de referencia</x:v>
      </x:c>
    </x:row>
    <x:row r="134" ht="34" customHeight="1">
      <x:c r="A134" s="133" t="str">
        <x:v>EST-0145</x:v>
      </x:c>
      <x:c r="B134" s="134" t="str">
        <x:v>2026-09-21</x:v>
      </x:c>
      <x:c r="C134" s="134" t="n">
        <x:v>4</x:v>
      </x:c>
      <x:c r="D134" s="134" t="str">
        <x:v>4A</x:v>
      </x:c>
      <x:c r="E134" s="134" t="n">
        <x:v>14.08</x:v>
      </x:c>
      <x:c r="F134" s="134" t="n">
        <x:v>0</x:v>
      </x:c>
      <x:c r="G134" s="134" t="n">
        <x:v>90.77</x:v>
      </x:c>
      <x:c r="H134" s="134" t="n">
        <x:v>8.75</x:v>
      </x:c>
      <x:c r="I134" s="134" t="n">
        <x:v>19.79</x:v>
      </x:c>
      <x:c r="J134" s="134" t="n">
        <x:v>15</x:v>
      </x:c>
      <x:c r="K134" s="134" t="n">
        <x:v>13</x:v>
      </x:c>
      <x:c r="L134" s="153" t="b">
        <x:v>1</x:v>
      </x:c>
      <x:c r="M134" s="135" t="str">
        <x:v>Derivar desde BD vía Feature Builder; esta hoja es contrato de referencia</x:v>
      </x:c>
    </x:row>
    <x:row r="135" ht="34" customHeight="1">
      <x:c r="A135" s="133" t="str">
        <x:v>EST-0146</x:v>
      </x:c>
      <x:c r="B135" s="134" t="str">
        <x:v>2026-09-21</x:v>
      </x:c>
      <x:c r="C135" s="134" t="n">
        <x:v>4</x:v>
      </x:c>
      <x:c r="D135" s="134" t="str">
        <x:v>4A</x:v>
      </x:c>
      <x:c r="E135" s="134" t="n">
        <x:v>17.48</x:v>
      </x:c>
      <x:c r="F135" s="134" t="n">
        <x:v>0</x:v>
      </x:c>
      <x:c r="G135" s="134" t="n">
        <x:v>96.41</x:v>
      </x:c>
      <x:c r="H135" s="134" t="n">
        <x:v>7.7</x:v>
      </x:c>
      <x:c r="I135" s="134" t="n">
        <x:v>12.6</x:v>
      </x:c>
      <x:c r="J135" s="134" t="n">
        <x:v>13</x:v>
      </x:c>
      <x:c r="K135" s="134" t="n">
        <x:v>10</x:v>
      </x:c>
      <x:c r="L135" s="153" t="b">
        <x:v>1</x:v>
      </x:c>
      <x:c r="M135" s="135" t="str">
        <x:v>Derivar desde BD vía Feature Builder; esta hoja es contrato de referencia</x:v>
      </x:c>
    </x:row>
    <x:row r="136" ht="34" customHeight="1">
      <x:c r="A136" s="133" t="str">
        <x:v>EST-0147</x:v>
      </x:c>
      <x:c r="B136" s="134" t="str">
        <x:v>2026-09-21</x:v>
      </x:c>
      <x:c r="C136" s="134" t="n">
        <x:v>4</x:v>
      </x:c>
      <x:c r="D136" s="134" t="str">
        <x:v>4A</x:v>
      </x:c>
      <x:c r="E136" s="134" t="n">
        <x:v>16.59</x:v>
      </x:c>
      <x:c r="F136" s="134" t="n">
        <x:v>0</x:v>
      </x:c>
      <x:c r="G136" s="134" t="n">
        <x:v>86.01</x:v>
      </x:c>
      <x:c r="H136" s="134" t="n">
        <x:v>7.04</x:v>
      </x:c>
      <x:c r="I136" s="134" t="n">
        <x:v>13.3</x:v>
      </x:c>
      <x:c r="J136" s="134" t="n">
        <x:v>14</x:v>
      </x:c>
      <x:c r="K136" s="134" t="n">
        <x:v>9</x:v>
      </x:c>
      <x:c r="L136" s="153" t="b">
        <x:v>1</x:v>
      </x:c>
      <x:c r="M136" s="135" t="str">
        <x:v>Derivar desde BD vía Feature Builder; esta hoja es contrato de referencia</x:v>
      </x:c>
    </x:row>
    <x:row r="137" ht="34" customHeight="1">
      <x:c r="A137" s="133" t="str">
        <x:v>EST-0149</x:v>
      </x:c>
      <x:c r="B137" s="134" t="str">
        <x:v>2026-09-21</x:v>
      </x:c>
      <x:c r="C137" s="134" t="n">
        <x:v>4</x:v>
      </x:c>
      <x:c r="D137" s="134" t="str">
        <x:v>4A</x:v>
      </x:c>
      <x:c r="E137" s="134" t="n">
        <x:v>14.62</x:v>
      </x:c>
      <x:c r="F137" s="134" t="n">
        <x:v>0</x:v>
      </x:c>
      <x:c r="G137" s="134" t="n">
        <x:v>93.57</x:v>
      </x:c>
      <x:c r="H137" s="134" t="n">
        <x:v>10.11</x:v>
      </x:c>
      <x:c r="I137" s="134" t="n">
        <x:v>20.83</x:v>
      </x:c>
      <x:c r="J137" s="134" t="n">
        <x:v>19</x:v>
      </x:c>
      <x:c r="K137" s="134" t="n">
        <x:v>13</x:v>
      </x:c>
      <x:c r="L137" s="153" t="b">
        <x:v>1</x:v>
      </x:c>
      <x:c r="M137" s="135" t="str">
        <x:v>Derivar desde BD vía Feature Builder; esta hoja es contrato de referencia</x:v>
      </x:c>
    </x:row>
    <x:row r="138" ht="34" customHeight="1">
      <x:c r="A138" s="133" t="str">
        <x:v>EST-0150</x:v>
      </x:c>
      <x:c r="B138" s="134" t="str">
        <x:v>2026-09-21</x:v>
      </x:c>
      <x:c r="C138" s="134" t="n">
        <x:v>4</x:v>
      </x:c>
      <x:c r="D138" s="134" t="str">
        <x:v>4A</x:v>
      </x:c>
      <x:c r="E138" s="134" t="n">
        <x:v>14.81</x:v>
      </x:c>
      <x:c r="F138" s="134" t="n">
        <x:v>0</x:v>
      </x:c>
      <x:c r="G138" s="134" t="n">
        <x:v>91.25</x:v>
      </x:c>
      <x:c r="H138" s="134" t="n">
        <x:v>6.75</x:v>
      </x:c>
      <x:c r="I138" s="134" t="n">
        <x:v>12.43</x:v>
      </x:c>
      <x:c r="J138" s="134" t="n">
        <x:v>13</x:v>
      </x:c>
      <x:c r="K138" s="134" t="n">
        <x:v>9</x:v>
      </x:c>
      <x:c r="L138" s="153" t="b">
        <x:v>1</x:v>
      </x:c>
      <x:c r="M138" s="135" t="str">
        <x:v>Derivar desde BD vía Feature Builder; esta hoja es contrato de referencia</x:v>
      </x:c>
    </x:row>
    <x:row r="139" ht="34" customHeight="1">
      <x:c r="A139" s="133" t="str">
        <x:v>EST-0151</x:v>
      </x:c>
      <x:c r="B139" s="134" t="str">
        <x:v>2026-09-21</x:v>
      </x:c>
      <x:c r="C139" s="134" t="n">
        <x:v>4</x:v>
      </x:c>
      <x:c r="D139" s="134" t="str">
        <x:v>4B</x:v>
      </x:c>
      <x:c r="E139" s="134" t="n">
        <x:v>17.86</x:v>
      </x:c>
      <x:c r="F139" s="134" t="n">
        <x:v>0</x:v>
      </x:c>
      <x:c r="G139" s="134" t="n">
        <x:v>91.71</x:v>
      </x:c>
      <x:c r="H139" s="134" t="n">
        <x:v>9.87</x:v>
      </x:c>
      <x:c r="I139" s="134" t="n">
        <x:v>21.19</x:v>
      </x:c>
      <x:c r="J139" s="134" t="n">
        <x:v>16</x:v>
      </x:c>
      <x:c r="K139" s="134" t="n">
        <x:v>15</x:v>
      </x:c>
      <x:c r="L139" s="153" t="b">
        <x:v>1</x:v>
      </x:c>
      <x:c r="M139" s="135" t="str">
        <x:v>Derivar desde BD vía Feature Builder; esta hoja es contrato de referencia</x:v>
      </x:c>
    </x:row>
    <x:row r="140" ht="34" customHeight="1">
      <x:c r="A140" s="133" t="str">
        <x:v>EST-0152</x:v>
      </x:c>
      <x:c r="B140" s="134" t="str">
        <x:v>2026-09-21</x:v>
      </x:c>
      <x:c r="C140" s="134" t="n">
        <x:v>4</x:v>
      </x:c>
      <x:c r="D140" s="134" t="str">
        <x:v>4B</x:v>
      </x:c>
      <x:c r="E140" s="134" t="n">
        <x:v>16.39</x:v>
      </x:c>
      <x:c r="F140" s="134" t="n">
        <x:v>0</x:v>
      </x:c>
      <x:c r="G140" s="134" t="n">
        <x:v>94.73</x:v>
      </x:c>
      <x:c r="H140" s="134" t="n">
        <x:v>9.68</x:v>
      </x:c>
      <x:c r="I140" s="134" t="n">
        <x:v>17.51</x:v>
      </x:c>
      <x:c r="J140" s="134" t="n">
        <x:v>16</x:v>
      </x:c>
      <x:c r="K140" s="134" t="n">
        <x:v>14</x:v>
      </x:c>
      <x:c r="L140" s="153" t="b">
        <x:v>1</x:v>
      </x:c>
      <x:c r="M140" s="135" t="str">
        <x:v>Derivar desde BD vía Feature Builder; esta hoja es contrato de referencia</x:v>
      </x:c>
    </x:row>
    <x:row r="141" ht="34" customHeight="1">
      <x:c r="A141" s="133" t="str">
        <x:v>EST-0153</x:v>
      </x:c>
      <x:c r="B141" s="134" t="str">
        <x:v>2026-09-21</x:v>
      </x:c>
      <x:c r="C141" s="134" t="n">
        <x:v>4</x:v>
      </x:c>
      <x:c r="D141" s="134" t="str">
        <x:v>4B</x:v>
      </x:c>
      <x:c r="E141" s="134" t="n">
        <x:v>16.68</x:v>
      </x:c>
      <x:c r="F141" s="134" t="n">
        <x:v>0</x:v>
      </x:c>
      <x:c r="G141" s="134" t="n">
        <x:v>99.5</x:v>
      </x:c>
      <x:c r="H141" s="134" t="n">
        <x:v>8.01</x:v>
      </x:c>
      <x:c r="I141" s="134" t="n">
        <x:v>14.23</x:v>
      </x:c>
      <x:c r="J141" s="134" t="n">
        <x:v>13</x:v>
      </x:c>
      <x:c r="K141" s="134" t="n">
        <x:v>13</x:v>
      </x:c>
      <x:c r="L141" s="153" t="b">
        <x:v>1</x:v>
      </x:c>
      <x:c r="M141" s="135" t="str">
        <x:v>Derivar desde BD vía Feature Builder; esta hoja es contrato de referencia</x:v>
      </x:c>
    </x:row>
    <x:row r="142" ht="34" customHeight="1">
      <x:c r="A142" s="133" t="str">
        <x:v>EST-0154</x:v>
      </x:c>
      <x:c r="B142" s="134" t="str">
        <x:v>2026-09-21</x:v>
      </x:c>
      <x:c r="C142" s="134" t="n">
        <x:v>4</x:v>
      </x:c>
      <x:c r="D142" s="134" t="str">
        <x:v>4B</x:v>
      </x:c>
      <x:c r="E142" s="134" t="n">
        <x:v>16.11</x:v>
      </x:c>
      <x:c r="F142" s="134" t="n">
        <x:v>0</x:v>
      </x:c>
      <x:c r="G142" s="134" t="n">
        <x:v>97.51</x:v>
      </x:c>
      <x:c r="H142" s="134" t="n">
        <x:v>8.89</x:v>
      </x:c>
      <x:c r="I142" s="134" t="n">
        <x:v>19.21</x:v>
      </x:c>
      <x:c r="J142" s="134" t="n">
        <x:v>16</x:v>
      </x:c>
      <x:c r="K142" s="134" t="n">
        <x:v>12</x:v>
      </x:c>
      <x:c r="L142" s="153" t="b">
        <x:v>1</x:v>
      </x:c>
      <x:c r="M142" s="135" t="str">
        <x:v>Derivar desde BD vía Feature Builder; esta hoja es contrato de referencia</x:v>
      </x:c>
    </x:row>
    <x:row r="143" ht="34" customHeight="1">
      <x:c r="A143" s="133" t="str">
        <x:v>EST-0155</x:v>
      </x:c>
      <x:c r="B143" s="134" t="str">
        <x:v>2026-09-21</x:v>
      </x:c>
      <x:c r="C143" s="134" t="n">
        <x:v>4</x:v>
      </x:c>
      <x:c r="D143" s="134" t="str">
        <x:v>4B</x:v>
      </x:c>
      <x:c r="E143" s="134" t="n">
        <x:v>12.84</x:v>
      </x:c>
      <x:c r="F143" s="134" t="n">
        <x:v>0</x:v>
      </x:c>
      <x:c r="G143" s="134" t="n">
        <x:v>88.23</x:v>
      </x:c>
      <x:c r="H143" s="134" t="n">
        <x:v>10.46</x:v>
      </x:c>
      <x:c r="I143" s="134" t="n">
        <x:v>19.2</x:v>
      </x:c>
      <x:c r="J143" s="134" t="n">
        <x:v>18</x:v>
      </x:c>
      <x:c r="K143" s="134" t="n">
        <x:v>14</x:v>
      </x:c>
      <x:c r="L143" s="153" t="b">
        <x:v>1</x:v>
      </x:c>
      <x:c r="M143" s="135" t="str">
        <x:v>Derivar desde BD vía Feature Builder; esta hoja es contrato de referencia</x:v>
      </x:c>
    </x:row>
    <x:row r="144" ht="34" customHeight="1">
      <x:c r="A144" s="133" t="str">
        <x:v>EST-0156</x:v>
      </x:c>
      <x:c r="B144" s="134" t="str">
        <x:v>2026-09-21</x:v>
      </x:c>
      <x:c r="C144" s="134" t="n">
        <x:v>4</x:v>
      </x:c>
      <x:c r="D144" s="134" t="str">
        <x:v>4B</x:v>
      </x:c>
      <x:c r="E144" s="134" t="n">
        <x:v>16.08</x:v>
      </x:c>
      <x:c r="F144" s="134" t="n">
        <x:v>0</x:v>
      </x:c>
      <x:c r="G144" s="134" t="n">
        <x:v>93.79</x:v>
      </x:c>
      <x:c r="H144" s="134" t="n">
        <x:v>10.72</x:v>
      </x:c>
      <x:c r="I144" s="134" t="n">
        <x:v>21.31</x:v>
      </x:c>
      <x:c r="J144" s="134" t="n">
        <x:v>19</x:v>
      </x:c>
      <x:c r="K144" s="134" t="n">
        <x:v>13</x:v>
      </x:c>
      <x:c r="L144" s="153" t="b">
        <x:v>1</x:v>
      </x:c>
      <x:c r="M144" s="135" t="str">
        <x:v>Derivar desde BD vía Feature Builder; esta hoja es contrato de referencia</x:v>
      </x:c>
    </x:row>
    <x:row r="145" ht="34" customHeight="1">
      <x:c r="A145" s="133" t="str">
        <x:v>EST-0157</x:v>
      </x:c>
      <x:c r="B145" s="134" t="str">
        <x:v>2026-09-21</x:v>
      </x:c>
      <x:c r="C145" s="134" t="n">
        <x:v>4</x:v>
      </x:c>
      <x:c r="D145" s="134" t="str">
        <x:v>4B</x:v>
      </x:c>
      <x:c r="E145" s="134" t="n">
        <x:v>16.57</x:v>
      </x:c>
      <x:c r="F145" s="134" t="n">
        <x:v>0</x:v>
      </x:c>
      <x:c r="G145" s="134" t="n">
        <x:v>99.5</x:v>
      </x:c>
      <x:c r="H145" s="134" t="n">
        <x:v>6.78</x:v>
      </x:c>
      <x:c r="I145" s="134" t="n">
        <x:v>14.17</x:v>
      </x:c>
      <x:c r="J145" s="134" t="n">
        <x:v>14</x:v>
      </x:c>
      <x:c r="K145" s="134" t="n">
        <x:v>12</x:v>
      </x:c>
      <x:c r="L145" s="153" t="b">
        <x:v>1</x:v>
      </x:c>
      <x:c r="M145" s="135" t="str">
        <x:v>Derivar desde BD vía Feature Builder; esta hoja es contrato de referencia</x:v>
      </x:c>
    </x:row>
    <x:row r="146" ht="34" customHeight="1">
      <x:c r="A146" s="133" t="str">
        <x:v>EST-0158</x:v>
      </x:c>
      <x:c r="B146" s="134" t="str">
        <x:v>2026-09-21</x:v>
      </x:c>
      <x:c r="C146" s="134" t="n">
        <x:v>4</x:v>
      </x:c>
      <x:c r="D146" s="134" t="str">
        <x:v>4B</x:v>
      </x:c>
      <x:c r="E146" s="134" t="n">
        <x:v>17.44</x:v>
      </x:c>
      <x:c r="F146" s="134" t="n">
        <x:v>0</x:v>
      </x:c>
      <x:c r="G146" s="134" t="n">
        <x:v>93.02</x:v>
      </x:c>
      <x:c r="H146" s="134" t="n">
        <x:v>8.33</x:v>
      </x:c>
      <x:c r="I146" s="134" t="n">
        <x:v>15.78</x:v>
      </x:c>
      <x:c r="J146" s="134" t="n">
        <x:v>17</x:v>
      </x:c>
      <x:c r="K146" s="134" t="n">
        <x:v>14</x:v>
      </x:c>
      <x:c r="L146" s="153" t="b">
        <x:v>1</x:v>
      </x:c>
      <x:c r="M146" s="135" t="str">
        <x:v>Derivar desde BD vía Feature Builder; esta hoja es contrato de referencia</x:v>
      </x:c>
    </x:row>
    <x:row r="147" ht="34" customHeight="1">
      <x:c r="A147" s="133" t="str">
        <x:v>EST-0160</x:v>
      </x:c>
      <x:c r="B147" s="134" t="str">
        <x:v>2026-09-21</x:v>
      </x:c>
      <x:c r="C147" s="134" t="n">
        <x:v>4</x:v>
      </x:c>
      <x:c r="D147" s="134" t="str">
        <x:v>4B</x:v>
      </x:c>
      <x:c r="E147" s="134" t="n">
        <x:v>12.04</x:v>
      </x:c>
      <x:c r="F147" s="134" t="n">
        <x:v>0</x:v>
      </x:c>
      <x:c r="G147" s="134" t="n">
        <x:v>92.87</x:v>
      </x:c>
      <x:c r="H147" s="134" t="n">
        <x:v>8.45</x:v>
      </x:c>
      <x:c r="I147" s="134" t="n">
        <x:v>14.94</x:v>
      </x:c>
      <x:c r="J147" s="134" t="n">
        <x:v>17</x:v>
      </x:c>
      <x:c r="K147" s="134" t="n">
        <x:v>13</x:v>
      </x:c>
      <x:c r="L147" s="153" t="b">
        <x:v>1</x:v>
      </x:c>
      <x:c r="M147" s="135" t="str">
        <x:v>Derivar desde BD vía Feature Builder; esta hoja es contrato de referencia</x:v>
      </x:c>
    </x:row>
    <x:row r="148" ht="34" customHeight="1">
      <x:c r="A148" s="133" t="str">
        <x:v>EST-0161</x:v>
      </x:c>
      <x:c r="B148" s="134" t="str">
        <x:v>2026-09-21</x:v>
      </x:c>
      <x:c r="C148" s="134" t="n">
        <x:v>4</x:v>
      </x:c>
      <x:c r="D148" s="134" t="str">
        <x:v>4B</x:v>
      </x:c>
      <x:c r="E148" s="134" t="n">
        <x:v>16.5</x:v>
      </x:c>
      <x:c r="F148" s="134" t="n">
        <x:v>0</x:v>
      </x:c>
      <x:c r="G148" s="134" t="n">
        <x:v>91.07</x:v>
      </x:c>
      <x:c r="H148" s="134" t="n">
        <x:v>6.58</x:v>
      </x:c>
      <x:c r="I148" s="134" t="n">
        <x:v>13.74</x:v>
      </x:c>
      <x:c r="J148" s="134" t="n">
        <x:v>12</x:v>
      </x:c>
      <x:c r="K148" s="134" t="n">
        <x:v>9</x:v>
      </x:c>
      <x:c r="L148" s="153" t="b">
        <x:v>1</x:v>
      </x:c>
      <x:c r="M148" s="135" t="str">
        <x:v>Derivar desde BD vía Feature Builder; esta hoja es contrato de referencia</x:v>
      </x:c>
    </x:row>
    <x:row r="149" ht="34" customHeight="1">
      <x:c r="A149" s="133" t="str">
        <x:v>EST-0162</x:v>
      </x:c>
      <x:c r="B149" s="134" t="str">
        <x:v>2026-09-21</x:v>
      </x:c>
      <x:c r="C149" s="134" t="n">
        <x:v>4</x:v>
      </x:c>
      <x:c r="D149" s="134" t="str">
        <x:v>4B</x:v>
      </x:c>
      <x:c r="E149" s="134" t="n">
        <x:v>10.85</x:v>
      </x:c>
      <x:c r="F149" s="134" t="n">
        <x:v>1</x:v>
      </x:c>
      <x:c r="G149" s="134" t="n">
        <x:v>87.71</x:v>
      </x:c>
      <x:c r="H149" s="134" t="n">
        <x:v>4.31</x:v>
      </x:c>
      <x:c r="I149" s="134" t="n">
        <x:v>9.66</x:v>
      </x:c>
      <x:c r="J149" s="134" t="n">
        <x:v>9</x:v>
      </x:c>
      <x:c r="K149" s="134" t="n">
        <x:v>7</x:v>
      </x:c>
      <x:c r="L149" s="153" t="b">
        <x:v>1</x:v>
      </x:c>
      <x:c r="M149" s="135" t="str">
        <x:v>Derivar desde BD vía Feature Builder; esta hoja es contrato de referencia</x:v>
      </x:c>
    </x:row>
    <x:row r="150" ht="34" customHeight="1">
      <x:c r="A150" s="133" t="str">
        <x:v>EST-0163</x:v>
      </x:c>
      <x:c r="B150" s="134" t="str">
        <x:v>2026-09-21</x:v>
      </x:c>
      <x:c r="C150" s="134" t="n">
        <x:v>4</x:v>
      </x:c>
      <x:c r="D150" s="134" t="str">
        <x:v>4C</x:v>
      </x:c>
      <x:c r="E150" s="134" t="n">
        <x:v>15.18</x:v>
      </x:c>
      <x:c r="F150" s="134" t="n">
        <x:v>0</x:v>
      </x:c>
      <x:c r="G150" s="134" t="n">
        <x:v>96.48</x:v>
      </x:c>
      <x:c r="H150" s="134" t="n">
        <x:v>6.83</x:v>
      </x:c>
      <x:c r="I150" s="134" t="n">
        <x:v>14.85</x:v>
      </x:c>
      <x:c r="J150" s="134" t="n">
        <x:v>15</x:v>
      </x:c>
      <x:c r="K150" s="134" t="n">
        <x:v>11</x:v>
      </x:c>
      <x:c r="L150" s="153" t="b">
        <x:v>1</x:v>
      </x:c>
      <x:c r="M150" s="135" t="str">
        <x:v>Derivar desde BD vía Feature Builder; esta hoja es contrato de referencia</x:v>
      </x:c>
    </x:row>
    <x:row r="151" ht="34" customHeight="1">
      <x:c r="A151" s="133" t="str">
        <x:v>EST-0164</x:v>
      </x:c>
      <x:c r="B151" s="134" t="str">
        <x:v>2026-09-21</x:v>
      </x:c>
      <x:c r="C151" s="134" t="n">
        <x:v>4</x:v>
      </x:c>
      <x:c r="D151" s="134" t="str">
        <x:v>4C</x:v>
      </x:c>
      <x:c r="E151" s="134" t="n">
        <x:v>16.4</x:v>
      </x:c>
      <x:c r="F151" s="134" t="n">
        <x:v>0</x:v>
      </x:c>
      <x:c r="G151" s="134" t="n">
        <x:v>88.47</x:v>
      </x:c>
      <x:c r="H151" s="134" t="n">
        <x:v>7.55</x:v>
      </x:c>
      <x:c r="I151" s="134" t="n">
        <x:v>10.72</x:v>
      </x:c>
      <x:c r="J151" s="134" t="n">
        <x:v>15</x:v>
      </x:c>
      <x:c r="K151" s="134" t="n">
        <x:v>12</x:v>
      </x:c>
      <x:c r="L151" s="153" t="b">
        <x:v>1</x:v>
      </x:c>
      <x:c r="M151" s="135" t="str">
        <x:v>Derivar desde BD vía Feature Builder; esta hoja es contrato de referencia</x:v>
      </x:c>
    </x:row>
    <x:row r="152" ht="34" customHeight="1">
      <x:c r="A152" s="133" t="str">
        <x:v>EST-0165</x:v>
      </x:c>
      <x:c r="B152" s="134" t="str">
        <x:v>2026-09-21</x:v>
      </x:c>
      <x:c r="C152" s="134" t="n">
        <x:v>4</x:v>
      </x:c>
      <x:c r="D152" s="134" t="str">
        <x:v>4C</x:v>
      </x:c>
      <x:c r="E152" s="134" t="n">
        <x:v>14.99</x:v>
      </x:c>
      <x:c r="F152" s="134" t="n">
        <x:v>0</x:v>
      </x:c>
      <x:c r="G152" s="134" t="n">
        <x:v>98.06</x:v>
      </x:c>
      <x:c r="H152" s="134" t="n">
        <x:v>9.05</x:v>
      </x:c>
      <x:c r="I152" s="134" t="n">
        <x:v>17.21</x:v>
      </x:c>
      <x:c r="J152" s="134" t="n">
        <x:v>16</x:v>
      </x:c>
      <x:c r="K152" s="134" t="n">
        <x:v>12</x:v>
      </x:c>
      <x:c r="L152" s="153" t="b">
        <x:v>1</x:v>
      </x:c>
      <x:c r="M152" s="135" t="str">
        <x:v>Derivar desde BD vía Feature Builder; esta hoja es contrato de referencia</x:v>
      </x:c>
    </x:row>
    <x:row r="153" ht="34" customHeight="1">
      <x:c r="A153" s="133" t="str">
        <x:v>EST-0166</x:v>
      </x:c>
      <x:c r="B153" s="134" t="str">
        <x:v>2026-09-21</x:v>
      </x:c>
      <x:c r="C153" s="134" t="n">
        <x:v>4</x:v>
      </x:c>
      <x:c r="D153" s="134" t="str">
        <x:v>4C</x:v>
      </x:c>
      <x:c r="E153" s="134" t="n">
        <x:v>16.97</x:v>
      </x:c>
      <x:c r="F153" s="134" t="n">
        <x:v>0</x:v>
      </x:c>
      <x:c r="G153" s="134" t="n">
        <x:v>93.48</x:v>
      </x:c>
      <x:c r="H153" s="134" t="n">
        <x:v>7.51</x:v>
      </x:c>
      <x:c r="I153" s="134" t="n">
        <x:v>14.47</x:v>
      </x:c>
      <x:c r="J153" s="134" t="n">
        <x:v>17</x:v>
      </x:c>
      <x:c r="K153" s="134" t="n">
        <x:v>12</x:v>
      </x:c>
      <x:c r="L153" s="153" t="b">
        <x:v>1</x:v>
      </x:c>
      <x:c r="M153" s="135" t="str">
        <x:v>Derivar desde BD vía Feature Builder; esta hoja es contrato de referencia</x:v>
      </x:c>
    </x:row>
    <x:row r="154" ht="34" customHeight="1">
      <x:c r="A154" s="133" t="str">
        <x:v>EST-0167</x:v>
      </x:c>
      <x:c r="B154" s="134" t="str">
        <x:v>2026-09-21</x:v>
      </x:c>
      <x:c r="C154" s="134" t="n">
        <x:v>4</x:v>
      </x:c>
      <x:c r="D154" s="134" t="str">
        <x:v>4C</x:v>
      </x:c>
      <x:c r="E154" s="134" t="n">
        <x:v>14.63</x:v>
      </x:c>
      <x:c r="F154" s="134" t="n">
        <x:v>0</x:v>
      </x:c>
      <x:c r="G154" s="134" t="n">
        <x:v>88.56</x:v>
      </x:c>
      <x:c r="H154" s="134" t="n">
        <x:v>4.36</x:v>
      </x:c>
      <x:c r="I154" s="134" t="n">
        <x:v>9.29</x:v>
      </x:c>
      <x:c r="J154" s="134" t="n">
        <x:v>11</x:v>
      </x:c>
      <x:c r="K154" s="134" t="n">
        <x:v>9</x:v>
      </x:c>
      <x:c r="L154" s="153" t="b">
        <x:v>1</x:v>
      </x:c>
      <x:c r="M154" s="135" t="str">
        <x:v>Derivar desde BD vía Feature Builder; esta hoja es contrato de referencia</x:v>
      </x:c>
    </x:row>
    <x:row r="155" ht="34" customHeight="1">
      <x:c r="A155" s="133" t="str">
        <x:v>EST-0168</x:v>
      </x:c>
      <x:c r="B155" s="134" t="str">
        <x:v>2026-09-21</x:v>
      </x:c>
      <x:c r="C155" s="134" t="n">
        <x:v>4</x:v>
      </x:c>
      <x:c r="D155" s="134" t="str">
        <x:v>4C</x:v>
      </x:c>
      <x:c r="E155" s="134" t="n">
        <x:v>14.33</x:v>
      </x:c>
      <x:c r="F155" s="134" t="n">
        <x:v>0</x:v>
      </x:c>
      <x:c r="G155" s="134" t="n">
        <x:v>99.5</x:v>
      </x:c>
      <x:c r="H155" s="134" t="n">
        <x:v>8.38</x:v>
      </x:c>
      <x:c r="I155" s="134" t="n">
        <x:v>17.46</x:v>
      </x:c>
      <x:c r="J155" s="134" t="n">
        <x:v>16</x:v>
      </x:c>
      <x:c r="K155" s="134" t="n">
        <x:v>11</x:v>
      </x:c>
      <x:c r="L155" s="153" t="b">
        <x:v>1</x:v>
      </x:c>
      <x:c r="M155" s="135" t="str">
        <x:v>Derivar desde BD vía Feature Builder; esta hoja es contrato de referencia</x:v>
      </x:c>
    </x:row>
    <x:row r="156" ht="34" customHeight="1">
      <x:c r="A156" s="133" t="str">
        <x:v>EST-0169</x:v>
      </x:c>
      <x:c r="B156" s="134" t="str">
        <x:v>2026-09-21</x:v>
      </x:c>
      <x:c r="C156" s="134" t="n">
        <x:v>4</x:v>
      </x:c>
      <x:c r="D156" s="134" t="str">
        <x:v>4C</x:v>
      </x:c>
      <x:c r="E156" s="134" t="n">
        <x:v>19.5</x:v>
      </x:c>
      <x:c r="F156" s="134" t="n">
        <x:v>0</x:v>
      </x:c>
      <x:c r="G156" s="134" t="n">
        <x:v>99.44</x:v>
      </x:c>
      <x:c r="H156" s="134" t="n">
        <x:v>9.77</x:v>
      </x:c>
      <x:c r="I156" s="134" t="n">
        <x:v>18.98</x:v>
      </x:c>
      <x:c r="J156" s="134" t="n">
        <x:v>19</x:v>
      </x:c>
      <x:c r="K156" s="134" t="n">
        <x:v>14</x:v>
      </x:c>
      <x:c r="L156" s="153" t="b">
        <x:v>1</x:v>
      </x:c>
      <x:c r="M156" s="135" t="str">
        <x:v>Derivar desde BD vía Feature Builder; esta hoja es contrato de referencia</x:v>
      </x:c>
    </x:row>
    <x:row r="157" ht="34" customHeight="1">
      <x:c r="A157" s="133" t="str">
        <x:v>EST-0171</x:v>
      </x:c>
      <x:c r="B157" s="134" t="str">
        <x:v>2026-09-21</x:v>
      </x:c>
      <x:c r="C157" s="134" t="n">
        <x:v>4</x:v>
      </x:c>
      <x:c r="D157" s="134" t="str">
        <x:v>4C</x:v>
      </x:c>
      <x:c r="E157" s="134" t="n">
        <x:v>14.05</x:v>
      </x:c>
      <x:c r="F157" s="134" t="n">
        <x:v>0</x:v>
      </x:c>
      <x:c r="G157" s="134" t="n">
        <x:v>94.71</x:v>
      </x:c>
      <x:c r="H157" s="134" t="n">
        <x:v>6.96</x:v>
      </x:c>
      <x:c r="I157" s="134" t="n">
        <x:v>12.97</x:v>
      </x:c>
      <x:c r="J157" s="134" t="n">
        <x:v>16</x:v>
      </x:c>
      <x:c r="K157" s="134" t="n">
        <x:v>11</x:v>
      </x:c>
      <x:c r="L157" s="153" t="b">
        <x:v>1</x:v>
      </x:c>
      <x:c r="M157" s="135" t="str">
        <x:v>Derivar desde BD vía Feature Builder; esta hoja es contrato de referencia</x:v>
      </x:c>
    </x:row>
    <x:row r="158" ht="34" customHeight="1">
      <x:c r="A158" s="133" t="str">
        <x:v>EST-0172</x:v>
      </x:c>
      <x:c r="B158" s="134" t="str">
        <x:v>2026-09-21</x:v>
      </x:c>
      <x:c r="C158" s="134" t="n">
        <x:v>4</x:v>
      </x:c>
      <x:c r="D158" s="134" t="str">
        <x:v>4C</x:v>
      </x:c>
      <x:c r="E158" s="134" t="n">
        <x:v>14.73</x:v>
      </x:c>
      <x:c r="F158" s="134" t="n">
        <x:v>0</x:v>
      </x:c>
      <x:c r="G158" s="134" t="n">
        <x:v>91.97</x:v>
      </x:c>
      <x:c r="H158" s="134" t="n">
        <x:v>6.8</x:v>
      </x:c>
      <x:c r="I158" s="134" t="n">
        <x:v>12.93</x:v>
      </x:c>
      <x:c r="J158" s="134" t="n">
        <x:v>13</x:v>
      </x:c>
      <x:c r="K158" s="134" t="n">
        <x:v>11</x:v>
      </x:c>
      <x:c r="L158" s="153" t="b">
        <x:v>1</x:v>
      </x:c>
      <x:c r="M158" s="135" t="str">
        <x:v>Derivar desde BD vía Feature Builder; esta hoja es contrato de referencia</x:v>
      </x:c>
    </x:row>
    <x:row r="159" ht="34" customHeight="1">
      <x:c r="A159" s="133" t="str">
        <x:v>EST-0173</x:v>
      </x:c>
      <x:c r="B159" s="134" t="str">
        <x:v>2026-09-21</x:v>
      </x:c>
      <x:c r="C159" s="134" t="n">
        <x:v>4</x:v>
      </x:c>
      <x:c r="D159" s="134" t="str">
        <x:v>4C</x:v>
      </x:c>
      <x:c r="E159" s="134" t="n">
        <x:v>15.24</x:v>
      </x:c>
      <x:c r="F159" s="134" t="n">
        <x:v>0</x:v>
      </x:c>
      <x:c r="G159" s="134" t="n">
        <x:v>89</x:v>
      </x:c>
      <x:c r="H159" s="134" t="n">
        <x:v>9.31</x:v>
      </x:c>
      <x:c r="I159" s="134" t="n">
        <x:v>18.41</x:v>
      </x:c>
      <x:c r="J159" s="134" t="n">
        <x:v>17</x:v>
      </x:c>
      <x:c r="K159" s="134" t="n">
        <x:v>11</x:v>
      </x:c>
      <x:c r="L159" s="153" t="b">
        <x:v>1</x:v>
      </x:c>
      <x:c r="M159" s="135" t="str">
        <x:v>Derivar desde BD vía Feature Builder; esta hoja es contrato de referencia</x:v>
      </x:c>
    </x:row>
    <x:row r="160" ht="34" customHeight="1">
      <x:c r="A160" s="133" t="str">
        <x:v>EST-0174</x:v>
      </x:c>
      <x:c r="B160" s="134" t="str">
        <x:v>2026-09-21</x:v>
      </x:c>
      <x:c r="C160" s="134" t="n">
        <x:v>4</x:v>
      </x:c>
      <x:c r="D160" s="134" t="str">
        <x:v>4D</x:v>
      </x:c>
      <x:c r="E160" s="134" t="n">
        <x:v>13.45</x:v>
      </x:c>
      <x:c r="F160" s="134" t="n">
        <x:v>0</x:v>
      </x:c>
      <x:c r="G160" s="134" t="n">
        <x:v>88.1</x:v>
      </x:c>
      <x:c r="H160" s="134" t="n">
        <x:v>6.85</x:v>
      </x:c>
      <x:c r="I160" s="134" t="n">
        <x:v>11.31</x:v>
      </x:c>
      <x:c r="J160" s="134" t="n">
        <x:v>13</x:v>
      </x:c>
      <x:c r="K160" s="134" t="n">
        <x:v>9</x:v>
      </x:c>
      <x:c r="L160" s="153" t="b">
        <x:v>1</x:v>
      </x:c>
      <x:c r="M160" s="135" t="str">
        <x:v>Derivar desde BD vía Feature Builder; esta hoja es contrato de referencia</x:v>
      </x:c>
    </x:row>
    <x:row r="161" ht="34" customHeight="1">
      <x:c r="A161" s="133" t="str">
        <x:v>EST-0175</x:v>
      </x:c>
      <x:c r="B161" s="134" t="str">
        <x:v>2026-09-21</x:v>
      </x:c>
      <x:c r="C161" s="134" t="n">
        <x:v>4</x:v>
      </x:c>
      <x:c r="D161" s="134" t="str">
        <x:v>4D</x:v>
      </x:c>
      <x:c r="E161" s="134" t="n">
        <x:v>13.55</x:v>
      </x:c>
      <x:c r="F161" s="134" t="n">
        <x:v>0</x:v>
      </x:c>
      <x:c r="G161" s="134" t="n">
        <x:v>89.97</x:v>
      </x:c>
      <x:c r="H161" s="134" t="n">
        <x:v>6.78</x:v>
      </x:c>
      <x:c r="I161" s="134" t="n">
        <x:v>15.73</x:v>
      </x:c>
      <x:c r="J161" s="134" t="n">
        <x:v>13</x:v>
      </x:c>
      <x:c r="K161" s="134" t="n">
        <x:v>11</x:v>
      </x:c>
      <x:c r="L161" s="153" t="b">
        <x:v>1</x:v>
      </x:c>
      <x:c r="M161" s="135" t="str">
        <x:v>Derivar desde BD vía Feature Builder; esta hoja es contrato de referencia</x:v>
      </x:c>
    </x:row>
    <x:row r="162" ht="34" customHeight="1">
      <x:c r="A162" s="133" t="str">
        <x:v>EST-0176</x:v>
      </x:c>
      <x:c r="B162" s="134" t="str">
        <x:v>2026-09-21</x:v>
      </x:c>
      <x:c r="C162" s="134" t="n">
        <x:v>4</x:v>
      </x:c>
      <x:c r="D162" s="134" t="str">
        <x:v>4D</x:v>
      </x:c>
      <x:c r="E162" s="134" t="n">
        <x:v>15.61</x:v>
      </x:c>
      <x:c r="F162" s="134" t="n">
        <x:v>0</x:v>
      </x:c>
      <x:c r="G162" s="134" t="n">
        <x:v>98.36</x:v>
      </x:c>
      <x:c r="H162" s="134" t="n">
        <x:v>10.77</x:v>
      </x:c>
      <x:c r="I162" s="134" t="n">
        <x:v>20.95</x:v>
      </x:c>
      <x:c r="J162" s="134" t="n">
        <x:v>18</x:v>
      </x:c>
      <x:c r="K162" s="134" t="n">
        <x:v>14</x:v>
      </x:c>
      <x:c r="L162" s="153" t="b">
        <x:v>1</x:v>
      </x:c>
      <x:c r="M162" s="135" t="str">
        <x:v>Derivar desde BD vía Feature Builder; esta hoja es contrato de referencia</x:v>
      </x:c>
    </x:row>
    <x:row r="163" ht="34" customHeight="1">
      <x:c r="A163" s="133" t="str">
        <x:v>EST-0177</x:v>
      </x:c>
      <x:c r="B163" s="134" t="str">
        <x:v>2026-09-21</x:v>
      </x:c>
      <x:c r="C163" s="134" t="n">
        <x:v>4</x:v>
      </x:c>
      <x:c r="D163" s="134" t="str">
        <x:v>4D</x:v>
      </x:c>
      <x:c r="E163" s="134" t="n">
        <x:v>13.6</x:v>
      </x:c>
      <x:c r="F163" s="134" t="n">
        <x:v>0</x:v>
      </x:c>
      <x:c r="G163" s="134" t="n">
        <x:v>95.42</x:v>
      </x:c>
      <x:c r="H163" s="134" t="n">
        <x:v>7.55</x:v>
      </x:c>
      <x:c r="I163" s="134" t="n">
        <x:v>16.74</x:v>
      </x:c>
      <x:c r="J163" s="134" t="n">
        <x:v>16</x:v>
      </x:c>
      <x:c r="K163" s="134" t="n">
        <x:v>11</x:v>
      </x:c>
      <x:c r="L163" s="153" t="b">
        <x:v>1</x:v>
      </x:c>
      <x:c r="M163" s="135" t="str">
        <x:v>Derivar desde BD vía Feature Builder; esta hoja es contrato de referencia</x:v>
      </x:c>
    </x:row>
    <x:row r="164" ht="34" customHeight="1">
      <x:c r="A164" s="133" t="str">
        <x:v>EST-0178</x:v>
      </x:c>
      <x:c r="B164" s="134" t="str">
        <x:v>2026-09-21</x:v>
      </x:c>
      <x:c r="C164" s="134" t="n">
        <x:v>4</x:v>
      </x:c>
      <x:c r="D164" s="134" t="str">
        <x:v>4D</x:v>
      </x:c>
      <x:c r="E164" s="134" t="n">
        <x:v>16.53</x:v>
      </x:c>
      <x:c r="F164" s="134" t="n">
        <x:v>0</x:v>
      </x:c>
      <x:c r="G164" s="134" t="n">
        <x:v>93.25</x:v>
      </x:c>
      <x:c r="H164" s="134" t="n">
        <x:v>5.1</x:v>
      </x:c>
      <x:c r="I164" s="134" t="n">
        <x:v>12.42</x:v>
      </x:c>
      <x:c r="J164" s="134" t="n">
        <x:v>12</x:v>
      </x:c>
      <x:c r="K164" s="134" t="n">
        <x:v>10</x:v>
      </x:c>
      <x:c r="L164" s="153" t="b">
        <x:v>1</x:v>
      </x:c>
      <x:c r="M164" s="135" t="str">
        <x:v>Derivar desde BD vía Feature Builder; esta hoja es contrato de referencia</x:v>
      </x:c>
    </x:row>
    <x:row r="165" ht="34" customHeight="1">
      <x:c r="A165" s="133" t="str">
        <x:v>EST-0179</x:v>
      </x:c>
      <x:c r="B165" s="134" t="str">
        <x:v>2026-09-21</x:v>
      </x:c>
      <x:c r="C165" s="134" t="n">
        <x:v>4</x:v>
      </x:c>
      <x:c r="D165" s="134" t="str">
        <x:v>4D</x:v>
      </x:c>
      <x:c r="E165" s="134" t="n">
        <x:v>13.71</x:v>
      </x:c>
      <x:c r="F165" s="134" t="n">
        <x:v>0</x:v>
      </x:c>
      <x:c r="G165" s="134" t="n">
        <x:v>90.77</x:v>
      </x:c>
      <x:c r="H165" s="134" t="n">
        <x:v>7.88</x:v>
      </x:c>
      <x:c r="I165" s="134" t="n">
        <x:v>12.16</x:v>
      </x:c>
      <x:c r="J165" s="134" t="n">
        <x:v>12</x:v>
      </x:c>
      <x:c r="K165" s="134" t="n">
        <x:v>9</x:v>
      </x:c>
      <x:c r="L165" s="153" t="b">
        <x:v>1</x:v>
      </x:c>
      <x:c r="M165" s="135" t="str">
        <x:v>Derivar desde BD vía Feature Builder; esta hoja es contrato de referencia</x:v>
      </x:c>
    </x:row>
    <x:row r="166" ht="34" customHeight="1">
      <x:c r="A166" s="133" t="str">
        <x:v>EST-0180</x:v>
      </x:c>
      <x:c r="B166" s="134" t="str">
        <x:v>2026-09-21</x:v>
      </x:c>
      <x:c r="C166" s="134" t="n">
        <x:v>4</x:v>
      </x:c>
      <x:c r="D166" s="134" t="str">
        <x:v>4D</x:v>
      </x:c>
      <x:c r="E166" s="134" t="n">
        <x:v>13.71</x:v>
      </x:c>
      <x:c r="F166" s="134" t="n">
        <x:v>0</x:v>
      </x:c>
      <x:c r="G166" s="134" t="n">
        <x:v>88.02</x:v>
      </x:c>
      <x:c r="H166" s="134" t="n">
        <x:v>6.36</x:v>
      </x:c>
      <x:c r="I166" s="134" t="n">
        <x:v>13.72</x:v>
      </x:c>
      <x:c r="J166" s="134" t="n">
        <x:v>14</x:v>
      </x:c>
      <x:c r="K166" s="134" t="n">
        <x:v>9</x:v>
      </x:c>
      <x:c r="L166" s="153" t="b">
        <x:v>1</x:v>
      </x:c>
      <x:c r="M166" s="135" t="str">
        <x:v>Derivar desde BD vía Feature Builder; esta hoja es contrato de referencia</x:v>
      </x:c>
    </x:row>
    <x:row r="167" ht="34" customHeight="1">
      <x:c r="A167" s="133" t="str">
        <x:v>EST-0182</x:v>
      </x:c>
      <x:c r="B167" s="134" t="str">
        <x:v>2026-09-21</x:v>
      </x:c>
      <x:c r="C167" s="134" t="n">
        <x:v>4</x:v>
      </x:c>
      <x:c r="D167" s="134" t="str">
        <x:v>4D</x:v>
      </x:c>
      <x:c r="E167" s="134" t="n">
        <x:v>13.36</x:v>
      </x:c>
      <x:c r="F167" s="134" t="n">
        <x:v>0</x:v>
      </x:c>
      <x:c r="G167" s="134" t="n">
        <x:v>88.43</x:v>
      </x:c>
      <x:c r="H167" s="134" t="n">
        <x:v>8.26</x:v>
      </x:c>
      <x:c r="I167" s="134" t="n">
        <x:v>17.53</x:v>
      </x:c>
      <x:c r="J167" s="134" t="n">
        <x:v>14</x:v>
      </x:c>
      <x:c r="K167" s="134" t="n">
        <x:v>12</x:v>
      </x:c>
      <x:c r="L167" s="153" t="b">
        <x:v>1</x:v>
      </x:c>
      <x:c r="M167" s="135" t="str">
        <x:v>Derivar desde BD vía Feature Builder; esta hoja es contrato de referencia</x:v>
      </x:c>
    </x:row>
    <x:row r="168" ht="34" customHeight="1">
      <x:c r="A168" s="133" t="str">
        <x:v>EST-0183</x:v>
      </x:c>
      <x:c r="B168" s="134" t="str">
        <x:v>2026-09-21</x:v>
      </x:c>
      <x:c r="C168" s="134" t="n">
        <x:v>4</x:v>
      </x:c>
      <x:c r="D168" s="134" t="str">
        <x:v>4D</x:v>
      </x:c>
      <x:c r="E168" s="134" t="n">
        <x:v>14.97</x:v>
      </x:c>
      <x:c r="F168" s="134" t="n">
        <x:v>0</x:v>
      </x:c>
      <x:c r="G168" s="134" t="n">
        <x:v>94.36</x:v>
      </x:c>
      <x:c r="H168" s="134" t="n">
        <x:v>9.85</x:v>
      </x:c>
      <x:c r="I168" s="134" t="n">
        <x:v>17.68</x:v>
      </x:c>
      <x:c r="J168" s="134" t="n">
        <x:v>16</x:v>
      </x:c>
      <x:c r="K168" s="134" t="n">
        <x:v>15</x:v>
      </x:c>
      <x:c r="L168" s="153" t="b">
        <x:v>1</x:v>
      </x:c>
      <x:c r="M168" s="135" t="str">
        <x:v>Derivar desde BD vía Feature Builder; esta hoja es contrato de referencia</x:v>
      </x:c>
    </x:row>
    <x:row r="169" ht="34" customHeight="1">
      <x:c r="A169" s="133" t="str">
        <x:v>EST-0184</x:v>
      </x:c>
      <x:c r="B169" s="134" t="str">
        <x:v>2026-09-21</x:v>
      </x:c>
      <x:c r="C169" s="134" t="n">
        <x:v>4</x:v>
      </x:c>
      <x:c r="D169" s="134" t="str">
        <x:v>4D</x:v>
      </x:c>
      <x:c r="E169" s="134" t="n">
        <x:v>14.98</x:v>
      </x:c>
      <x:c r="F169" s="134" t="n">
        <x:v>0</x:v>
      </x:c>
      <x:c r="G169" s="134" t="n">
        <x:v>99.09</x:v>
      </x:c>
      <x:c r="H169" s="134" t="n">
        <x:v>7.49</x:v>
      </x:c>
      <x:c r="I169" s="134" t="n">
        <x:v>15.2</x:v>
      </x:c>
      <x:c r="J169" s="134" t="n">
        <x:v>13</x:v>
      </x:c>
      <x:c r="K169" s="134" t="n">
        <x:v>11</x:v>
      </x:c>
      <x:c r="L169" s="153" t="b">
        <x:v>1</x:v>
      </x:c>
      <x:c r="M169" s="135" t="str">
        <x:v>Derivar desde BD vía Feature Builder; esta hoja es contrato de referencia</x:v>
      </x:c>
    </x:row>
    <x:row r="170" ht="34" customHeight="1">
      <x:c r="A170" s="133" t="str">
        <x:v>EST-0185</x:v>
      </x:c>
      <x:c r="B170" s="134" t="str">
        <x:v>2026-09-21</x:v>
      </x:c>
      <x:c r="C170" s="134" t="n">
        <x:v>5</x:v>
      </x:c>
      <x:c r="D170" s="134" t="str">
        <x:v>5A</x:v>
      </x:c>
      <x:c r="E170" s="134" t="n">
        <x:v>14.34</x:v>
      </x:c>
      <x:c r="F170" s="134" t="n">
        <x:v>0</x:v>
      </x:c>
      <x:c r="G170" s="134" t="n">
        <x:v>88.29</x:v>
      </x:c>
      <x:c r="H170" s="134" t="n">
        <x:v>7.86</x:v>
      </x:c>
      <x:c r="I170" s="134" t="n">
        <x:v>14.64</x:v>
      </x:c>
      <x:c r="J170" s="134" t="n">
        <x:v>12</x:v>
      </x:c>
      <x:c r="K170" s="134" t="n">
        <x:v>10</x:v>
      </x:c>
      <x:c r="L170" s="153" t="b">
        <x:v>1</x:v>
      </x:c>
      <x:c r="M170" s="135" t="str">
        <x:v>Derivar desde BD vía Feature Builder; esta hoja es contrato de referencia</x:v>
      </x:c>
    </x:row>
    <x:row r="171" ht="34" customHeight="1">
      <x:c r="A171" s="133" t="str">
        <x:v>EST-0186</x:v>
      </x:c>
      <x:c r="B171" s="134" t="str">
        <x:v>2026-09-21</x:v>
      </x:c>
      <x:c r="C171" s="134" t="n">
        <x:v>5</x:v>
      </x:c>
      <x:c r="D171" s="134" t="str">
        <x:v>5A</x:v>
      </x:c>
      <x:c r="E171" s="134" t="n">
        <x:v>14.71</x:v>
      </x:c>
      <x:c r="F171" s="134" t="n">
        <x:v>0</x:v>
      </x:c>
      <x:c r="G171" s="134" t="n">
        <x:v>90.14</x:v>
      </x:c>
      <x:c r="H171" s="134" t="n">
        <x:v>7.19</x:v>
      </x:c>
      <x:c r="I171" s="134" t="n">
        <x:v>11.16</x:v>
      </x:c>
      <x:c r="J171" s="134" t="n">
        <x:v>12</x:v>
      </x:c>
      <x:c r="K171" s="134" t="n">
        <x:v>10</x:v>
      </x:c>
      <x:c r="L171" s="153" t="b">
        <x:v>1</x:v>
      </x:c>
      <x:c r="M171" s="135" t="str">
        <x:v>Derivar desde BD vía Feature Builder; esta hoja es contrato de referencia</x:v>
      </x:c>
    </x:row>
    <x:row r="172" ht="34" customHeight="1">
      <x:c r="A172" s="133" t="str">
        <x:v>EST-0187</x:v>
      </x:c>
      <x:c r="B172" s="134" t="str">
        <x:v>2026-09-21</x:v>
      </x:c>
      <x:c r="C172" s="134" t="n">
        <x:v>5</x:v>
      </x:c>
      <x:c r="D172" s="134" t="str">
        <x:v>5A</x:v>
      </x:c>
      <x:c r="E172" s="134" t="n">
        <x:v>12.48</x:v>
      </x:c>
      <x:c r="F172" s="134" t="n">
        <x:v>0</x:v>
      </x:c>
      <x:c r="G172" s="134" t="n">
        <x:v>91.39</x:v>
      </x:c>
      <x:c r="H172" s="134" t="n">
        <x:v>6.44</x:v>
      </x:c>
      <x:c r="I172" s="134" t="n">
        <x:v>11.07</x:v>
      </x:c>
      <x:c r="J172" s="134" t="n">
        <x:v>13</x:v>
      </x:c>
      <x:c r="K172" s="134" t="n">
        <x:v>9</x:v>
      </x:c>
      <x:c r="L172" s="153" t="b">
        <x:v>1</x:v>
      </x:c>
      <x:c r="M172" s="135" t="str">
        <x:v>Derivar desde BD vía Feature Builder; esta hoja es contrato de referencia</x:v>
      </x:c>
    </x:row>
    <x:row r="173" ht="34" customHeight="1">
      <x:c r="A173" s="133" t="str">
        <x:v>EST-0188</x:v>
      </x:c>
      <x:c r="B173" s="134" t="str">
        <x:v>2026-09-21</x:v>
      </x:c>
      <x:c r="C173" s="134" t="n">
        <x:v>5</x:v>
      </x:c>
      <x:c r="D173" s="134" t="str">
        <x:v>5A</x:v>
      </x:c>
      <x:c r="E173" s="134" t="n">
        <x:v>11.89</x:v>
      </x:c>
      <x:c r="F173" s="134" t="n">
        <x:v>0</x:v>
      </x:c>
      <x:c r="G173" s="134" t="n">
        <x:v>84.29</x:v>
      </x:c>
      <x:c r="H173" s="134" t="n">
        <x:v>6.59</x:v>
      </x:c>
      <x:c r="I173" s="134" t="n">
        <x:v>13.05</x:v>
      </x:c>
      <x:c r="J173" s="134" t="n">
        <x:v>12</x:v>
      </x:c>
      <x:c r="K173" s="134" t="n">
        <x:v>11</x:v>
      </x:c>
      <x:c r="L173" s="153" t="b">
        <x:v>1</x:v>
      </x:c>
      <x:c r="M173" s="135" t="str">
        <x:v>Derivar desde BD vía Feature Builder; esta hoja es contrato de referencia</x:v>
      </x:c>
    </x:row>
    <x:row r="174" ht="34" customHeight="1">
      <x:c r="A174" s="133" t="str">
        <x:v>EST-0189</x:v>
      </x:c>
      <x:c r="B174" s="134" t="str">
        <x:v>2026-09-21</x:v>
      </x:c>
      <x:c r="C174" s="134" t="n">
        <x:v>5</x:v>
      </x:c>
      <x:c r="D174" s="134" t="str">
        <x:v>5A</x:v>
      </x:c>
      <x:c r="E174" s="134" t="n">
        <x:v>13.6</x:v>
      </x:c>
      <x:c r="F174" s="134" t="n">
        <x:v>0</x:v>
      </x:c>
      <x:c r="G174" s="134" t="n">
        <x:v>91.71</x:v>
      </x:c>
      <x:c r="H174" s="134" t="n">
        <x:v>8.42</x:v>
      </x:c>
      <x:c r="I174" s="134" t="n">
        <x:v>16.24</x:v>
      </x:c>
      <x:c r="J174" s="134" t="n">
        <x:v>16</x:v>
      </x:c>
      <x:c r="K174" s="134" t="n">
        <x:v>10</x:v>
      </x:c>
      <x:c r="L174" s="153" t="b">
        <x:v>1</x:v>
      </x:c>
      <x:c r="M174" s="135" t="str">
        <x:v>Derivar desde BD vía Feature Builder; esta hoja es contrato de referencia</x:v>
      </x:c>
    </x:row>
    <x:row r="175" ht="34" customHeight="1">
      <x:c r="A175" s="133" t="str">
        <x:v>EST-0190</x:v>
      </x:c>
      <x:c r="B175" s="134" t="str">
        <x:v>2026-09-21</x:v>
      </x:c>
      <x:c r="C175" s="134" t="n">
        <x:v>5</x:v>
      </x:c>
      <x:c r="D175" s="134" t="str">
        <x:v>5A</x:v>
      </x:c>
      <x:c r="E175" s="134" t="n">
        <x:v>14.55</x:v>
      </x:c>
      <x:c r="F175" s="134" t="n">
        <x:v>0</x:v>
      </x:c>
      <x:c r="G175" s="134" t="n">
        <x:v>97.69</x:v>
      </x:c>
      <x:c r="H175" s="134" t="n">
        <x:v>9.25</x:v>
      </x:c>
      <x:c r="I175" s="134" t="n">
        <x:v>18.42</x:v>
      </x:c>
      <x:c r="J175" s="134" t="n">
        <x:v>16</x:v>
      </x:c>
      <x:c r="K175" s="134" t="n">
        <x:v>13</x:v>
      </x:c>
      <x:c r="L175" s="153" t="b">
        <x:v>1</x:v>
      </x:c>
      <x:c r="M175" s="135" t="str">
        <x:v>Derivar desde BD vía Feature Builder; esta hoja es contrato de referencia</x:v>
      </x:c>
    </x:row>
    <x:row r="176" ht="34" customHeight="1">
      <x:c r="A176" s="133" t="str">
        <x:v>EST-0191</x:v>
      </x:c>
      <x:c r="B176" s="134" t="str">
        <x:v>2026-09-21</x:v>
      </x:c>
      <x:c r="C176" s="134" t="n">
        <x:v>5</x:v>
      </x:c>
      <x:c r="D176" s="134" t="str">
        <x:v>5A</x:v>
      </x:c>
      <x:c r="E176" s="134" t="n">
        <x:v>16.82</x:v>
      </x:c>
      <x:c r="F176" s="134" t="n">
        <x:v>0</x:v>
      </x:c>
      <x:c r="G176" s="134" t="n">
        <x:v>93.16</x:v>
      </x:c>
      <x:c r="H176" s="134" t="n">
        <x:v>8.23</x:v>
      </x:c>
      <x:c r="I176" s="134" t="n">
        <x:v>15.37</x:v>
      </x:c>
      <x:c r="J176" s="134" t="n">
        <x:v>16</x:v>
      </x:c>
      <x:c r="K176" s="134" t="n">
        <x:v>12</x:v>
      </x:c>
      <x:c r="L176" s="153" t="b">
        <x:v>1</x:v>
      </x:c>
      <x:c r="M176" s="135" t="str">
        <x:v>Derivar desde BD vía Feature Builder; esta hoja es contrato de referencia</x:v>
      </x:c>
    </x:row>
    <x:row r="177" ht="34" customHeight="1">
      <x:c r="A177" s="133" t="str">
        <x:v>EST-0193</x:v>
      </x:c>
      <x:c r="B177" s="134" t="str">
        <x:v>2026-09-21</x:v>
      </x:c>
      <x:c r="C177" s="134" t="n">
        <x:v>5</x:v>
      </x:c>
      <x:c r="D177" s="134" t="str">
        <x:v>5A</x:v>
      </x:c>
      <x:c r="E177" s="134" t="n">
        <x:v>14.84</x:v>
      </x:c>
      <x:c r="F177" s="134" t="n">
        <x:v>0</x:v>
      </x:c>
      <x:c r="G177" s="134" t="n">
        <x:v>97.76</x:v>
      </x:c>
      <x:c r="H177" s="134" t="n">
        <x:v>7.9</x:v>
      </x:c>
      <x:c r="I177" s="134" t="n">
        <x:v>14.26</x:v>
      </x:c>
      <x:c r="J177" s="134" t="n">
        <x:v>16</x:v>
      </x:c>
      <x:c r="K177" s="134" t="n">
        <x:v>10</x:v>
      </x:c>
      <x:c r="L177" s="153" t="b">
        <x:v>1</x:v>
      </x:c>
      <x:c r="M177" s="135" t="str">
        <x:v>Derivar desde BD vía Feature Builder; esta hoja es contrato de referencia</x:v>
      </x:c>
    </x:row>
    <x:row r="178" ht="34" customHeight="1">
      <x:c r="A178" s="133" t="str">
        <x:v>EST-0194</x:v>
      </x:c>
      <x:c r="B178" s="134" t="str">
        <x:v>2026-09-21</x:v>
      </x:c>
      <x:c r="C178" s="134" t="n">
        <x:v>5</x:v>
      </x:c>
      <x:c r="D178" s="134" t="str">
        <x:v>5A</x:v>
      </x:c>
      <x:c r="E178" s="134" t="n">
        <x:v>14.28</x:v>
      </x:c>
      <x:c r="F178" s="134" t="n">
        <x:v>0</x:v>
      </x:c>
      <x:c r="G178" s="134" t="n">
        <x:v>86.82</x:v>
      </x:c>
      <x:c r="H178" s="134" t="n">
        <x:v>9.48</x:v>
      </x:c>
      <x:c r="I178" s="134" t="n">
        <x:v>16.16</x:v>
      </x:c>
      <x:c r="J178" s="134" t="n">
        <x:v>15</x:v>
      </x:c>
      <x:c r="K178" s="134" t="n">
        <x:v>11</x:v>
      </x:c>
      <x:c r="L178" s="153" t="b">
        <x:v>1</x:v>
      </x:c>
      <x:c r="M178" s="135" t="str">
        <x:v>Derivar desde BD vía Feature Builder; esta hoja es contrato de referencia</x:v>
      </x:c>
    </x:row>
    <x:row r="179" ht="34" customHeight="1">
      <x:c r="A179" s="133" t="str">
        <x:v>EST-0195</x:v>
      </x:c>
      <x:c r="B179" s="134" t="str">
        <x:v>2026-09-21</x:v>
      </x:c>
      <x:c r="C179" s="134" t="n">
        <x:v>5</x:v>
      </x:c>
      <x:c r="D179" s="134" t="str">
        <x:v>5A</x:v>
      </x:c>
      <x:c r="E179" s="134" t="n">
        <x:v>14.75</x:v>
      </x:c>
      <x:c r="F179" s="134" t="n">
        <x:v>0</x:v>
      </x:c>
      <x:c r="G179" s="134" t="n">
        <x:v>92.96</x:v>
      </x:c>
      <x:c r="H179" s="134" t="n">
        <x:v>7.33</x:v>
      </x:c>
      <x:c r="I179" s="134" t="n">
        <x:v>14.35</x:v>
      </x:c>
      <x:c r="J179" s="134" t="n">
        <x:v>14</x:v>
      </x:c>
      <x:c r="K179" s="134" t="n">
        <x:v>9</x:v>
      </x:c>
      <x:c r="L179" s="153" t="b">
        <x:v>1</x:v>
      </x:c>
      <x:c r="M179" s="135" t="str">
        <x:v>Derivar desde BD vía Feature Builder; esta hoja es contrato de referencia</x:v>
      </x:c>
    </x:row>
    <x:row r="180" ht="34" customHeight="1">
      <x:c r="A180" s="133" t="str">
        <x:v>EST-0196</x:v>
      </x:c>
      <x:c r="B180" s="134" t="str">
        <x:v>2026-09-21</x:v>
      </x:c>
      <x:c r="C180" s="134" t="n">
        <x:v>5</x:v>
      </x:c>
      <x:c r="D180" s="134" t="str">
        <x:v>5B</x:v>
      </x:c>
      <x:c r="E180" s="134" t="n">
        <x:v>13.12</x:v>
      </x:c>
      <x:c r="F180" s="134" t="n">
        <x:v>0</x:v>
      </x:c>
      <x:c r="G180" s="134" t="n">
        <x:v>94.08</x:v>
      </x:c>
      <x:c r="H180" s="134" t="n">
        <x:v>6.45</x:v>
      </x:c>
      <x:c r="I180" s="134" t="n">
        <x:v>13.9</x:v>
      </x:c>
      <x:c r="J180" s="134" t="n">
        <x:v>14</x:v>
      </x:c>
      <x:c r="K180" s="134" t="n">
        <x:v>13</x:v>
      </x:c>
      <x:c r="L180" s="153" t="b">
        <x:v>1</x:v>
      </x:c>
      <x:c r="M180" s="135" t="str">
        <x:v>Derivar desde BD vía Feature Builder; esta hoja es contrato de referencia</x:v>
      </x:c>
    </x:row>
    <x:row r="181" ht="34" customHeight="1">
      <x:c r="A181" s="133" t="str">
        <x:v>EST-0197</x:v>
      </x:c>
      <x:c r="B181" s="134" t="str">
        <x:v>2026-09-21</x:v>
      </x:c>
      <x:c r="C181" s="134" t="n">
        <x:v>5</x:v>
      </x:c>
      <x:c r="D181" s="134" t="str">
        <x:v>5B</x:v>
      </x:c>
      <x:c r="E181" s="134" t="n">
        <x:v>14.32</x:v>
      </x:c>
      <x:c r="F181" s="134" t="n">
        <x:v>0</x:v>
      </x:c>
      <x:c r="G181" s="134" t="n">
        <x:v>90.5</x:v>
      </x:c>
      <x:c r="H181" s="134" t="n">
        <x:v>7.23</x:v>
      </x:c>
      <x:c r="I181" s="134" t="n">
        <x:v>14.19</x:v>
      </x:c>
      <x:c r="J181" s="134" t="n">
        <x:v>16</x:v>
      </x:c>
      <x:c r="K181" s="134" t="n">
        <x:v>10</x:v>
      </x:c>
      <x:c r="L181" s="153" t="b">
        <x:v>1</x:v>
      </x:c>
      <x:c r="M181" s="135" t="str">
        <x:v>Derivar desde BD vía Feature Builder; esta hoja es contrato de referencia</x:v>
      </x:c>
    </x:row>
    <x:row r="182" ht="34" customHeight="1">
      <x:c r="A182" s="133" t="str">
        <x:v>EST-0198</x:v>
      </x:c>
      <x:c r="B182" s="134" t="str">
        <x:v>2026-09-21</x:v>
      </x:c>
      <x:c r="C182" s="134" t="n">
        <x:v>5</x:v>
      </x:c>
      <x:c r="D182" s="134" t="str">
        <x:v>5B</x:v>
      </x:c>
      <x:c r="E182" s="134" t="n">
        <x:v>13.44</x:v>
      </x:c>
      <x:c r="F182" s="134" t="n">
        <x:v>0</x:v>
      </x:c>
      <x:c r="G182" s="134" t="n">
        <x:v>89.91</x:v>
      </x:c>
      <x:c r="H182" s="134" t="n">
        <x:v>4.18</x:v>
      </x:c>
      <x:c r="I182" s="134" t="n">
        <x:v>10.01</x:v>
      </x:c>
      <x:c r="J182" s="134" t="n">
        <x:v>10</x:v>
      </x:c>
      <x:c r="K182" s="134" t="n">
        <x:v>8</x:v>
      </x:c>
      <x:c r="L182" s="153" t="b">
        <x:v>1</x:v>
      </x:c>
      <x:c r="M182" s="135" t="str">
        <x:v>Derivar desde BD vía Feature Builder; esta hoja es contrato de referencia</x:v>
      </x:c>
    </x:row>
    <x:row r="183" ht="34" customHeight="1">
      <x:c r="A183" s="133" t="str">
        <x:v>EST-0199</x:v>
      </x:c>
      <x:c r="B183" s="134" t="str">
        <x:v>2026-09-21</x:v>
      </x:c>
      <x:c r="C183" s="134" t="n">
        <x:v>5</x:v>
      </x:c>
      <x:c r="D183" s="134" t="str">
        <x:v>5B</x:v>
      </x:c>
      <x:c r="E183" s="134" t="n">
        <x:v>14.24</x:v>
      </x:c>
      <x:c r="F183" s="134" t="n">
        <x:v>0</x:v>
      </x:c>
      <x:c r="G183" s="134" t="n">
        <x:v>93.53</x:v>
      </x:c>
      <x:c r="H183" s="134" t="n">
        <x:v>5.33</x:v>
      </x:c>
      <x:c r="I183" s="134" t="n">
        <x:v>12</x:v>
      </x:c>
      <x:c r="J183" s="134" t="n">
        <x:v>11</x:v>
      </x:c>
      <x:c r="K183" s="134" t="n">
        <x:v>10</x:v>
      </x:c>
      <x:c r="L183" s="153" t="b">
        <x:v>1</x:v>
      </x:c>
      <x:c r="M183" s="135" t="str">
        <x:v>Derivar desde BD vía Feature Builder; esta hoja es contrato de referencia</x:v>
      </x:c>
    </x:row>
    <x:row r="184" ht="34" customHeight="1">
      <x:c r="A184" s="133" t="str">
        <x:v>EST-0200</x:v>
      </x:c>
      <x:c r="B184" s="134" t="str">
        <x:v>2026-09-21</x:v>
      </x:c>
      <x:c r="C184" s="134" t="n">
        <x:v>5</x:v>
      </x:c>
      <x:c r="D184" s="134" t="str">
        <x:v>5B</x:v>
      </x:c>
      <x:c r="E184" s="134" t="n">
        <x:v>17.52</x:v>
      </x:c>
      <x:c r="F184" s="134" t="n">
        <x:v>0</x:v>
      </x:c>
      <x:c r="G184" s="134" t="n">
        <x:v>91.76</x:v>
      </x:c>
      <x:c r="H184" s="134" t="n">
        <x:v>7.73</x:v>
      </x:c>
      <x:c r="I184" s="134" t="n">
        <x:v>14.67</x:v>
      </x:c>
      <x:c r="J184" s="134" t="n">
        <x:v>17</x:v>
      </x:c>
      <x:c r="K184" s="134" t="n">
        <x:v>14</x:v>
      </x:c>
      <x:c r="L184" s="153" t="b">
        <x:v>1</x:v>
      </x:c>
      <x:c r="M184" s="135" t="str">
        <x:v>Derivar desde BD vía Feature Builder; esta hoja es contrato de referencia</x:v>
      </x:c>
    </x:row>
    <x:row r="185" ht="34" customHeight="1">
      <x:c r="A185" s="133" t="str">
        <x:v>EST-0201</x:v>
      </x:c>
      <x:c r="B185" s="134" t="str">
        <x:v>2026-09-21</x:v>
      </x:c>
      <x:c r="C185" s="134" t="n">
        <x:v>5</x:v>
      </x:c>
      <x:c r="D185" s="134" t="str">
        <x:v>5B</x:v>
      </x:c>
      <x:c r="E185" s="134" t="n">
        <x:v>14.65</x:v>
      </x:c>
      <x:c r="F185" s="134" t="n">
        <x:v>0</x:v>
      </x:c>
      <x:c r="G185" s="134" t="n">
        <x:v>93.61</x:v>
      </x:c>
      <x:c r="H185" s="134" t="n">
        <x:v>8.61</x:v>
      </x:c>
      <x:c r="I185" s="134" t="n">
        <x:v>16.1</x:v>
      </x:c>
      <x:c r="J185" s="134" t="n">
        <x:v>14</x:v>
      </x:c>
      <x:c r="K185" s="134" t="n">
        <x:v>11</x:v>
      </x:c>
      <x:c r="L185" s="153" t="b">
        <x:v>1</x:v>
      </x:c>
      <x:c r="M185" s="135" t="str">
        <x:v>Derivar desde BD vía Feature Builder; esta hoja es contrato de referencia</x:v>
      </x:c>
    </x:row>
    <x:row r="186" ht="34" customHeight="1">
      <x:c r="A186" s="133" t="str">
        <x:v>EST-0202</x:v>
      </x:c>
      <x:c r="B186" s="134" t="str">
        <x:v>2026-09-21</x:v>
      </x:c>
      <x:c r="C186" s="134" t="n">
        <x:v>5</x:v>
      </x:c>
      <x:c r="D186" s="134" t="str">
        <x:v>5B</x:v>
      </x:c>
      <x:c r="E186" s="134" t="n">
        <x:v>17.99</x:v>
      </x:c>
      <x:c r="F186" s="134" t="n">
        <x:v>0</x:v>
      </x:c>
      <x:c r="G186" s="134" t="n">
        <x:v>94.94</x:v>
      </x:c>
      <x:c r="H186" s="134" t="n">
        <x:v>9.3</x:v>
      </x:c>
      <x:c r="I186" s="134" t="n">
        <x:v>20.85</x:v>
      </x:c>
      <x:c r="J186" s="134" t="n">
        <x:v>16</x:v>
      </x:c>
      <x:c r="K186" s="134" t="n">
        <x:v>12</x:v>
      </x:c>
      <x:c r="L186" s="153" t="b">
        <x:v>1</x:v>
      </x:c>
      <x:c r="M186" s="135" t="str">
        <x:v>Derivar desde BD vía Feature Builder; esta hoja es contrato de referencia</x:v>
      </x:c>
    </x:row>
    <x:row r="187" ht="34" customHeight="1">
      <x:c r="A187" s="133" t="str">
        <x:v>EST-0204</x:v>
      </x:c>
      <x:c r="B187" s="134" t="str">
        <x:v>2026-09-21</x:v>
      </x:c>
      <x:c r="C187" s="134" t="n">
        <x:v>5</x:v>
      </x:c>
      <x:c r="D187" s="134" t="str">
        <x:v>5B</x:v>
      </x:c>
      <x:c r="E187" s="134" t="n">
        <x:v>16.72</x:v>
      </x:c>
      <x:c r="F187" s="134" t="n">
        <x:v>0</x:v>
      </x:c>
      <x:c r="G187" s="134" t="n">
        <x:v>94.82</x:v>
      </x:c>
      <x:c r="H187" s="134" t="n">
        <x:v>9.17</x:v>
      </x:c>
      <x:c r="I187" s="134" t="n">
        <x:v>17.27</x:v>
      </x:c>
      <x:c r="J187" s="134" t="n">
        <x:v>14</x:v>
      </x:c>
      <x:c r="K187" s="134" t="n">
        <x:v>11</x:v>
      </x:c>
      <x:c r="L187" s="153" t="b">
        <x:v>1</x:v>
      </x:c>
      <x:c r="M187" s="135" t="str">
        <x:v>Derivar desde BD vía Feature Builder; esta hoja es contrato de referencia</x:v>
      </x:c>
    </x:row>
    <x:row r="188" ht="34" customHeight="1">
      <x:c r="A188" s="133" t="str">
        <x:v>EST-0205</x:v>
      </x:c>
      <x:c r="B188" s="134" t="str">
        <x:v>2026-09-21</x:v>
      </x:c>
      <x:c r="C188" s="134" t="n">
        <x:v>5</x:v>
      </x:c>
      <x:c r="D188" s="134" t="str">
        <x:v>5B</x:v>
      </x:c>
      <x:c r="E188" s="134" t="n">
        <x:v>14.78</x:v>
      </x:c>
      <x:c r="F188" s="134" t="n">
        <x:v>0</x:v>
      </x:c>
      <x:c r="G188" s="134" t="n">
        <x:v>93.31</x:v>
      </x:c>
      <x:c r="H188" s="134" t="n">
        <x:v>5.75</x:v>
      </x:c>
      <x:c r="I188" s="134" t="n">
        <x:v>13.9</x:v>
      </x:c>
      <x:c r="J188" s="134" t="n">
        <x:v>11</x:v>
      </x:c>
      <x:c r="K188" s="134" t="n">
        <x:v>11</x:v>
      </x:c>
      <x:c r="L188" s="153" t="b">
        <x:v>1</x:v>
      </x:c>
      <x:c r="M188" s="135" t="str">
        <x:v>Derivar desde BD vía Feature Builder; esta hoja es contrato de referencia</x:v>
      </x:c>
    </x:row>
    <x:row r="189" ht="34" customHeight="1">
      <x:c r="A189" s="133" t="str">
        <x:v>EST-0206</x:v>
      </x:c>
      <x:c r="B189" s="134" t="str">
        <x:v>2026-09-21</x:v>
      </x:c>
      <x:c r="C189" s="134" t="n">
        <x:v>5</x:v>
      </x:c>
      <x:c r="D189" s="134" t="str">
        <x:v>5B</x:v>
      </x:c>
      <x:c r="E189" s="134" t="n">
        <x:v>17.61</x:v>
      </x:c>
      <x:c r="F189" s="134" t="n">
        <x:v>0</x:v>
      </x:c>
      <x:c r="G189" s="134" t="n">
        <x:v>88.68</x:v>
      </x:c>
      <x:c r="H189" s="134" t="n">
        <x:v>7.02</x:v>
      </x:c>
      <x:c r="I189" s="134" t="n">
        <x:v>13.17</x:v>
      </x:c>
      <x:c r="J189" s="134" t="n">
        <x:v>13</x:v>
      </x:c>
      <x:c r="K189" s="134" t="n">
        <x:v>8</x:v>
      </x:c>
      <x:c r="L189" s="153" t="b">
        <x:v>1</x:v>
      </x:c>
      <x:c r="M189" s="135" t="str">
        <x:v>Derivar desde BD vía Feature Builder; esta hoja es contrato de referencia</x:v>
      </x:c>
    </x:row>
    <x:row r="190" ht="34" customHeight="1">
      <x:c r="A190" s="133" t="str">
        <x:v>EST-0207</x:v>
      </x:c>
      <x:c r="B190" s="134" t="str">
        <x:v>2026-09-21</x:v>
      </x:c>
      <x:c r="C190" s="134" t="n">
        <x:v>5</x:v>
      </x:c>
      <x:c r="D190" s="134" t="str">
        <x:v>5C</x:v>
      </x:c>
      <x:c r="E190" s="134" t="n">
        <x:v>14.92</x:v>
      </x:c>
      <x:c r="F190" s="134" t="n">
        <x:v>0</x:v>
      </x:c>
      <x:c r="G190" s="134" t="n">
        <x:v>90.4</x:v>
      </x:c>
      <x:c r="H190" s="134" t="n">
        <x:v>4.84</x:v>
      </x:c>
      <x:c r="I190" s="134" t="n">
        <x:v>8.77</x:v>
      </x:c>
      <x:c r="J190" s="134" t="n">
        <x:v>12</x:v>
      </x:c>
      <x:c r="K190" s="134" t="n">
        <x:v>7</x:v>
      </x:c>
      <x:c r="L190" s="153" t="b">
        <x:v>1</x:v>
      </x:c>
      <x:c r="M190" s="135" t="str">
        <x:v>Derivar desde BD vía Feature Builder; esta hoja es contrato de referencia</x:v>
      </x:c>
    </x:row>
    <x:row r="191" ht="34" customHeight="1">
      <x:c r="A191" s="133" t="str">
        <x:v>EST-0208</x:v>
      </x:c>
      <x:c r="B191" s="134" t="str">
        <x:v>2026-09-21</x:v>
      </x:c>
      <x:c r="C191" s="134" t="n">
        <x:v>5</x:v>
      </x:c>
      <x:c r="D191" s="134" t="str">
        <x:v>5C</x:v>
      </x:c>
      <x:c r="E191" s="134" t="n">
        <x:v>14.79</x:v>
      </x:c>
      <x:c r="F191" s="134" t="n">
        <x:v>0</x:v>
      </x:c>
      <x:c r="G191" s="134" t="n">
        <x:v>99.5</x:v>
      </x:c>
      <x:c r="H191" s="134" t="n">
        <x:v>6.3</x:v>
      </x:c>
      <x:c r="I191" s="134" t="n">
        <x:v>12.88</x:v>
      </x:c>
      <x:c r="J191" s="134" t="n">
        <x:v>14</x:v>
      </x:c>
      <x:c r="K191" s="134" t="n">
        <x:v>10</x:v>
      </x:c>
      <x:c r="L191" s="153" t="b">
        <x:v>1</x:v>
      </x:c>
      <x:c r="M191" s="135" t="str">
        <x:v>Derivar desde BD vía Feature Builder; esta hoja es contrato de referencia</x:v>
      </x:c>
    </x:row>
    <x:row r="192" ht="34" customHeight="1">
      <x:c r="A192" s="133" t="str">
        <x:v>EST-0209</x:v>
      </x:c>
      <x:c r="B192" s="134" t="str">
        <x:v>2026-09-21</x:v>
      </x:c>
      <x:c r="C192" s="134" t="n">
        <x:v>5</x:v>
      </x:c>
      <x:c r="D192" s="134" t="str">
        <x:v>5C</x:v>
      </x:c>
      <x:c r="E192" s="134" t="n">
        <x:v>16.06</x:v>
      </x:c>
      <x:c r="F192" s="134" t="n">
        <x:v>0</x:v>
      </x:c>
      <x:c r="G192" s="134" t="n">
        <x:v>92.72</x:v>
      </x:c>
      <x:c r="H192" s="134" t="n">
        <x:v>9.02</x:v>
      </x:c>
      <x:c r="I192" s="134" t="n">
        <x:v>16.19</x:v>
      </x:c>
      <x:c r="J192" s="134" t="n">
        <x:v>17</x:v>
      </x:c>
      <x:c r="K192" s="134" t="n">
        <x:v>13</x:v>
      </x:c>
      <x:c r="L192" s="153" t="b">
        <x:v>1</x:v>
      </x:c>
      <x:c r="M192" s="135" t="str">
        <x:v>Derivar desde BD vía Feature Builder; esta hoja es contrato de referencia</x:v>
      </x:c>
    </x:row>
    <x:row r="193" ht="34" customHeight="1">
      <x:c r="A193" s="133" t="str">
        <x:v>EST-0210</x:v>
      </x:c>
      <x:c r="B193" s="134" t="str">
        <x:v>2026-09-21</x:v>
      </x:c>
      <x:c r="C193" s="134" t="n">
        <x:v>5</x:v>
      </x:c>
      <x:c r="D193" s="134" t="str">
        <x:v>5C</x:v>
      </x:c>
      <x:c r="E193" s="134" t="n">
        <x:v>15.05</x:v>
      </x:c>
      <x:c r="F193" s="134" t="n">
        <x:v>0</x:v>
      </x:c>
      <x:c r="G193" s="134" t="n">
        <x:v>97.73</x:v>
      </x:c>
      <x:c r="H193" s="134" t="n">
        <x:v>10.67</x:v>
      </x:c>
      <x:c r="I193" s="134" t="n">
        <x:v>18.29</x:v>
      </x:c>
      <x:c r="J193" s="134" t="n">
        <x:v>19</x:v>
      </x:c>
      <x:c r="K193" s="134" t="n">
        <x:v>13</x:v>
      </x:c>
      <x:c r="L193" s="153" t="b">
        <x:v>1</x:v>
      </x:c>
      <x:c r="M193" s="135" t="str">
        <x:v>Derivar desde BD vía Feature Builder; esta hoja es contrato de referencia</x:v>
      </x:c>
    </x:row>
    <x:row r="194" ht="34" customHeight="1">
      <x:c r="A194" s="133" t="str">
        <x:v>EST-0211</x:v>
      </x:c>
      <x:c r="B194" s="134" t="str">
        <x:v>2026-09-21</x:v>
      </x:c>
      <x:c r="C194" s="134" t="n">
        <x:v>5</x:v>
      </x:c>
      <x:c r="D194" s="134" t="str">
        <x:v>5C</x:v>
      </x:c>
      <x:c r="E194" s="134" t="n">
        <x:v>11.95</x:v>
      </x:c>
      <x:c r="F194" s="134" t="n">
        <x:v>1</x:v>
      </x:c>
      <x:c r="G194" s="134" t="n">
        <x:v>84.93</x:v>
      </x:c>
      <x:c r="H194" s="134" t="n">
        <x:v>8.42</x:v>
      </x:c>
      <x:c r="I194" s="134" t="n">
        <x:v>17.03</x:v>
      </x:c>
      <x:c r="J194" s="134" t="n">
        <x:v>14</x:v>
      </x:c>
      <x:c r="K194" s="134" t="n">
        <x:v>13</x:v>
      </x:c>
      <x:c r="L194" s="153" t="b">
        <x:v>1</x:v>
      </x:c>
      <x:c r="M194" s="135" t="str">
        <x:v>Derivar desde BD vía Feature Builder; esta hoja es contrato de referencia</x:v>
      </x:c>
    </x:row>
    <x:row r="195" ht="34" customHeight="1">
      <x:c r="A195" s="133" t="str">
        <x:v>EST-0212</x:v>
      </x:c>
      <x:c r="B195" s="134" t="str">
        <x:v>2026-09-21</x:v>
      </x:c>
      <x:c r="C195" s="134" t="n">
        <x:v>5</x:v>
      </x:c>
      <x:c r="D195" s="134" t="str">
        <x:v>5C</x:v>
      </x:c>
      <x:c r="E195" s="134" t="n">
        <x:v>11.89</x:v>
      </x:c>
      <x:c r="F195" s="134" t="n">
        <x:v>0</x:v>
      </x:c>
      <x:c r="G195" s="134" t="n">
        <x:v>97.54</x:v>
      </x:c>
      <x:c r="H195" s="134" t="n">
        <x:v>6.01</x:v>
      </x:c>
      <x:c r="I195" s="134" t="n">
        <x:v>13.79</x:v>
      </x:c>
      <x:c r="J195" s="134" t="n">
        <x:v>14</x:v>
      </x:c>
      <x:c r="K195" s="134" t="n">
        <x:v>11</x:v>
      </x:c>
      <x:c r="L195" s="153" t="b">
        <x:v>1</x:v>
      </x:c>
      <x:c r="M195" s="135" t="str">
        <x:v>Derivar desde BD vía Feature Builder; esta hoja es contrato de referencia</x:v>
      </x:c>
    </x:row>
    <x:row r="196" ht="34" customHeight="1">
      <x:c r="A196" s="133" t="str">
        <x:v>EST-0213</x:v>
      </x:c>
      <x:c r="B196" s="134" t="str">
        <x:v>2026-09-21</x:v>
      </x:c>
      <x:c r="C196" s="134" t="n">
        <x:v>5</x:v>
      </x:c>
      <x:c r="D196" s="134" t="str">
        <x:v>5C</x:v>
      </x:c>
      <x:c r="E196" s="134" t="n">
        <x:v>16.89</x:v>
      </x:c>
      <x:c r="F196" s="134" t="n">
        <x:v>0</x:v>
      </x:c>
      <x:c r="G196" s="134" t="n">
        <x:v>89.28</x:v>
      </x:c>
      <x:c r="H196" s="134" t="n">
        <x:v>8.11</x:v>
      </x:c>
      <x:c r="I196" s="134" t="n">
        <x:v>16.13</x:v>
      </x:c>
      <x:c r="J196" s="134" t="n">
        <x:v>16</x:v>
      </x:c>
      <x:c r="K196" s="134" t="n">
        <x:v>10</x:v>
      </x:c>
      <x:c r="L196" s="153" t="b">
        <x:v>1</x:v>
      </x:c>
      <x:c r="M196" s="135" t="str">
        <x:v>Derivar desde BD vía Feature Builder; esta hoja es contrato de referencia</x:v>
      </x:c>
    </x:row>
    <x:row r="197" ht="34" customHeight="1">
      <x:c r="A197" s="133" t="str">
        <x:v>EST-0215</x:v>
      </x:c>
      <x:c r="B197" s="134" t="str">
        <x:v>2026-09-21</x:v>
      </x:c>
      <x:c r="C197" s="134" t="n">
        <x:v>5</x:v>
      </x:c>
      <x:c r="D197" s="134" t="str">
        <x:v>5C</x:v>
      </x:c>
      <x:c r="E197" s="134" t="n">
        <x:v>15.45</x:v>
      </x:c>
      <x:c r="F197" s="134" t="n">
        <x:v>0</x:v>
      </x:c>
      <x:c r="G197" s="134" t="n">
        <x:v>97.71</x:v>
      </x:c>
      <x:c r="H197" s="134" t="n">
        <x:v>9.21</x:v>
      </x:c>
      <x:c r="I197" s="134" t="n">
        <x:v>15.65</x:v>
      </x:c>
      <x:c r="J197" s="134" t="n">
        <x:v>15</x:v>
      </x:c>
      <x:c r="K197" s="134" t="n">
        <x:v>12</x:v>
      </x:c>
      <x:c r="L197" s="153" t="b">
        <x:v>1</x:v>
      </x:c>
      <x:c r="M197" s="135" t="str">
        <x:v>Derivar desde BD vía Feature Builder; esta hoja es contrato de referencia</x:v>
      </x:c>
    </x:row>
    <x:row r="198" ht="34" customHeight="1">
      <x:c r="A198" s="133" t="str">
        <x:v>EST-0216</x:v>
      </x:c>
      <x:c r="B198" s="134" t="str">
        <x:v>2026-09-21</x:v>
      </x:c>
      <x:c r="C198" s="134" t="n">
        <x:v>5</x:v>
      </x:c>
      <x:c r="D198" s="134" t="str">
        <x:v>5C</x:v>
      </x:c>
      <x:c r="E198" s="134" t="n">
        <x:v>15.43</x:v>
      </x:c>
      <x:c r="F198" s="134" t="n">
        <x:v>0</x:v>
      </x:c>
      <x:c r="G198" s="134" t="n">
        <x:v>94.27</x:v>
      </x:c>
      <x:c r="H198" s="134" t="n">
        <x:v>8.24</x:v>
      </x:c>
      <x:c r="I198" s="134" t="n">
        <x:v>17.58</x:v>
      </x:c>
      <x:c r="J198" s="134" t="n">
        <x:v>16</x:v>
      </x:c>
      <x:c r="K198" s="134" t="n">
        <x:v>11</x:v>
      </x:c>
      <x:c r="L198" s="153" t="b">
        <x:v>1</x:v>
      </x:c>
      <x:c r="M198" s="135" t="str">
        <x:v>Derivar desde BD vía Feature Builder; esta hoja es contrato de referencia</x:v>
      </x:c>
    </x:row>
    <x:row r="199" ht="34" customHeight="1">
      <x:c r="A199" s="133" t="str">
        <x:v>EST-0217</x:v>
      </x:c>
      <x:c r="B199" s="134" t="str">
        <x:v>2026-09-21</x:v>
      </x:c>
      <x:c r="C199" s="134" t="n">
        <x:v>5</x:v>
      </x:c>
      <x:c r="D199" s="134" t="str">
        <x:v>5C</x:v>
      </x:c>
      <x:c r="E199" s="134" t="n">
        <x:v>15.27</x:v>
      </x:c>
      <x:c r="F199" s="134" t="n">
        <x:v>0</x:v>
      </x:c>
      <x:c r="G199" s="134" t="n">
        <x:v>98.86</x:v>
      </x:c>
      <x:c r="H199" s="134" t="n">
        <x:v>7.49</x:v>
      </x:c>
      <x:c r="I199" s="134" t="n">
        <x:v>16.03</x:v>
      </x:c>
      <x:c r="J199" s="134" t="n">
        <x:v>16</x:v>
      </x:c>
      <x:c r="K199" s="134" t="n">
        <x:v>14</x:v>
      </x:c>
      <x:c r="L199" s="153" t="b">
        <x:v>1</x:v>
      </x:c>
      <x:c r="M199" s="135" t="str">
        <x:v>Derivar desde BD vía Feature Builder; esta hoja es contrato de referencia</x:v>
      </x:c>
    </x:row>
    <x:row r="200" ht="34" customHeight="1">
      <x:c r="A200" s="133" t="str">
        <x:v>EST-0218</x:v>
      </x:c>
      <x:c r="B200" s="134" t="str">
        <x:v>2026-09-21</x:v>
      </x:c>
      <x:c r="C200" s="134" t="n">
        <x:v>6</x:v>
      </x:c>
      <x:c r="D200" s="134" t="str">
        <x:v>6A</x:v>
      </x:c>
      <x:c r="E200" s="134" t="n">
        <x:v>15.88</x:v>
      </x:c>
      <x:c r="F200" s="134" t="n">
        <x:v>0</x:v>
      </x:c>
      <x:c r="G200" s="134" t="n">
        <x:v>91.41</x:v>
      </x:c>
      <x:c r="H200" s="134" t="n">
        <x:v>7.75</x:v>
      </x:c>
      <x:c r="I200" s="134" t="n">
        <x:v>16.42</x:v>
      </x:c>
      <x:c r="J200" s="134" t="n">
        <x:v>14</x:v>
      </x:c>
      <x:c r="K200" s="134" t="n">
        <x:v>13</x:v>
      </x:c>
      <x:c r="L200" s="153" t="b">
        <x:v>1</x:v>
      </x:c>
      <x:c r="M200" s="135" t="str">
        <x:v>Derivar desde BD vía Feature Builder; esta hoja es contrato de referencia</x:v>
      </x:c>
    </x:row>
    <x:row r="201" ht="34" customHeight="1">
      <x:c r="A201" s="133" t="str">
        <x:v>EST-0219</x:v>
      </x:c>
      <x:c r="B201" s="134" t="str">
        <x:v>2026-09-21</x:v>
      </x:c>
      <x:c r="C201" s="134" t="n">
        <x:v>6</x:v>
      </x:c>
      <x:c r="D201" s="134" t="str">
        <x:v>6A</x:v>
      </x:c>
      <x:c r="E201" s="134" t="n">
        <x:v>13.23</x:v>
      </x:c>
      <x:c r="F201" s="134" t="n">
        <x:v>0</x:v>
      </x:c>
      <x:c r="G201" s="134" t="n">
        <x:v>95.93</x:v>
      </x:c>
      <x:c r="H201" s="134" t="n">
        <x:v>6.71</x:v>
      </x:c>
      <x:c r="I201" s="134" t="n">
        <x:v>11.59</x:v>
      </x:c>
      <x:c r="J201" s="134" t="n">
        <x:v>13</x:v>
      </x:c>
      <x:c r="K201" s="134" t="n">
        <x:v>8</x:v>
      </x:c>
      <x:c r="L201" s="153" t="b">
        <x:v>1</x:v>
      </x:c>
      <x:c r="M201" s="135" t="str">
        <x:v>Derivar desde BD vía Feature Builder; esta hoja es contrato de referencia</x:v>
      </x:c>
    </x:row>
    <x:row r="202" ht="34" customHeight="1">
      <x:c r="A202" s="133" t="str">
        <x:v>EST-0220</x:v>
      </x:c>
      <x:c r="B202" s="134" t="str">
        <x:v>2026-09-21</x:v>
      </x:c>
      <x:c r="C202" s="134" t="n">
        <x:v>6</x:v>
      </x:c>
      <x:c r="D202" s="134" t="str">
        <x:v>6A</x:v>
      </x:c>
      <x:c r="E202" s="134" t="n">
        <x:v>10.19</x:v>
      </x:c>
      <x:c r="F202" s="134" t="n">
        <x:v>1</x:v>
      </x:c>
      <x:c r="G202" s="134" t="n">
        <x:v>88.42</x:v>
      </x:c>
      <x:c r="H202" s="134" t="n">
        <x:v>7.63</x:v>
      </x:c>
      <x:c r="I202" s="134" t="n">
        <x:v>13.99</x:v>
      </x:c>
      <x:c r="J202" s="134" t="n">
        <x:v>16</x:v>
      </x:c>
      <x:c r="K202" s="134" t="n">
        <x:v>11</x:v>
      </x:c>
      <x:c r="L202" s="153" t="b">
        <x:v>1</x:v>
      </x:c>
      <x:c r="M202" s="135" t="str">
        <x:v>Derivar desde BD vía Feature Builder; esta hoja es contrato de referencia</x:v>
      </x:c>
    </x:row>
    <x:row r="203" ht="34" customHeight="1">
      <x:c r="A203" s="133" t="str">
        <x:v>EST-0221</x:v>
      </x:c>
      <x:c r="B203" s="134" t="str">
        <x:v>2026-09-21</x:v>
      </x:c>
      <x:c r="C203" s="134" t="n">
        <x:v>6</x:v>
      </x:c>
      <x:c r="D203" s="134" t="str">
        <x:v>6A</x:v>
      </x:c>
      <x:c r="E203" s="134" t="n">
        <x:v>15.79</x:v>
      </x:c>
      <x:c r="F203" s="134" t="n">
        <x:v>0</x:v>
      </x:c>
      <x:c r="G203" s="134" t="n">
        <x:v>93.3</x:v>
      </x:c>
      <x:c r="H203" s="134" t="n">
        <x:v>7.29</x:v>
      </x:c>
      <x:c r="I203" s="134" t="n">
        <x:v>15.92</x:v>
      </x:c>
      <x:c r="J203" s="134" t="n">
        <x:v>14</x:v>
      </x:c>
      <x:c r="K203" s="134" t="n">
        <x:v>12</x:v>
      </x:c>
      <x:c r="L203" s="153" t="b">
        <x:v>1</x:v>
      </x:c>
      <x:c r="M203" s="135" t="str">
        <x:v>Derivar desde BD vía Feature Builder; esta hoja es contrato de referencia</x:v>
      </x:c>
    </x:row>
    <x:row r="204" ht="34" customHeight="1">
      <x:c r="A204" s="133" t="str">
        <x:v>EST-0222</x:v>
      </x:c>
      <x:c r="B204" s="134" t="str">
        <x:v>2026-09-21</x:v>
      </x:c>
      <x:c r="C204" s="134" t="n">
        <x:v>6</x:v>
      </x:c>
      <x:c r="D204" s="134" t="str">
        <x:v>6A</x:v>
      </x:c>
      <x:c r="E204" s="134" t="n">
        <x:v>17.11</x:v>
      </x:c>
      <x:c r="F204" s="134" t="n">
        <x:v>0</x:v>
      </x:c>
      <x:c r="G204" s="134" t="n">
        <x:v>86.7</x:v>
      </x:c>
      <x:c r="H204" s="134" t="n">
        <x:v>7.24</x:v>
      </x:c>
      <x:c r="I204" s="134" t="n">
        <x:v>12.89</x:v>
      </x:c>
      <x:c r="J204" s="134" t="n">
        <x:v>12</x:v>
      </x:c>
      <x:c r="K204" s="134" t="n">
        <x:v>11</x:v>
      </x:c>
      <x:c r="L204" s="153" t="b">
        <x:v>1</x:v>
      </x:c>
      <x:c r="M204" s="135" t="str">
        <x:v>Derivar desde BD vía Feature Builder; esta hoja es contrato de referencia</x:v>
      </x:c>
    </x:row>
    <x:row r="205" ht="34" customHeight="1">
      <x:c r="A205" s="133" t="str">
        <x:v>EST-0223</x:v>
      </x:c>
      <x:c r="B205" s="134" t="str">
        <x:v>2026-09-21</x:v>
      </x:c>
      <x:c r="C205" s="134" t="n">
        <x:v>6</x:v>
      </x:c>
      <x:c r="D205" s="134" t="str">
        <x:v>6A</x:v>
      </x:c>
      <x:c r="E205" s="134" t="n">
        <x:v>16.57</x:v>
      </x:c>
      <x:c r="F205" s="134" t="n">
        <x:v>0</x:v>
      </x:c>
      <x:c r="G205" s="134" t="n">
        <x:v>97.41</x:v>
      </x:c>
      <x:c r="H205" s="134" t="n">
        <x:v>8.16</x:v>
      </x:c>
      <x:c r="I205" s="134" t="n">
        <x:v>14.14</x:v>
      </x:c>
      <x:c r="J205" s="134" t="n">
        <x:v>15</x:v>
      </x:c>
      <x:c r="K205" s="134" t="n">
        <x:v>13</x:v>
      </x:c>
      <x:c r="L205" s="153" t="b">
        <x:v>1</x:v>
      </x:c>
      <x:c r="M205" s="135" t="str">
        <x:v>Derivar desde BD vía Feature Builder; esta hoja es contrato de referencia</x:v>
      </x:c>
    </x:row>
    <x:row r="206" ht="34" customHeight="1">
      <x:c r="A206" s="133" t="str">
        <x:v>EST-0224</x:v>
      </x:c>
      <x:c r="B206" s="134" t="str">
        <x:v>2026-09-21</x:v>
      </x:c>
      <x:c r="C206" s="134" t="n">
        <x:v>6</x:v>
      </x:c>
      <x:c r="D206" s="134" t="str">
        <x:v>6A</x:v>
      </x:c>
      <x:c r="E206" s="134" t="n">
        <x:v>13.18</x:v>
      </x:c>
      <x:c r="F206" s="134" t="n">
        <x:v>0</x:v>
      </x:c>
      <x:c r="G206" s="134" t="n">
        <x:v>92.43</x:v>
      </x:c>
      <x:c r="H206" s="134" t="n">
        <x:v>6.94</x:v>
      </x:c>
      <x:c r="I206" s="134" t="n">
        <x:v>15.9</x:v>
      </x:c>
      <x:c r="J206" s="134" t="n">
        <x:v>16</x:v>
      </x:c>
      <x:c r="K206" s="134" t="n">
        <x:v>10</x:v>
      </x:c>
      <x:c r="L206" s="153" t="b">
        <x:v>1</x:v>
      </x:c>
      <x:c r="M206" s="135" t="str">
        <x:v>Derivar desde BD vía Feature Builder; esta hoja es contrato de referencia</x:v>
      </x:c>
    </x:row>
    <x:row r="207" ht="34" customHeight="1">
      <x:c r="A207" s="133" t="str">
        <x:v>EST-0226</x:v>
      </x:c>
      <x:c r="B207" s="134" t="str">
        <x:v>2026-09-21</x:v>
      </x:c>
      <x:c r="C207" s="134" t="n">
        <x:v>6</x:v>
      </x:c>
      <x:c r="D207" s="134" t="str">
        <x:v>6A</x:v>
      </x:c>
      <x:c r="E207" s="134" t="n">
        <x:v>13.85</x:v>
      </x:c>
      <x:c r="F207" s="134" t="n">
        <x:v>0</x:v>
      </x:c>
      <x:c r="G207" s="134" t="n">
        <x:v>96.73</x:v>
      </x:c>
      <x:c r="H207" s="134" t="n">
        <x:v>6.38</x:v>
      </x:c>
      <x:c r="I207" s="134" t="n">
        <x:v>8.62</x:v>
      </x:c>
      <x:c r="J207" s="134" t="n">
        <x:v>10</x:v>
      </x:c>
      <x:c r="K207" s="134" t="n">
        <x:v>8</x:v>
      </x:c>
      <x:c r="L207" s="153" t="b">
        <x:v>1</x:v>
      </x:c>
      <x:c r="M207" s="135" t="str">
        <x:v>Derivar desde BD vía Feature Builder; esta hoja es contrato de referencia</x:v>
      </x:c>
    </x:row>
    <x:row r="208" ht="34" customHeight="1">
      <x:c r="A208" s="133" t="str">
        <x:v>EST-0227</x:v>
      </x:c>
      <x:c r="B208" s="134" t="str">
        <x:v>2026-09-21</x:v>
      </x:c>
      <x:c r="C208" s="134" t="n">
        <x:v>6</x:v>
      </x:c>
      <x:c r="D208" s="134" t="str">
        <x:v>6A</x:v>
      </x:c>
      <x:c r="E208" s="134" t="n">
        <x:v>18.03</x:v>
      </x:c>
      <x:c r="F208" s="134" t="n">
        <x:v>0</x:v>
      </x:c>
      <x:c r="G208" s="134" t="n">
        <x:v>99.5</x:v>
      </x:c>
      <x:c r="H208" s="134" t="n">
        <x:v>8.42</x:v>
      </x:c>
      <x:c r="I208" s="134" t="n">
        <x:v>15.31</x:v>
      </x:c>
      <x:c r="J208" s="134" t="n">
        <x:v>16</x:v>
      </x:c>
      <x:c r="K208" s="134" t="n">
        <x:v>11</x:v>
      </x:c>
      <x:c r="L208" s="153" t="b">
        <x:v>1</x:v>
      </x:c>
      <x:c r="M208" s="135" t="str">
        <x:v>Derivar desde BD vía Feature Builder; esta hoja es contrato de referencia</x:v>
      </x:c>
    </x:row>
    <x:row r="209" ht="34" customHeight="1">
      <x:c r="A209" s="133" t="str">
        <x:v>EST-0228</x:v>
      </x:c>
      <x:c r="B209" s="134" t="str">
        <x:v>2026-09-21</x:v>
      </x:c>
      <x:c r="C209" s="134" t="n">
        <x:v>6</x:v>
      </x:c>
      <x:c r="D209" s="134" t="str">
        <x:v>6A</x:v>
      </x:c>
      <x:c r="E209" s="134" t="n">
        <x:v>14.57</x:v>
      </x:c>
      <x:c r="F209" s="134" t="n">
        <x:v>0</x:v>
      </x:c>
      <x:c r="G209" s="134" t="n">
        <x:v>86.23</x:v>
      </x:c>
      <x:c r="H209" s="134" t="n">
        <x:v>8.11</x:v>
      </x:c>
      <x:c r="I209" s="134" t="n">
        <x:v>15.23</x:v>
      </x:c>
      <x:c r="J209" s="134" t="n">
        <x:v>13</x:v>
      </x:c>
      <x:c r="K209" s="134" t="n">
        <x:v>11</x:v>
      </x:c>
      <x:c r="L209" s="153" t="b">
        <x:v>1</x:v>
      </x:c>
      <x:c r="M209" s="135" t="str">
        <x:v>Derivar desde BD vía Feature Builder; esta hoja es contrato de referencia</x:v>
      </x:c>
    </x:row>
    <x:row r="210" ht="34" customHeight="1">
      <x:c r="A210" s="133" t="str">
        <x:v>EST-0229</x:v>
      </x:c>
      <x:c r="B210" s="134" t="str">
        <x:v>2026-09-21</x:v>
      </x:c>
      <x:c r="C210" s="134" t="n">
        <x:v>6</x:v>
      </x:c>
      <x:c r="D210" s="134" t="str">
        <x:v>6B</x:v>
      </x:c>
      <x:c r="E210" s="134" t="n">
        <x:v>16.26</x:v>
      </x:c>
      <x:c r="F210" s="134" t="n">
        <x:v>0</x:v>
      </x:c>
      <x:c r="G210" s="134" t="n">
        <x:v>99.35</x:v>
      </x:c>
      <x:c r="H210" s="134" t="n">
        <x:v>7.14</x:v>
      </x:c>
      <x:c r="I210" s="134" t="n">
        <x:v>14.35</x:v>
      </x:c>
      <x:c r="J210" s="134" t="n">
        <x:v>14</x:v>
      </x:c>
      <x:c r="K210" s="134" t="n">
        <x:v>13</x:v>
      </x:c>
      <x:c r="L210" s="153" t="b">
        <x:v>1</x:v>
      </x:c>
      <x:c r="M210" s="135" t="str">
        <x:v>Derivar desde BD vía Feature Builder; esta hoja es contrato de referencia</x:v>
      </x:c>
    </x:row>
    <x:row r="211" ht="34" customHeight="1">
      <x:c r="A211" s="133" t="str">
        <x:v>EST-0230</x:v>
      </x:c>
      <x:c r="B211" s="134" t="str">
        <x:v>2026-09-21</x:v>
      </x:c>
      <x:c r="C211" s="134" t="n">
        <x:v>6</x:v>
      </x:c>
      <x:c r="D211" s="134" t="str">
        <x:v>6B</x:v>
      </x:c>
      <x:c r="E211" s="134" t="n">
        <x:v>17.45</x:v>
      </x:c>
      <x:c r="F211" s="134" t="n">
        <x:v>0</x:v>
      </x:c>
      <x:c r="G211" s="134" t="n">
        <x:v>87.8</x:v>
      </x:c>
      <x:c r="H211" s="134" t="n">
        <x:v>9.13</x:v>
      </x:c>
      <x:c r="I211" s="134" t="n">
        <x:v>16.65</x:v>
      </x:c>
      <x:c r="J211" s="134" t="n">
        <x:v>16</x:v>
      </x:c>
      <x:c r="K211" s="134" t="n">
        <x:v>11</x:v>
      </x:c>
      <x:c r="L211" s="153" t="b">
        <x:v>1</x:v>
      </x:c>
      <x:c r="M211" s="135" t="str">
        <x:v>Derivar desde BD vía Feature Builder; esta hoja es contrato de referencia</x:v>
      </x:c>
    </x:row>
    <x:row r="212" ht="34" customHeight="1">
      <x:c r="A212" s="133" t="str">
        <x:v>EST-0231</x:v>
      </x:c>
      <x:c r="B212" s="134" t="str">
        <x:v>2026-09-21</x:v>
      </x:c>
      <x:c r="C212" s="134" t="n">
        <x:v>6</x:v>
      </x:c>
      <x:c r="D212" s="134" t="str">
        <x:v>6B</x:v>
      </x:c>
      <x:c r="E212" s="134" t="n">
        <x:v>16.09</x:v>
      </x:c>
      <x:c r="F212" s="134" t="n">
        <x:v>0</x:v>
      </x:c>
      <x:c r="G212" s="134" t="n">
        <x:v>85.94</x:v>
      </x:c>
      <x:c r="H212" s="134" t="n">
        <x:v>8.86</x:v>
      </x:c>
      <x:c r="I212" s="134" t="n">
        <x:v>17.35</x:v>
      </x:c>
      <x:c r="J212" s="134" t="n">
        <x:v>17</x:v>
      </x:c>
      <x:c r="K212" s="134" t="n">
        <x:v>13</x:v>
      </x:c>
      <x:c r="L212" s="153" t="b">
        <x:v>1</x:v>
      </x:c>
      <x:c r="M212" s="135" t="str">
        <x:v>Derivar desde BD vía Feature Builder; esta hoja es contrato de referencia</x:v>
      </x:c>
    </x:row>
    <x:row r="213" ht="34" customHeight="1">
      <x:c r="A213" s="133" t="str">
        <x:v>EST-0232</x:v>
      </x:c>
      <x:c r="B213" s="134" t="str">
        <x:v>2026-09-21</x:v>
      </x:c>
      <x:c r="C213" s="134" t="n">
        <x:v>6</x:v>
      </x:c>
      <x:c r="D213" s="134" t="str">
        <x:v>6B</x:v>
      </x:c>
      <x:c r="E213" s="134" t="n">
        <x:v>16.27</x:v>
      </x:c>
      <x:c r="F213" s="134" t="n">
        <x:v>0</x:v>
      </x:c>
      <x:c r="G213" s="134" t="n">
        <x:v>83.69</x:v>
      </x:c>
      <x:c r="H213" s="134" t="n">
        <x:v>6.51</x:v>
      </x:c>
      <x:c r="I213" s="134" t="n">
        <x:v>11.92</x:v>
      </x:c>
      <x:c r="J213" s="134" t="n">
        <x:v>12</x:v>
      </x:c>
      <x:c r="K213" s="134" t="n">
        <x:v>10</x:v>
      </x:c>
      <x:c r="L213" s="153" t="b">
        <x:v>1</x:v>
      </x:c>
      <x:c r="M213" s="135" t="str">
        <x:v>Derivar desde BD vía Feature Builder; esta hoja es contrato de referencia</x:v>
      </x:c>
    </x:row>
    <x:row r="214" ht="34" customHeight="1">
      <x:c r="A214" s="133" t="str">
        <x:v>EST-0233</x:v>
      </x:c>
      <x:c r="B214" s="134" t="str">
        <x:v>2026-09-21</x:v>
      </x:c>
      <x:c r="C214" s="134" t="n">
        <x:v>6</x:v>
      </x:c>
      <x:c r="D214" s="134" t="str">
        <x:v>6B</x:v>
      </x:c>
      <x:c r="E214" s="134" t="n">
        <x:v>15.22</x:v>
      </x:c>
      <x:c r="F214" s="134" t="n">
        <x:v>0</x:v>
      </x:c>
      <x:c r="G214" s="134" t="n">
        <x:v>97.25</x:v>
      </x:c>
      <x:c r="H214" s="134" t="n">
        <x:v>8.98</x:v>
      </x:c>
      <x:c r="I214" s="134" t="n">
        <x:v>15.9</x:v>
      </x:c>
      <x:c r="J214" s="134" t="n">
        <x:v>17</x:v>
      </x:c>
      <x:c r="K214" s="134" t="n">
        <x:v>11</x:v>
      </x:c>
      <x:c r="L214" s="153" t="b">
        <x:v>1</x:v>
      </x:c>
      <x:c r="M214" s="135" t="str">
        <x:v>Derivar desde BD vía Feature Builder; esta hoja es contrato de referencia</x:v>
      </x:c>
    </x:row>
    <x:row r="215" ht="34" customHeight="1">
      <x:c r="A215" s="133" t="str">
        <x:v>EST-0234</x:v>
      </x:c>
      <x:c r="B215" s="134" t="str">
        <x:v>2026-09-21</x:v>
      </x:c>
      <x:c r="C215" s="134" t="n">
        <x:v>6</x:v>
      </x:c>
      <x:c r="D215" s="134" t="str">
        <x:v>6B</x:v>
      </x:c>
      <x:c r="E215" s="134" t="n">
        <x:v>15.82</x:v>
      </x:c>
      <x:c r="F215" s="134" t="n">
        <x:v>0</x:v>
      </x:c>
      <x:c r="G215" s="134" t="n">
        <x:v>93.79</x:v>
      </x:c>
      <x:c r="H215" s="134" t="n">
        <x:v>8.73</x:v>
      </x:c>
      <x:c r="I215" s="134" t="n">
        <x:v>17.21</x:v>
      </x:c>
      <x:c r="J215" s="134" t="n">
        <x:v>18</x:v>
      </x:c>
      <x:c r="K215" s="134" t="n">
        <x:v>11</x:v>
      </x:c>
      <x:c r="L215" s="153" t="b">
        <x:v>1</x:v>
      </x:c>
      <x:c r="M215" s="135" t="str">
        <x:v>Derivar desde BD vía Feature Builder; esta hoja es contrato de referencia</x:v>
      </x:c>
    </x:row>
    <x:row r="216" ht="34" customHeight="1">
      <x:c r="A216" s="133" t="str">
        <x:v>EST-0235</x:v>
      </x:c>
      <x:c r="B216" s="134" t="str">
        <x:v>2026-09-21</x:v>
      </x:c>
      <x:c r="C216" s="134" t="n">
        <x:v>6</x:v>
      </x:c>
      <x:c r="D216" s="134" t="str">
        <x:v>6B</x:v>
      </x:c>
      <x:c r="E216" s="134" t="n">
        <x:v>15.54</x:v>
      </x:c>
      <x:c r="F216" s="134" t="n">
        <x:v>0</x:v>
      </x:c>
      <x:c r="G216" s="134" t="n">
        <x:v>97.23</x:v>
      </x:c>
      <x:c r="H216" s="134" t="n">
        <x:v>8.24</x:v>
      </x:c>
      <x:c r="I216" s="134" t="n">
        <x:v>18.16</x:v>
      </x:c>
      <x:c r="J216" s="134" t="n">
        <x:v>17</x:v>
      </x:c>
      <x:c r="K216" s="134" t="n">
        <x:v>12</x:v>
      </x:c>
      <x:c r="L216" s="153" t="b">
        <x:v>1</x:v>
      </x:c>
      <x:c r="M216" s="135" t="str">
        <x:v>Derivar desde BD vía Feature Builder; esta hoja es contrato de referencia</x:v>
      </x:c>
    </x:row>
    <x:row r="217" ht="34" customHeight="1">
      <x:c r="A217" s="133" t="str">
        <x:v>EST-0237</x:v>
      </x:c>
      <x:c r="B217" s="134" t="str">
        <x:v>2026-09-21</x:v>
      </x:c>
      <x:c r="C217" s="134" t="n">
        <x:v>6</x:v>
      </x:c>
      <x:c r="D217" s="134" t="str">
        <x:v>6B</x:v>
      </x:c>
      <x:c r="E217" s="134" t="n">
        <x:v>16.63</x:v>
      </x:c>
      <x:c r="F217" s="134" t="n">
        <x:v>0</x:v>
      </x:c>
      <x:c r="G217" s="134" t="n">
        <x:v>92.95</x:v>
      </x:c>
      <x:c r="H217" s="134" t="n">
        <x:v>9.44</x:v>
      </x:c>
      <x:c r="I217" s="134" t="n">
        <x:v>15.76</x:v>
      </x:c>
      <x:c r="J217" s="134" t="n">
        <x:v>17</x:v>
      </x:c>
      <x:c r="K217" s="134" t="n">
        <x:v>14</x:v>
      </x:c>
      <x:c r="L217" s="153" t="b">
        <x:v>1</x:v>
      </x:c>
      <x:c r="M217" s="135" t="str">
        <x:v>Derivar desde BD vía Feature Builder; esta hoja es contrato de referencia</x:v>
      </x:c>
    </x:row>
    <x:row r="218" ht="34" customHeight="1">
      <x:c r="A218" s="133" t="str">
        <x:v>EST-0238</x:v>
      </x:c>
      <x:c r="B218" s="134" t="str">
        <x:v>2026-09-21</x:v>
      </x:c>
      <x:c r="C218" s="134" t="n">
        <x:v>6</x:v>
      </x:c>
      <x:c r="D218" s="134" t="str">
        <x:v>6B</x:v>
      </x:c>
      <x:c r="E218" s="134" t="n">
        <x:v>13.86</x:v>
      </x:c>
      <x:c r="F218" s="134" t="n">
        <x:v>0</x:v>
      </x:c>
      <x:c r="G218" s="134" t="n">
        <x:v>96.51</x:v>
      </x:c>
      <x:c r="H218" s="134" t="n">
        <x:v>9.58</x:v>
      </x:c>
      <x:c r="I218" s="134" t="n">
        <x:v>18.37</x:v>
      </x:c>
      <x:c r="J218" s="134" t="n">
        <x:v>17</x:v>
      </x:c>
      <x:c r="K218" s="134" t="n">
        <x:v>16</x:v>
      </x:c>
      <x:c r="L218" s="153" t="b">
        <x:v>1</x:v>
      </x:c>
      <x:c r="M218" s="135" t="str">
        <x:v>Derivar desde BD vía Feature Builder; esta hoja es contrato de referencia</x:v>
      </x:c>
    </x:row>
    <x:row r="219" ht="34" customHeight="1">
      <x:c r="A219" s="133" t="str">
        <x:v>EST-0239</x:v>
      </x:c>
      <x:c r="B219" s="134" t="str">
        <x:v>2026-09-21</x:v>
      </x:c>
      <x:c r="C219" s="134" t="n">
        <x:v>6</x:v>
      </x:c>
      <x:c r="D219" s="134" t="str">
        <x:v>6B</x:v>
      </x:c>
      <x:c r="E219" s="134" t="n">
        <x:v>15.86</x:v>
      </x:c>
      <x:c r="F219" s="134" t="n">
        <x:v>0</x:v>
      </x:c>
      <x:c r="G219" s="134" t="n">
        <x:v>85.74</x:v>
      </x:c>
      <x:c r="H219" s="134" t="n">
        <x:v>8.01</x:v>
      </x:c>
      <x:c r="I219" s="134" t="n">
        <x:v>13.11</x:v>
      </x:c>
      <x:c r="J219" s="134" t="n">
        <x:v>12</x:v>
      </x:c>
      <x:c r="K219" s="134" t="n">
        <x:v>10</x:v>
      </x:c>
      <x:c r="L219" s="153" t="b">
        <x:v>1</x:v>
      </x:c>
      <x:c r="M219" s="135" t="str">
        <x:v>Derivar desde BD vía Feature Builder; esta hoja es contrato de referencia</x:v>
      </x:c>
    </x:row>
    <x:row r="220" ht="34" customHeight="1">
      <x:c r="A220" s="133" t="str">
        <x:v>EST-0240</x:v>
      </x:c>
      <x:c r="B220" s="134" t="str">
        <x:v>2026-09-21</x:v>
      </x:c>
      <x:c r="C220" s="134" t="n">
        <x:v>6</x:v>
      </x:c>
      <x:c r="D220" s="134" t="str">
        <x:v>6C</x:v>
      </x:c>
      <x:c r="E220" s="134" t="n">
        <x:v>16.22</x:v>
      </x:c>
      <x:c r="F220" s="134" t="n">
        <x:v>0</x:v>
      </x:c>
      <x:c r="G220" s="134" t="n">
        <x:v>99.5</x:v>
      </x:c>
      <x:c r="H220" s="134" t="n">
        <x:v>6.08</x:v>
      </x:c>
      <x:c r="I220" s="134" t="n">
        <x:v>13.45</x:v>
      </x:c>
      <x:c r="J220" s="134" t="n">
        <x:v>12</x:v>
      </x:c>
      <x:c r="K220" s="134" t="n">
        <x:v>11</x:v>
      </x:c>
      <x:c r="L220" s="153" t="b">
        <x:v>1</x:v>
      </x:c>
      <x:c r="M220" s="135" t="str">
        <x:v>Derivar desde BD vía Feature Builder; esta hoja es contrato de referencia</x:v>
      </x:c>
    </x:row>
    <x:row r="221" ht="34" customHeight="1">
      <x:c r="A221" s="133" t="str">
        <x:v>EST-0241</x:v>
      </x:c>
      <x:c r="B221" s="134" t="str">
        <x:v>2026-09-21</x:v>
      </x:c>
      <x:c r="C221" s="134" t="n">
        <x:v>6</x:v>
      </x:c>
      <x:c r="D221" s="134" t="str">
        <x:v>6C</x:v>
      </x:c>
      <x:c r="E221" s="134" t="n">
        <x:v>17.7</x:v>
      </x:c>
      <x:c r="F221" s="134" t="n">
        <x:v>0</x:v>
      </x:c>
      <x:c r="G221" s="134" t="n">
        <x:v>97.49</x:v>
      </x:c>
      <x:c r="H221" s="134" t="n">
        <x:v>7.82</x:v>
      </x:c>
      <x:c r="I221" s="134" t="n">
        <x:v>15.07</x:v>
      </x:c>
      <x:c r="J221" s="134" t="n">
        <x:v>15</x:v>
      </x:c>
      <x:c r="K221" s="134" t="n">
        <x:v>13</x:v>
      </x:c>
      <x:c r="L221" s="153" t="b">
        <x:v>1</x:v>
      </x:c>
      <x:c r="M221" s="135" t="str">
        <x:v>Derivar desde BD vía Feature Builder; esta hoja es contrato de referencia</x:v>
      </x:c>
    </x:row>
    <x:row r="222" ht="34" customHeight="1">
      <x:c r="A222" s="133" t="str">
        <x:v>EST-0242</x:v>
      </x:c>
      <x:c r="B222" s="134" t="str">
        <x:v>2026-09-21</x:v>
      </x:c>
      <x:c r="C222" s="134" t="n">
        <x:v>6</x:v>
      </x:c>
      <x:c r="D222" s="134" t="str">
        <x:v>6C</x:v>
      </x:c>
      <x:c r="E222" s="134" t="n">
        <x:v>15.09</x:v>
      </x:c>
      <x:c r="F222" s="134" t="n">
        <x:v>0</x:v>
      </x:c>
      <x:c r="G222" s="134" t="n">
        <x:v>94.97</x:v>
      </x:c>
      <x:c r="H222" s="134" t="n">
        <x:v>9.91</x:v>
      </x:c>
      <x:c r="I222" s="134" t="n">
        <x:v>18.57</x:v>
      </x:c>
      <x:c r="J222" s="134" t="n">
        <x:v>15</x:v>
      </x:c>
      <x:c r="K222" s="134" t="n">
        <x:v>15</x:v>
      </x:c>
      <x:c r="L222" s="153" t="b">
        <x:v>1</x:v>
      </x:c>
      <x:c r="M222" s="135" t="str">
        <x:v>Derivar desde BD vía Feature Builder; esta hoja es contrato de referencia</x:v>
      </x:c>
    </x:row>
    <x:row r="223" ht="34" customHeight="1">
      <x:c r="A223" s="133" t="str">
        <x:v>EST-0243</x:v>
      </x:c>
      <x:c r="B223" s="134" t="str">
        <x:v>2026-09-21</x:v>
      </x:c>
      <x:c r="C223" s="134" t="n">
        <x:v>6</x:v>
      </x:c>
      <x:c r="D223" s="134" t="str">
        <x:v>6C</x:v>
      </x:c>
      <x:c r="E223" s="134" t="n">
        <x:v>16.7</x:v>
      </x:c>
      <x:c r="F223" s="134" t="n">
        <x:v>0</x:v>
      </x:c>
      <x:c r="G223" s="134" t="n">
        <x:v>93.43</x:v>
      </x:c>
      <x:c r="H223" s="134" t="n">
        <x:v>9.82</x:v>
      </x:c>
      <x:c r="I223" s="134" t="n">
        <x:v>18.64</x:v>
      </x:c>
      <x:c r="J223" s="134" t="n">
        <x:v>17</x:v>
      </x:c>
      <x:c r="K223" s="134" t="n">
        <x:v>11</x:v>
      </x:c>
      <x:c r="L223" s="153" t="b">
        <x:v>1</x:v>
      </x:c>
      <x:c r="M223" s="135" t="str">
        <x:v>Derivar desde BD vía Feature Builder; esta hoja es contrato de referencia</x:v>
      </x:c>
    </x:row>
    <x:row r="224" ht="34" customHeight="1">
      <x:c r="A224" s="133" t="str">
        <x:v>EST-0244</x:v>
      </x:c>
      <x:c r="B224" s="134" t="str">
        <x:v>2026-09-21</x:v>
      </x:c>
      <x:c r="C224" s="134" t="n">
        <x:v>6</x:v>
      </x:c>
      <x:c r="D224" s="134" t="str">
        <x:v>6C</x:v>
      </x:c>
      <x:c r="E224" s="134" t="n">
        <x:v>14.56</x:v>
      </x:c>
      <x:c r="F224" s="134" t="n">
        <x:v>0</x:v>
      </x:c>
      <x:c r="G224" s="134" t="n">
        <x:v>95.41</x:v>
      </x:c>
      <x:c r="H224" s="134" t="n">
        <x:v>5.83</x:v>
      </x:c>
      <x:c r="I224" s="134" t="n">
        <x:v>11.3</x:v>
      </x:c>
      <x:c r="J224" s="134" t="n">
        <x:v>15</x:v>
      </x:c>
      <x:c r="K224" s="134" t="n">
        <x:v>11</x:v>
      </x:c>
      <x:c r="L224" s="153" t="b">
        <x:v>1</x:v>
      </x:c>
      <x:c r="M224" s="135" t="str">
        <x:v>Derivar desde BD vía Feature Builder; esta hoja es contrato de referencia</x:v>
      </x:c>
    </x:row>
    <x:row r="225" ht="34" customHeight="1">
      <x:c r="A225" s="133" t="str">
        <x:v>EST-0245</x:v>
      </x:c>
      <x:c r="B225" s="134" t="str">
        <x:v>2026-09-21</x:v>
      </x:c>
      <x:c r="C225" s="134" t="n">
        <x:v>6</x:v>
      </x:c>
      <x:c r="D225" s="134" t="str">
        <x:v>6C</x:v>
      </x:c>
      <x:c r="E225" s="134" t="n">
        <x:v>15.81</x:v>
      </x:c>
      <x:c r="F225" s="134" t="n">
        <x:v>0</x:v>
      </x:c>
      <x:c r="G225" s="134" t="n">
        <x:v>99.32</x:v>
      </x:c>
      <x:c r="H225" s="134" t="n">
        <x:v>10.08</x:v>
      </x:c>
      <x:c r="I225" s="134" t="n">
        <x:v>20.76</x:v>
      </x:c>
      <x:c r="J225" s="134" t="n">
        <x:v>17</x:v>
      </x:c>
      <x:c r="K225" s="134" t="n">
        <x:v>14</x:v>
      </x:c>
      <x:c r="L225" s="153" t="b">
        <x:v>1</x:v>
      </x:c>
      <x:c r="M225" s="135" t="str">
        <x:v>Derivar desde BD vía Feature Builder; esta hoja es contrato de referencia</x:v>
      </x:c>
    </x:row>
    <x:row r="226" ht="34" customHeight="1">
      <x:c r="A226" s="133" t="str">
        <x:v>EST-0246</x:v>
      </x:c>
      <x:c r="B226" s="134" t="str">
        <x:v>2026-09-21</x:v>
      </x:c>
      <x:c r="C226" s="134" t="n">
        <x:v>6</x:v>
      </x:c>
      <x:c r="D226" s="134" t="str">
        <x:v>6C</x:v>
      </x:c>
      <x:c r="E226" s="134" t="n">
        <x:v>15.98</x:v>
      </x:c>
      <x:c r="F226" s="134" t="n">
        <x:v>0</x:v>
      </x:c>
      <x:c r="G226" s="134" t="n">
        <x:v>98.45</x:v>
      </x:c>
      <x:c r="H226" s="134" t="n">
        <x:v>6.46</x:v>
      </x:c>
      <x:c r="I226" s="134" t="n">
        <x:v>12.54</x:v>
      </x:c>
      <x:c r="J226" s="134" t="n">
        <x:v>11</x:v>
      </x:c>
      <x:c r="K226" s="134" t="n">
        <x:v>9</x:v>
      </x:c>
      <x:c r="L226" s="153" t="b">
        <x:v>1</x:v>
      </x:c>
      <x:c r="M226" s="135" t="str">
        <x:v>Derivar desde BD vía Feature Builder; esta hoja es contrato de referencia</x:v>
      </x:c>
    </x:row>
    <x:row r="227" ht="34" customHeight="1">
      <x:c r="A227" s="133" t="str">
        <x:v>EST-0248</x:v>
      </x:c>
      <x:c r="B227" s="134" t="str">
        <x:v>2026-09-21</x:v>
      </x:c>
      <x:c r="C227" s="134" t="n">
        <x:v>6</x:v>
      </x:c>
      <x:c r="D227" s="134" t="str">
        <x:v>6C</x:v>
      </x:c>
      <x:c r="E227" s="134" t="n">
        <x:v>14.46</x:v>
      </x:c>
      <x:c r="F227" s="134" t="n">
        <x:v>0</x:v>
      </x:c>
      <x:c r="G227" s="134" t="n">
        <x:v>89.94</x:v>
      </x:c>
      <x:c r="H227" s="134" t="n">
        <x:v>10.73</x:v>
      </x:c>
      <x:c r="I227" s="134" t="n">
        <x:v>20.41</x:v>
      </x:c>
      <x:c r="J227" s="134" t="n">
        <x:v>19</x:v>
      </x:c>
      <x:c r="K227" s="134" t="n">
        <x:v>15</x:v>
      </x:c>
      <x:c r="L227" s="153" t="b">
        <x:v>1</x:v>
      </x:c>
      <x:c r="M227" s="135" t="str">
        <x:v>Derivar desde BD vía Feature Builder; esta hoja es contrato de referencia</x:v>
      </x:c>
    </x:row>
    <x:row r="228" ht="34" customHeight="1">
      <x:c r="A228" s="133" t="str">
        <x:v>EST-0249</x:v>
      </x:c>
      <x:c r="B228" s="134" t="str">
        <x:v>2026-09-21</x:v>
      </x:c>
      <x:c r="C228" s="134" t="n">
        <x:v>6</x:v>
      </x:c>
      <x:c r="D228" s="134" t="str">
        <x:v>6C</x:v>
      </x:c>
      <x:c r="E228" s="134" t="n">
        <x:v>14.35</x:v>
      </x:c>
      <x:c r="F228" s="134" t="n">
        <x:v>0</x:v>
      </x:c>
      <x:c r="G228" s="134" t="n">
        <x:v>89.22</x:v>
      </x:c>
      <x:c r="H228" s="134" t="n">
        <x:v>5.15</x:v>
      </x:c>
      <x:c r="I228" s="134" t="n">
        <x:v>10.52</x:v>
      </x:c>
      <x:c r="J228" s="134" t="n">
        <x:v>11</x:v>
      </x:c>
      <x:c r="K228" s="134" t="n">
        <x:v>10</x:v>
      </x:c>
      <x:c r="L228" s="153" t="b">
        <x:v>1</x:v>
      </x:c>
      <x:c r="M228" s="135" t="str">
        <x:v>Derivar desde BD vía Feature Builder; esta hoja es contrato de referencia</x:v>
      </x:c>
    </x:row>
    <x:row r="229" ht="34" customHeight="1">
      <x:c r="A229" s="133" t="str">
        <x:v>EST-0250</x:v>
      </x:c>
      <x:c r="B229" s="134" t="str">
        <x:v>2026-09-21</x:v>
      </x:c>
      <x:c r="C229" s="134" t="n">
        <x:v>6</x:v>
      </x:c>
      <x:c r="D229" s="134" t="str">
        <x:v>6C</x:v>
      </x:c>
      <x:c r="E229" s="134" t="n">
        <x:v>16.97</x:v>
      </x:c>
      <x:c r="F229" s="134" t="n">
        <x:v>0</x:v>
      </x:c>
      <x:c r="G229" s="134" t="n">
        <x:v>91.55</x:v>
      </x:c>
      <x:c r="H229" s="134" t="n">
        <x:v>3.82</x:v>
      </x:c>
      <x:c r="I229" s="134" t="n">
        <x:v>6.38</x:v>
      </x:c>
      <x:c r="J229" s="134" t="n">
        <x:v>10</x:v>
      </x:c>
      <x:c r="K229" s="134" t="n">
        <x:v>5</x:v>
      </x:c>
      <x:c r="L229" s="153" t="b">
        <x:v>1</x:v>
      </x:c>
      <x:c r="M229" s="135" t="str">
        <x:v>Derivar desde BD vía Feature Builder; esta hoja es contrato de referencia</x:v>
      </x:c>
    </x:row>
    <x:row r="230" ht="34" customHeight="1">
      <x:c r="A230" s="133" t="str">
        <x:v>EST-0001</x:v>
      </x:c>
      <x:c r="B230" s="134" t="str">
        <x:v>2026-09-21</x:v>
      </x:c>
      <x:c r="C230" s="134" t="n">
        <x:v>1</x:v>
      </x:c>
      <x:c r="D230" s="134" t="str">
        <x:v>1A</x:v>
      </x:c>
      <x:c r="E230" s="134" t="n">
        <x:v>16.11</x:v>
      </x:c>
      <x:c r="F230" s="134" t="n">
        <x:v>0</x:v>
      </x:c>
      <x:c r="G230" s="134" t="n">
        <x:v>92.13</x:v>
      </x:c>
      <x:c r="H230" s="134" t="n">
        <x:v>7.05</x:v>
      </x:c>
      <x:c r="I230" s="134" t="n">
        <x:v>16.26</x:v>
      </x:c>
      <x:c r="J230" s="134" t="n">
        <x:v>15</x:v>
      </x:c>
      <x:c r="K230" s="134" t="n">
        <x:v>13</x:v>
      </x:c>
      <x:c r="L230" s="153" t="b">
        <x:v>0</x:v>
      </x:c>
      <x:c r="M230" s="135" t="str">
        <x:v>excluido_retirado_pre_corte</x:v>
      </x:c>
    </x:row>
    <x:row r="231" ht="34" customHeight="1">
      <x:c r="A231" s="133" t="str">
        <x:v>EST-0010</x:v>
      </x:c>
      <x:c r="B231" s="134" t="str">
        <x:v>2026-09-21</x:v>
      </x:c>
      <x:c r="C231" s="134" t="n">
        <x:v>1</x:v>
      </x:c>
      <x:c r="D231" s="134" t="str">
        <x:v>1A</x:v>
      </x:c>
      <x:c r="E231" s="134" t="n">
        <x:v>13.81</x:v>
      </x:c>
      <x:c r="F231" s="134" t="n">
        <x:v>0</x:v>
      </x:c>
      <x:c r="G231" s="134" t="n">
        <x:v>95.21</x:v>
      </x:c>
      <x:c r="H231" s="134" t="n">
        <x:v>10.13</x:v>
      </x:c>
      <x:c r="I231" s="134" t="n">
        <x:v>17.4</x:v>
      </x:c>
      <x:c r="J231" s="134" t="n">
        <x:v>18</x:v>
      </x:c>
      <x:c r="K231" s="134" t="n">
        <x:v>14</x:v>
      </x:c>
      <x:c r="L231" s="153" t="b">
        <x:v>0</x:v>
      </x:c>
      <x:c r="M231" s="135" t="str">
        <x:v>excluido_retirado_pre_corte</x:v>
      </x:c>
    </x:row>
    <x:row r="232" ht="34" customHeight="1">
      <x:c r="A232" s="133" t="str">
        <x:v>EST-0019</x:v>
      </x:c>
      <x:c r="B232" s="134" t="str">
        <x:v>2026-09-21</x:v>
      </x:c>
      <x:c r="C232" s="134" t="n">
        <x:v>1</x:v>
      </x:c>
      <x:c r="D232" s="134" t="str">
        <x:v>1B</x:v>
      </x:c>
      <x:c r="E232" s="134" t="n">
        <x:v>13.65</x:v>
      </x:c>
      <x:c r="F232" s="134" t="n">
        <x:v>0</x:v>
      </x:c>
      <x:c r="G232" s="134" t="n">
        <x:v>95.22</x:v>
      </x:c>
      <x:c r="H232" s="134" t="n">
        <x:v>8.14</x:v>
      </x:c>
      <x:c r="I232" s="134" t="n">
        <x:v>15.25</x:v>
      </x:c>
      <x:c r="J232" s="134" t="n">
        <x:v>15</x:v>
      </x:c>
      <x:c r="K232" s="134" t="n">
        <x:v>12</x:v>
      </x:c>
      <x:c r="L232" s="153" t="b">
        <x:v>0</x:v>
      </x:c>
      <x:c r="M232" s="135" t="str">
        <x:v>excluido_retirado_pre_corte</x:v>
      </x:c>
    </x:row>
    <x:row r="233" ht="34" customHeight="1">
      <x:c r="A233" s="133" t="str">
        <x:v>EST-0028</x:v>
      </x:c>
      <x:c r="B233" s="134" t="str">
        <x:v>2026-09-21</x:v>
      </x:c>
      <x:c r="C233" s="134" t="n">
        <x:v>1</x:v>
      </x:c>
      <x:c r="D233" s="134" t="str">
        <x:v>1C</x:v>
      </x:c>
      <x:c r="E233" s="134" t="n">
        <x:v>14.88</x:v>
      </x:c>
      <x:c r="F233" s="134" t="n">
        <x:v>0</x:v>
      </x:c>
      <x:c r="G233" s="134" t="n">
        <x:v>95.71</x:v>
      </x:c>
      <x:c r="H233" s="134" t="n">
        <x:v>10.77</x:v>
      </x:c>
      <x:c r="I233" s="134" t="n">
        <x:v>18.76</x:v>
      </x:c>
      <x:c r="J233" s="134" t="n">
        <x:v>19</x:v>
      </x:c>
      <x:c r="K233" s="134" t="n">
        <x:v>15</x:v>
      </x:c>
      <x:c r="L233" s="153" t="b">
        <x:v>0</x:v>
      </x:c>
      <x:c r="M233" s="135" t="str">
        <x:v>excluido_retirado_pre_corte</x:v>
      </x:c>
    </x:row>
    <x:row r="234" ht="34" customHeight="1">
      <x:c r="A234" s="133" t="str">
        <x:v>EST-0037</x:v>
      </x:c>
      <x:c r="B234" s="134" t="str">
        <x:v>2026-09-21</x:v>
      </x:c>
      <x:c r="C234" s="134" t="n">
        <x:v>1</x:v>
      </x:c>
      <x:c r="D234" s="134" t="str">
        <x:v>1D</x:v>
      </x:c>
      <x:c r="E234" s="134" t="n">
        <x:v>15.47</x:v>
      </x:c>
      <x:c r="F234" s="134" t="n">
        <x:v>0</x:v>
      </x:c>
      <x:c r="G234" s="134" t="n">
        <x:v>87.1</x:v>
      </x:c>
      <x:c r="H234" s="134" t="n">
        <x:v>6.98</x:v>
      </x:c>
      <x:c r="I234" s="134" t="n">
        <x:v>12.27</x:v>
      </x:c>
      <x:c r="J234" s="134" t="n">
        <x:v>14</x:v>
      </x:c>
      <x:c r="K234" s="134" t="n">
        <x:v>11</x:v>
      </x:c>
      <x:c r="L234" s="153" t="b">
        <x:v>0</x:v>
      </x:c>
      <x:c r="M234" s="135" t="str">
        <x:v>excluido_retirado_pre_corte</x:v>
      </x:c>
    </x:row>
    <x:row r="235" ht="34" customHeight="1">
      <x:c r="A235" s="133" t="str">
        <x:v>EST-0046</x:v>
      </x:c>
      <x:c r="B235" s="134" t="str">
        <x:v>2026-09-21</x:v>
      </x:c>
      <x:c r="C235" s="134" t="n">
        <x:v>1</x:v>
      </x:c>
      <x:c r="D235" s="134" t="str">
        <x:v>1D</x:v>
      </x:c>
      <x:c r="E235" s="134" t="n">
        <x:v>15.23</x:v>
      </x:c>
      <x:c r="F235" s="134" t="n">
        <x:v>0</x:v>
      </x:c>
      <x:c r="G235" s="134" t="n">
        <x:v>83.64</x:v>
      </x:c>
      <x:c r="H235" s="134" t="n">
        <x:v>7.98</x:v>
      </x:c>
      <x:c r="I235" s="134" t="n">
        <x:v>16.52</x:v>
      </x:c>
      <x:c r="J235" s="134" t="n">
        <x:v>18</x:v>
      </x:c>
      <x:c r="K235" s="134" t="n">
        <x:v>13</x:v>
      </x:c>
      <x:c r="L235" s="153" t="b">
        <x:v>0</x:v>
      </x:c>
      <x:c r="M235" s="135" t="str">
        <x:v>excluido_retirado_pre_corte</x:v>
      </x:c>
    </x:row>
    <x:row r="236" ht="34" customHeight="1">
      <x:c r="A236" s="133" t="str">
        <x:v>EST-0055</x:v>
      </x:c>
      <x:c r="B236" s="134" t="str">
        <x:v>2026-09-21</x:v>
      </x:c>
      <x:c r="C236" s="134" t="n">
        <x:v>2</x:v>
      </x:c>
      <x:c r="D236" s="134" t="str">
        <x:v>2A</x:v>
      </x:c>
      <x:c r="E236" s="134" t="n">
        <x:v>17.79</x:v>
      </x:c>
      <x:c r="F236" s="134" t="n">
        <x:v>0</x:v>
      </x:c>
      <x:c r="G236" s="134" t="n">
        <x:v>96.84</x:v>
      </x:c>
      <x:c r="H236" s="134" t="n">
        <x:v>7.02</x:v>
      </x:c>
      <x:c r="I236" s="134" t="n">
        <x:v>13.03</x:v>
      </x:c>
      <x:c r="J236" s="134" t="n">
        <x:v>13</x:v>
      </x:c>
      <x:c r="K236" s="134" t="n">
        <x:v>12</x:v>
      </x:c>
      <x:c r="L236" s="153" t="b">
        <x:v>0</x:v>
      </x:c>
      <x:c r="M236" s="135" t="str">
        <x:v>excluido_retirado_pre_corte</x:v>
      </x:c>
    </x:row>
    <x:row r="237" ht="34" customHeight="1">
      <x:c r="A237" s="133" t="str">
        <x:v>EST-0064</x:v>
      </x:c>
      <x:c r="B237" s="134" t="str">
        <x:v>2026-09-21</x:v>
      </x:c>
      <x:c r="C237" s="134" t="n">
        <x:v>2</x:v>
      </x:c>
      <x:c r="D237" s="134" t="str">
        <x:v>2B</x:v>
      </x:c>
      <x:c r="E237" s="134" t="n">
        <x:v>14.23</x:v>
      </x:c>
      <x:c r="F237" s="134" t="n">
        <x:v>0</x:v>
      </x:c>
      <x:c r="G237" s="134" t="n">
        <x:v>90.12</x:v>
      </x:c>
      <x:c r="H237" s="134" t="n">
        <x:v>7.76</x:v>
      </x:c>
      <x:c r="I237" s="134" t="n">
        <x:v>13.24</x:v>
      </x:c>
      <x:c r="J237" s="134" t="n">
        <x:v>13</x:v>
      </x:c>
      <x:c r="K237" s="134" t="n">
        <x:v>9</x:v>
      </x:c>
      <x:c r="L237" s="153" t="b">
        <x:v>0</x:v>
      </x:c>
      <x:c r="M237" s="135" t="str">
        <x:v>excluido_retirado_pre_corte</x:v>
      </x:c>
    </x:row>
    <x:row r="238" ht="34" customHeight="1">
      <x:c r="A238" s="133" t="str">
        <x:v>EST-0073</x:v>
      </x:c>
      <x:c r="B238" s="134" t="str">
        <x:v>2026-09-21</x:v>
      </x:c>
      <x:c r="C238" s="134" t="n">
        <x:v>2</x:v>
      </x:c>
      <x:c r="D238" s="134" t="str">
        <x:v>2C</x:v>
      </x:c>
      <x:c r="E238" s="134" t="n">
        <x:v>15</x:v>
      </x:c>
      <x:c r="F238" s="134" t="n">
        <x:v>0</x:v>
      </x:c>
      <x:c r="G238" s="134" t="n">
        <x:v>94.85</x:v>
      </x:c>
      <x:c r="H238" s="134" t="n">
        <x:v>6.98</x:v>
      </x:c>
      <x:c r="I238" s="134" t="n">
        <x:v>15.5</x:v>
      </x:c>
      <x:c r="J238" s="134" t="n">
        <x:v>15</x:v>
      </x:c>
      <x:c r="K238" s="134" t="n">
        <x:v>11</x:v>
      </x:c>
      <x:c r="L238" s="153" t="b">
        <x:v>0</x:v>
      </x:c>
      <x:c r="M238" s="135" t="str">
        <x:v>excluido_retirado_pre_corte</x:v>
      </x:c>
    </x:row>
    <x:row r="239" ht="34" customHeight="1">
      <x:c r="A239" s="133" t="str">
        <x:v>EST-0082</x:v>
      </x:c>
      <x:c r="B239" s="134" t="str">
        <x:v>2026-09-21</x:v>
      </x:c>
      <x:c r="C239" s="134" t="n">
        <x:v>2</x:v>
      </x:c>
      <x:c r="D239" s="134" t="str">
        <x:v>2D</x:v>
      </x:c>
      <x:c r="E239" s="134" t="n">
        <x:v>16.65</x:v>
      </x:c>
      <x:c r="F239" s="134" t="n">
        <x:v>0</x:v>
      </x:c>
      <x:c r="G239" s="134" t="n">
        <x:v>96.9</x:v>
      </x:c>
      <x:c r="H239" s="134" t="n">
        <x:v>8.91</x:v>
      </x:c>
      <x:c r="I239" s="134" t="n">
        <x:v>17.4</x:v>
      </x:c>
      <x:c r="J239" s="134" t="n">
        <x:v>16</x:v>
      </x:c>
      <x:c r="K239" s="134" t="n">
        <x:v>12</x:v>
      </x:c>
      <x:c r="L239" s="153" t="b">
        <x:v>0</x:v>
      </x:c>
      <x:c r="M239" s="135" t="str">
        <x:v>excluido_retirado_pre_corte</x:v>
      </x:c>
    </x:row>
    <x:row r="240" ht="34" customHeight="1">
      <x:c r="A240" s="133" t="str">
        <x:v>EST-0093</x:v>
      </x:c>
      <x:c r="B240" s="134" t="str">
        <x:v>2026-09-21</x:v>
      </x:c>
      <x:c r="C240" s="134" t="n">
        <x:v>3</x:v>
      </x:c>
      <x:c r="D240" s="134" t="str">
        <x:v>3A</x:v>
      </x:c>
      <x:c r="E240" s="134" t="n">
        <x:v>15.33</x:v>
      </x:c>
      <x:c r="F240" s="134" t="n">
        <x:v>0</x:v>
      </x:c>
      <x:c r="G240" s="134" t="n">
        <x:v>82.72</x:v>
      </x:c>
      <x:c r="H240" s="134" t="n">
        <x:v>8.78</x:v>
      </x:c>
      <x:c r="I240" s="134" t="n">
        <x:v>16.28</x:v>
      </x:c>
      <x:c r="J240" s="134" t="n">
        <x:v>14</x:v>
      </x:c>
      <x:c r="K240" s="134" t="n">
        <x:v>13</x:v>
      </x:c>
      <x:c r="L240" s="153" t="b">
        <x:v>0</x:v>
      </x:c>
      <x:c r="M240" s="135" t="str">
        <x:v>excluido_retirado_pre_corte</x:v>
      </x:c>
    </x:row>
    <x:row r="241" ht="34" customHeight="1">
      <x:c r="A241" s="133" t="str">
        <x:v>EST-0104</x:v>
      </x:c>
      <x:c r="B241" s="134" t="str">
        <x:v>2026-09-21</x:v>
      </x:c>
      <x:c r="C241" s="134" t="n">
        <x:v>3</x:v>
      </x:c>
      <x:c r="D241" s="134" t="str">
        <x:v>3A</x:v>
      </x:c>
      <x:c r="E241" s="134" t="n">
        <x:v>16.18</x:v>
      </x:c>
      <x:c r="F241" s="134" t="n">
        <x:v>0</x:v>
      </x:c>
      <x:c r="G241" s="134" t="n">
        <x:v>92.74</x:v>
      </x:c>
      <x:c r="H241" s="134" t="n">
        <x:v>6.3</x:v>
      </x:c>
      <x:c r="I241" s="134" t="n">
        <x:v>15.17</x:v>
      </x:c>
      <x:c r="J241" s="134" t="n">
        <x:v>16</x:v>
      </x:c>
      <x:c r="K241" s="134" t="n">
        <x:v>10</x:v>
      </x:c>
      <x:c r="L241" s="153" t="b">
        <x:v>0</x:v>
      </x:c>
      <x:c r="M241" s="135" t="str">
        <x:v>excluido_retirado_pre_corte</x:v>
      </x:c>
    </x:row>
    <x:row r="242" ht="34" customHeight="1">
      <x:c r="A242" s="133" t="str">
        <x:v>EST-0115</x:v>
      </x:c>
      <x:c r="B242" s="134" t="str">
        <x:v>2026-09-21</x:v>
      </x:c>
      <x:c r="C242" s="134" t="n">
        <x:v>3</x:v>
      </x:c>
      <x:c r="D242" s="134" t="str">
        <x:v>3B</x:v>
      </x:c>
      <x:c r="E242" s="134" t="n">
        <x:v>15.64</x:v>
      </x:c>
      <x:c r="F242" s="134" t="n">
        <x:v>0</x:v>
      </x:c>
      <x:c r="G242" s="134" t="n">
        <x:v>99.5</x:v>
      </x:c>
      <x:c r="H242" s="134" t="n">
        <x:v>8.96</x:v>
      </x:c>
      <x:c r="I242" s="134" t="n">
        <x:v>17.86</x:v>
      </x:c>
      <x:c r="J242" s="134" t="n">
        <x:v>16</x:v>
      </x:c>
      <x:c r="K242" s="134" t="n">
        <x:v>14</x:v>
      </x:c>
      <x:c r="L242" s="153" t="b">
        <x:v>0</x:v>
      </x:c>
      <x:c r="M242" s="135" t="str">
        <x:v>excluido_retirado_pre_corte</x:v>
      </x:c>
    </x:row>
    <x:row r="243" ht="34" customHeight="1">
      <x:c r="A243" s="133" t="str">
        <x:v>EST-0126</x:v>
      </x:c>
      <x:c r="B243" s="134" t="str">
        <x:v>2026-09-21</x:v>
      </x:c>
      <x:c r="C243" s="134" t="n">
        <x:v>3</x:v>
      </x:c>
      <x:c r="D243" s="134" t="str">
        <x:v>3C</x:v>
      </x:c>
      <x:c r="E243" s="134" t="n">
        <x:v>12.65</x:v>
      </x:c>
      <x:c r="F243" s="134" t="n">
        <x:v>0</x:v>
      </x:c>
      <x:c r="G243" s="134" t="n">
        <x:v>94.45</x:v>
      </x:c>
      <x:c r="H243" s="134" t="n">
        <x:v>7.01</x:v>
      </x:c>
      <x:c r="I243" s="134" t="n">
        <x:v>12.96</x:v>
      </x:c>
      <x:c r="J243" s="134" t="n">
        <x:v>13</x:v>
      </x:c>
      <x:c r="K243" s="134" t="n">
        <x:v>8</x:v>
      </x:c>
      <x:c r="L243" s="153" t="b">
        <x:v>0</x:v>
      </x:c>
      <x:c r="M243" s="135" t="str">
        <x:v>excluido_retirado_pre_corte</x:v>
      </x:c>
    </x:row>
    <x:row r="244" ht="34" customHeight="1">
      <x:c r="A244" s="133" t="str">
        <x:v>EST-0137</x:v>
      </x:c>
      <x:c r="B244" s="134" t="str">
        <x:v>2026-09-21</x:v>
      </x:c>
      <x:c r="C244" s="134" t="n">
        <x:v>3</x:v>
      </x:c>
      <x:c r="D244" s="134" t="str">
        <x:v>3D</x:v>
      </x:c>
      <x:c r="E244" s="134" t="n">
        <x:v>15.68</x:v>
      </x:c>
      <x:c r="F244" s="134" t="n">
        <x:v>0</x:v>
      </x:c>
      <x:c r="G244" s="134" t="n">
        <x:v>94.09</x:v>
      </x:c>
      <x:c r="H244" s="134" t="n">
        <x:v>6.86</x:v>
      </x:c>
      <x:c r="I244" s="134" t="n">
        <x:v>12.99</x:v>
      </x:c>
      <x:c r="J244" s="134" t="n">
        <x:v>13</x:v>
      </x:c>
      <x:c r="K244" s="134" t="n">
        <x:v>10</x:v>
      </x:c>
      <x:c r="L244" s="153" t="b">
        <x:v>0</x:v>
      </x:c>
      <x:c r="M244" s="135" t="str">
        <x:v>excluido_retirado_pre_corte</x:v>
      </x:c>
    </x:row>
    <x:row r="245" ht="34" customHeight="1">
      <x:c r="A245" s="133" t="str">
        <x:v>EST-0148</x:v>
      </x:c>
      <x:c r="B245" s="134" t="str">
        <x:v>2026-09-21</x:v>
      </x:c>
      <x:c r="C245" s="134" t="n">
        <x:v>4</x:v>
      </x:c>
      <x:c r="D245" s="134" t="str">
        <x:v>4A</x:v>
      </x:c>
      <x:c r="E245" s="134" t="n">
        <x:v>15.18</x:v>
      </x:c>
      <x:c r="F245" s="134" t="n">
        <x:v>0</x:v>
      </x:c>
      <x:c r="G245" s="134" t="n">
        <x:v>86.92</x:v>
      </x:c>
      <x:c r="H245" s="134" t="n">
        <x:v>7.12</x:v>
      </x:c>
      <x:c r="I245" s="134" t="n">
        <x:v>11.72</x:v>
      </x:c>
      <x:c r="J245" s="134" t="n">
        <x:v>12</x:v>
      </x:c>
      <x:c r="K245" s="134" t="n">
        <x:v>11</x:v>
      </x:c>
      <x:c r="L245" s="153" t="b">
        <x:v>0</x:v>
      </x:c>
      <x:c r="M245" s="135" t="str">
        <x:v>censurado_traslado</x:v>
      </x:c>
    </x:row>
    <x:row r="246" ht="34" customHeight="1">
      <x:c r="A246" s="133" t="str">
        <x:v>EST-0159</x:v>
      </x:c>
      <x:c r="B246" s="134" t="str">
        <x:v>2026-09-21</x:v>
      </x:c>
      <x:c r="C246" s="134" t="n">
        <x:v>4</x:v>
      </x:c>
      <x:c r="D246" s="134" t="str">
        <x:v>4B</x:v>
      </x:c>
      <x:c r="E246" s="134" t="n">
        <x:v>16.77</x:v>
      </x:c>
      <x:c r="F246" s="134" t="n">
        <x:v>0</x:v>
      </x:c>
      <x:c r="G246" s="134" t="n">
        <x:v>94.18</x:v>
      </x:c>
      <x:c r="H246" s="134" t="n">
        <x:v>7.71</x:v>
      </x:c>
      <x:c r="I246" s="134" t="n">
        <x:v>16.09</x:v>
      </x:c>
      <x:c r="J246" s="134" t="n">
        <x:v>15</x:v>
      </x:c>
      <x:c r="K246" s="134" t="n">
        <x:v>12</x:v>
      </x:c>
      <x:c r="L246" s="153" t="b">
        <x:v>0</x:v>
      </x:c>
      <x:c r="M246" s="135" t="str">
        <x:v>censurado_traslado</x:v>
      </x:c>
    </x:row>
    <x:row r="247" ht="34" customHeight="1">
      <x:c r="A247" s="133" t="str">
        <x:v>EST-0170</x:v>
      </x:c>
      <x:c r="B247" s="134" t="str">
        <x:v>2026-09-21</x:v>
      </x:c>
      <x:c r="C247" s="134" t="n">
        <x:v>4</x:v>
      </x:c>
      <x:c r="D247" s="134" t="str">
        <x:v>4C</x:v>
      </x:c>
      <x:c r="E247" s="134" t="n">
        <x:v>13.4</x:v>
      </x:c>
      <x:c r="F247" s="134" t="n">
        <x:v>0</x:v>
      </x:c>
      <x:c r="G247" s="134" t="n">
        <x:v>89.69</x:v>
      </x:c>
      <x:c r="H247" s="134" t="n">
        <x:v>6.08</x:v>
      </x:c>
      <x:c r="I247" s="134" t="n">
        <x:v>10.8</x:v>
      </x:c>
      <x:c r="J247" s="134" t="n">
        <x:v>10</x:v>
      </x:c>
      <x:c r="K247" s="134" t="n">
        <x:v>10</x:v>
      </x:c>
      <x:c r="L247" s="153" t="b">
        <x:v>0</x:v>
      </x:c>
      <x:c r="M247" s="135" t="str">
        <x:v>censurado_traslado</x:v>
      </x:c>
    </x:row>
    <x:row r="248" ht="34" customHeight="1">
      <x:c r="A248" s="133" t="str">
        <x:v>EST-0181</x:v>
      </x:c>
      <x:c r="B248" s="134" t="str">
        <x:v>2026-09-21</x:v>
      </x:c>
      <x:c r="C248" s="134" t="n">
        <x:v>4</x:v>
      </x:c>
      <x:c r="D248" s="134" t="str">
        <x:v>4D</x:v>
      </x:c>
      <x:c r="E248" s="134" t="n">
        <x:v>16.44</x:v>
      </x:c>
      <x:c r="F248" s="134" t="n">
        <x:v>0</x:v>
      </x:c>
      <x:c r="G248" s="134" t="n">
        <x:v>90.23</x:v>
      </x:c>
      <x:c r="H248" s="134" t="n">
        <x:v>7.93</x:v>
      </x:c>
      <x:c r="I248" s="134" t="n">
        <x:v>15.53</x:v>
      </x:c>
      <x:c r="J248" s="134" t="n">
        <x:v>15</x:v>
      </x:c>
      <x:c r="K248" s="134" t="n">
        <x:v>12</x:v>
      </x:c>
      <x:c r="L248" s="153" t="b">
        <x:v>0</x:v>
      </x:c>
      <x:c r="M248" s="135" t="str">
        <x:v>censurado_traslado</x:v>
      </x:c>
    </x:row>
    <x:row r="249" ht="34" customHeight="1">
      <x:c r="A249" s="133" t="str">
        <x:v>EST-0192</x:v>
      </x:c>
      <x:c r="B249" s="134" t="str">
        <x:v>2026-09-21</x:v>
      </x:c>
      <x:c r="C249" s="134" t="n">
        <x:v>5</x:v>
      </x:c>
      <x:c r="D249" s="134" t="str">
        <x:v>5A</x:v>
      </x:c>
      <x:c r="E249" s="134" t="n">
        <x:v>13.31</x:v>
      </x:c>
      <x:c r="F249" s="134" t="n">
        <x:v>0</x:v>
      </x:c>
      <x:c r="G249" s="134" t="n">
        <x:v>97.38</x:v>
      </x:c>
      <x:c r="H249" s="134" t="n">
        <x:v>7.36</x:v>
      </x:c>
      <x:c r="I249" s="134" t="n">
        <x:v>16.38</x:v>
      </x:c>
      <x:c r="J249" s="134" t="n">
        <x:v>15</x:v>
      </x:c>
      <x:c r="K249" s="134" t="n">
        <x:v>12</x:v>
      </x:c>
      <x:c r="L249" s="153" t="b">
        <x:v>0</x:v>
      </x:c>
      <x:c r="M249" s="135" t="str">
        <x:v>censurado_traslado</x:v>
      </x:c>
    </x:row>
    <x:row r="250" ht="34" customHeight="1">
      <x:c r="A250" s="133" t="str">
        <x:v>EST-0203</x:v>
      </x:c>
      <x:c r="B250" s="134" t="str">
        <x:v>2026-09-21</x:v>
      </x:c>
      <x:c r="C250" s="134" t="n">
        <x:v>5</x:v>
      </x:c>
      <x:c r="D250" s="134" t="str">
        <x:v>5B</x:v>
      </x:c>
      <x:c r="E250" s="134" t="n">
        <x:v>15.65</x:v>
      </x:c>
      <x:c r="F250" s="134" t="n">
        <x:v>0</x:v>
      </x:c>
      <x:c r="G250" s="134" t="n">
        <x:v>87.2</x:v>
      </x:c>
      <x:c r="H250" s="134" t="n">
        <x:v>8.79</x:v>
      </x:c>
      <x:c r="I250" s="134" t="n">
        <x:v>14.08</x:v>
      </x:c>
      <x:c r="J250" s="134" t="n">
        <x:v>17</x:v>
      </x:c>
      <x:c r="K250" s="134" t="n">
        <x:v>12</x:v>
      </x:c>
      <x:c r="L250" s="153" t="b">
        <x:v>0</x:v>
      </x:c>
      <x:c r="M250" s="135" t="str">
        <x:v>censurado_traslado</x:v>
      </x:c>
    </x:row>
    <x:row r="251" ht="34" customHeight="1">
      <x:c r="A251" s="133" t="str">
        <x:v>EST-0214</x:v>
      </x:c>
      <x:c r="B251" s="134" t="str">
        <x:v>2026-09-21</x:v>
      </x:c>
      <x:c r="C251" s="134" t="n">
        <x:v>5</x:v>
      </x:c>
      <x:c r="D251" s="134" t="str">
        <x:v>5C</x:v>
      </x:c>
      <x:c r="E251" s="134" t="n">
        <x:v>14.24</x:v>
      </x:c>
      <x:c r="F251" s="134" t="n">
        <x:v>0</x:v>
      </x:c>
      <x:c r="G251" s="134" t="n">
        <x:v>91.53</x:v>
      </x:c>
      <x:c r="H251" s="134" t="n">
        <x:v>8.57</x:v>
      </x:c>
      <x:c r="I251" s="134" t="n">
        <x:v>15.9</x:v>
      </x:c>
      <x:c r="J251" s="134" t="n">
        <x:v>17</x:v>
      </x:c>
      <x:c r="K251" s="134" t="n">
        <x:v>11</x:v>
      </x:c>
      <x:c r="L251" s="153" t="b">
        <x:v>0</x:v>
      </x:c>
      <x:c r="M251" s="135" t="str">
        <x:v>censurado_traslado</x:v>
      </x:c>
    </x:row>
    <x:row r="252" ht="34" customHeight="1">
      <x:c r="A252" s="133" t="str">
        <x:v>EST-0225</x:v>
      </x:c>
      <x:c r="B252" s="134" t="str">
        <x:v>2026-09-21</x:v>
      </x:c>
      <x:c r="C252" s="134" t="n">
        <x:v>6</x:v>
      </x:c>
      <x:c r="D252" s="134" t="str">
        <x:v>6A</x:v>
      </x:c>
      <x:c r="E252" s="134" t="n">
        <x:v>17.64</x:v>
      </x:c>
      <x:c r="F252" s="134" t="n">
        <x:v>0</x:v>
      </x:c>
      <x:c r="G252" s="134" t="n">
        <x:v>88.31</x:v>
      </x:c>
      <x:c r="H252" s="134" t="n">
        <x:v>5.29</x:v>
      </x:c>
      <x:c r="I252" s="134" t="n">
        <x:v>11.36</x:v>
      </x:c>
      <x:c r="J252" s="134" t="n">
        <x:v>10</x:v>
      </x:c>
      <x:c r="K252" s="134" t="n">
        <x:v>6</x:v>
      </x:c>
      <x:c r="L252" s="153" t="b">
        <x:v>0</x:v>
      </x:c>
      <x:c r="M252" s="135" t="str">
        <x:v>censurado_traslado</x:v>
      </x:c>
    </x:row>
    <x:row r="253" ht="34" customHeight="1">
      <x:c r="A253" s="133" t="str">
        <x:v>EST-0236</x:v>
      </x:c>
      <x:c r="B253" s="134" t="str">
        <x:v>2026-09-21</x:v>
      </x:c>
      <x:c r="C253" s="134" t="n">
        <x:v>6</x:v>
      </x:c>
      <x:c r="D253" s="134" t="str">
        <x:v>6B</x:v>
      </x:c>
      <x:c r="E253" s="134" t="n">
        <x:v>14.52</x:v>
      </x:c>
      <x:c r="F253" s="134" t="n">
        <x:v>0</x:v>
      </x:c>
      <x:c r="G253" s="134" t="n">
        <x:v>95.32</x:v>
      </x:c>
      <x:c r="H253" s="134" t="n">
        <x:v>6.82</x:v>
      </x:c>
      <x:c r="I253" s="134" t="n">
        <x:v>10.41</x:v>
      </x:c>
      <x:c r="J253" s="134" t="n">
        <x:v>12</x:v>
      </x:c>
      <x:c r="K253" s="134" t="n">
        <x:v>8</x:v>
      </x:c>
      <x:c r="L253" s="153" t="b">
        <x:v>0</x:v>
      </x:c>
      <x:c r="M253" s="135" t="str">
        <x:v>censurado_traslado</x:v>
      </x:c>
    </x:row>
    <x:row r="254" ht="34" customHeight="1">
      <x:c r="A254" s="136" t="str">
        <x:v>EST-0247</x:v>
      </x:c>
      <x:c r="B254" s="137" t="str">
        <x:v>2026-09-21</x:v>
      </x:c>
      <x:c r="C254" s="137" t="n">
        <x:v>6</x:v>
      </x:c>
      <x:c r="D254" s="137" t="str">
        <x:v>6C</x:v>
      </x:c>
      <x:c r="E254" s="137" t="n">
        <x:v>10.55</x:v>
      </x:c>
      <x:c r="F254" s="137" t="n">
        <x:v>1</x:v>
      </x:c>
      <x:c r="G254" s="137" t="n">
        <x:v>85.96</x:v>
      </x:c>
      <x:c r="H254" s="137" t="n">
        <x:v>6.42</x:v>
      </x:c>
      <x:c r="I254" s="137" t="n">
        <x:v>10.74</x:v>
      </x:c>
      <x:c r="J254" s="137" t="n">
        <x:v>12</x:v>
      </x:c>
      <x:c r="K254" s="137" t="n">
        <x:v>8</x:v>
      </x:c>
      <x:c r="L254" s="154" t="b">
        <x:v>0</x:v>
      </x:c>
      <x:c r="M254" s="138" t="str">
        <x:v>censurado_traslado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df954e0f464407e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72" hidden="0" customWidth="1"/>
  </x:cols>
  <x:sheetData>
    <x:row r="1" ht="34" customHeight="1">
      <x:c r="A1" s="101" t="str">
        <x:v>ML V6 — Parámetros del generador sintético</x:v>
      </x:c>
      <x:c r="B1" s="101"/>
      <x:c r="C1" s="101"/>
    </x:row>
    <x:row r="2" ht="45" customHeight="1">
      <x:c r="A2" s="105" t="str">
        <x:v>Estos parámetros sirven para reproducir el banco de pruebas V6. No representan relaciones causales ni coeficientes científicos de la institución.</x:v>
      </x:c>
      <x:c r="B2" s="105"/>
      <x:c r="C2" s="105"/>
    </x:row>
    <x:row r="4" ht="48" customHeight="1">
      <x:c r="A4" s="110" t="str">
        <x:v>Parámetro</x:v>
      </x:c>
      <x:c r="B4" s="110" t="str">
        <x:v>Valor</x:v>
      </x:c>
      <x:c r="C4" s="110" t="str">
        <x:v>Interpretación</x:v>
      </x:c>
    </x:row>
    <x:row r="5" ht="34" customHeight="1">
      <x:c r="A5" s="130" t="str">
        <x:v>dataset_version</x:v>
      </x:c>
      <x:c r="B5" s="131" t="str">
        <x:v>BLENKIR_V6_SYNTH_20260924</x:v>
      </x:c>
      <x:c r="C5" s="132" t="str">
        <x:v>Identificador del gemelo científico-sintético</x:v>
      </x:c>
    </x:row>
    <x:row r="6" ht="34" customHeight="1">
      <x:c r="A6" s="133" t="str">
        <x:v>data_mode</x:v>
      </x:c>
      <x:c r="B6" s="134" t="str">
        <x:v>synthetic_scientific</x:v>
      </x:c>
      <x:c r="C6" s="135" t="str">
        <x:v>Nunca confundir con real_institutional</x:v>
      </x:c>
    </x:row>
    <x:row r="7" ht="34" customHeight="1">
      <x:c r="A7" s="133" t="str">
        <x:v>generator_seed</x:v>
      </x:c>
      <x:c r="B7" s="134" t="n">
        <x:v>20260924</x:v>
      </x:c>
      <x:c r="C7" s="135" t="str">
        <x:v>Semilla para features/snapshots</x:v>
      </x:c>
    </x:row>
    <x:row r="8" ht="34" customHeight="1">
      <x:c r="A8" s="133" t="str">
        <x:v>target_seed</x:v>
      </x:c>
      <x:c r="B8" s="134" t="n">
        <x:v>20260925</x:v>
      </x:c>
      <x:c r="C8" s="135" t="str">
        <x:v>Semilla separada para outcome</x:v>
      </x:c>
    </x:row>
    <x:row r="9" ht="34" customHeight="1">
      <x:c r="A9" s="133" t="str">
        <x:v>split_seed</x:v>
      </x:c>
      <x:c r="B9" s="134" t="n">
        <x:v>20260926</x:v>
      </x:c>
      <x:c r="C9" s="135" t="str">
        <x:v>Semilla separada para partición</x:v>
      </x:c>
    </x:row>
    <x:row r="10" ht="34" customHeight="1">
      <x:c r="A10" s="133" t="str">
        <x:v>cutoff_T1</x:v>
      </x:c>
      <x:c r="B10" s="134" t="str">
        <x:v>2026-07-31</x:v>
      </x:c>
      <x:c r="C10" s="135" t="str">
        <x:v>Snapshot temprano</x:v>
      </x:c>
    </x:row>
    <x:row r="11" ht="34" customHeight="1">
      <x:c r="A11" s="133" t="str">
        <x:v>cutoff_T2</x:v>
      </x:c>
      <x:c r="B11" s="134" t="str">
        <x:v>2026-09-21</x:v>
      </x:c>
      <x:c r="C11" s="135" t="str">
        <x:v>Snapshot operativo actual</x:v>
      </x:c>
    </x:row>
    <x:row r="12" ht="34" customHeight="1">
      <x:c r="A12" s="133" t="str">
        <x:v>outcome_date</x:v>
      </x:c>
      <x:c r="B12" s="134" t="str">
        <x:v>2026-12-15</x:v>
      </x:c>
      <x:c r="C12" s="135" t="str">
        <x:v>Resultado posterior al último corte</x:v>
      </x:c>
    </x:row>
    <x:row r="13" ht="34" customHeight="1">
      <x:c r="A13" s="133" t="str">
        <x:v>eligible_rule</x:v>
      </x:c>
      <x:c r="B13" s="134" t="str">
        <x:v>matricula_estado == activa</x:v>
      </x:c>
      <x:c r="C13" s="135" t="str">
        <x:v>Retirados/trasladados pre-corte no entrenan</x:v>
      </x:c>
    </x:row>
    <x:row r="14" ht="34" customHeight="1">
      <x:c r="A14" s="133" t="str">
        <x:v>target_definition</x:v>
      </x:c>
      <x:c r="B14" s="134" t="str">
        <x:v>0 permanece / 1 deserta</x:v>
      </x:c>
      <x:c r="C14" s="135" t="str">
        <x:v>Bajo/medio/alto se deriva después de la probabilidad</x:v>
      </x:c>
    </x:row>
    <x:row r="15" ht="34" customHeight="1">
      <x:c r="A15" s="133" t="str">
        <x:v>target_expected_prevalence</x:v>
      </x:c>
      <x:c r="B15" s="134" t="n">
        <x:v>0.18</x:v>
      </x:c>
      <x:c r="C15" s="135" t="str">
        <x:v>Objetivo de simulación; no prevalencia real de Blenkir</x:v>
      </x:c>
    </x:row>
    <x:row r="16" ht="34" customHeight="1">
      <x:c r="A16" s="133" t="str">
        <x:v>target_realized_prevalence</x:v>
      </x:c>
      <x:c r="B16" s="134" t="n">
        <x:v>0.208889</x:v>
      </x:c>
      <x:c r="C16" s="135" t="str">
        <x:v>Resultado reproducible del generador</x:v>
      </x:c>
    </x:row>
    <x:row r="17" ht="34" customHeight="1">
      <x:c r="A17" s="133" t="str">
        <x:v>logistic_intercept</x:v>
      </x:c>
      <x:c r="B17" s="134" t="n">
        <x:v>-1.556429</x:v>
      </x:c>
      <x:c r="C17" s="135" t="str">
        <x:v>Parámetro del generador; NO predictor</x:v>
      </x:c>
    </x:row>
    <x:row r="18" ht="34" customHeight="1">
      <x:c r="A18" s="133" t="str">
        <x:v>coef_promedio_deficit</x:v>
      </x:c>
      <x:c r="B18" s="134" t="n">
        <x:v>0.7</x:v>
      </x:c>
      <x:c r="C18" s="135" t="str">
        <x:v>Generador sintético; NO parámetro científico</x:v>
      </x:c>
    </x:row>
    <x:row r="19" ht="34" customHeight="1">
      <x:c r="A19" s="133" t="str">
        <x:v>coef_cursos_desaprobados</x:v>
      </x:c>
      <x:c r="B19" s="134" t="n">
        <x:v>0.55</x:v>
      </x:c>
      <x:c r="C19" s="135" t="str">
        <x:v>Generador sintético; NO parámetro científico</x:v>
      </x:c>
    </x:row>
    <x:row r="20" ht="34" customHeight="1">
      <x:c r="A20" s="133" t="str">
        <x:v>coef_asistencia_deficit</x:v>
      </x:c>
      <x:c r="B20" s="134" t="n">
        <x:v>0.6</x:v>
      </x:c>
      <x:c r="C20" s="135" t="str">
        <x:v>Generador sintético; NO parámetro científico</x:v>
      </x:c>
    </x:row>
    <x:row r="21" ht="34" customHeight="1">
      <x:c r="A21" s="133" t="str">
        <x:v>coef_frecuencia_lms_deficit</x:v>
      </x:c>
      <x:c r="B21" s="134" t="n">
        <x:v>0.35</x:v>
      </x:c>
      <x:c r="C21" s="135" t="str">
        <x:v>Generador sintético; NO parámetro científico</x:v>
      </x:c>
    </x:row>
    <x:row r="22" ht="34" customHeight="1">
      <x:c r="A22" s="133" t="str">
        <x:v>coef_tiempo_lms_deficit</x:v>
      </x:c>
      <x:c r="B22" s="134" t="n">
        <x:v>0.28</x:v>
      </x:c>
      <x:c r="C22" s="135" t="str">
        <x:v>Generador sintético; NO parámetro científico</x:v>
      </x:c>
    </x:row>
    <x:row r="23" ht="34" customHeight="1">
      <x:c r="A23" s="133" t="str">
        <x:v>coef_actividades_deficit</x:v>
      </x:c>
      <x:c r="B23" s="134" t="n">
        <x:v>0.28</x:v>
      </x:c>
      <x:c r="C23" s="135" t="str">
        <x:v>Generador sintético; NO parámetro científico</x:v>
      </x:c>
    </x:row>
    <x:row r="24" ht="34" customHeight="1">
      <x:c r="A24" s="133" t="str">
        <x:v>coef_recursos_deficit</x:v>
      </x:c>
      <x:c r="B24" s="134" t="n">
        <x:v>0.22</x:v>
      </x:c>
      <x:c r="C24" s="135" t="str">
        <x:v>Generador sintético; NO parámetro científico</x:v>
      </x:c>
    </x:row>
    <x:row r="25" ht="34" customHeight="1">
      <x:c r="A25" s="133" t="str">
        <x:v>hidden_noise_sigma</x:v>
      </x:c>
      <x:c r="B25" s="134" t="n">
        <x:v>0.9</x:v>
      </x:c>
      <x:c r="C25" s="135" t="str">
        <x:v>Introduce factores no observados y evita reglas deterministas</x:v>
      </x:c>
    </x:row>
    <x:row r="26" ht="34" customHeight="1">
      <x:c r="A26" s="133" t="str">
        <x:v>split_strategy</x:v>
      </x:c>
      <x:c r="B26" s="134" t="str">
        <x:v>stratified by target + grouped by student</x:v>
      </x:c>
      <x:c r="C26" s="135" t="str">
        <x:v>70% train / 15% validation / 15% holdout aprox.</x:v>
      </x:c>
    </x:row>
    <x:row r="27" ht="34" customHeight="1">
      <x:c r="A27" s="136" t="str">
        <x:v>regla_critica</x:v>
      </x:c>
      <x:c r="B27" s="137" t="str">
        <x:v>prob_generador y score_generador excluidos del modelo</x:v>
      </x:c>
      <x:c r="C27" s="138" t="str">
        <x:v>Prevención explícita de leakage del generador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62" hidden="0" customWidth="1"/>
    <x:col min="5" max="5" width="18" hidden="0" customWidth="1"/>
    <x:col min="6" max="6" width="52" hidden="0" customWidth="1"/>
  </x:cols>
  <x:sheetData>
    <x:row r="1" ht="34" customHeight="1">
      <x:c r="A1" s="101" t="str">
        <x:v>ML V6 — Diccionario científico-sintético</x:v>
      </x:c>
      <x:c r="B1" s="101"/>
      <x:c r="C1" s="101"/>
      <x:c r="D1" s="101"/>
      <x:c r="E1" s="101"/>
      <x:c r="F1" s="101"/>
    </x:row>
    <x:row r="2" ht="45" customHeight="1">
      <x:c r="A2" s="105" t="str">
        <x:v>Contrato de columnas. Las únicas variables predictoras autorizadas en V6 son las siete filas marcadas como feature=Sí.</x:v>
      </x:c>
      <x:c r="B2" s="105"/>
      <x:c r="C2" s="105"/>
      <x:c r="D2" s="105"/>
      <x:c r="E2" s="105"/>
      <x:c r="F2" s="105"/>
    </x:row>
    <x:row r="4" ht="48" customHeight="1">
      <x:c r="A4" s="110" t="str">
        <x:v>Campo</x:v>
      </x:c>
      <x:c r="B4" s="110" t="str">
        <x:v>Rol</x:v>
      </x:c>
      <x:c r="C4" s="110" t="str">
        <x:v>Tipo / rango</x:v>
      </x:c>
      <x:c r="D4" s="110" t="str">
        <x:v>Definición</x:v>
      </x:c>
      <x:c r="E4" s="110" t="str">
        <x:v>¿Predictor?</x:v>
      </x:c>
      <x:c r="F4" s="110" t="str">
        <x:v>Regla</x:v>
      </x:c>
    </x:row>
    <x:row r="5" ht="34" customHeight="1">
      <x:c r="A5" s="130" t="str">
        <x:v>student_code</x:v>
      </x:c>
      <x:c r="B5" s="131" t="str">
        <x:v>metadata</x:v>
      </x:c>
      <x:c r="C5" s="131" t="str">
        <x:v>string</x:v>
      </x:c>
      <x:c r="D5" s="131" t="str">
        <x:v>Identificador sintético del estudiante</x:v>
      </x:c>
      <x:c r="E5" s="131" t="str">
        <x:v>No</x:v>
      </x:c>
      <x:c r="F5" s="132" t="str">
        <x:v>Agrupar splits; no usar como feature</x:v>
      </x:c>
    </x:row>
    <x:row r="6" ht="34" customHeight="1">
      <x:c r="A6" s="133" t="str">
        <x:v>snapshot_id</x:v>
      </x:c>
      <x:c r="B6" s="134" t="str">
        <x:v>metadata</x:v>
      </x:c>
      <x:c r="C6" s="134" t="str">
        <x:v>string</x:v>
      </x:c>
      <x:c r="D6" s="134" t="str">
        <x:v>Identificador único estudiante-corte</x:v>
      </x:c>
      <x:c r="E6" s="134" t="str">
        <x:v>No</x:v>
      </x:c>
      <x:c r="F6" s="135" t="str">
        <x:v>Trazabilidad</x:v>
      </x:c>
    </x:row>
    <x:row r="7" ht="34" customHeight="1">
      <x:c r="A7" s="133" t="str">
        <x:v>cutoff_date</x:v>
      </x:c>
      <x:c r="B7" s="134" t="str">
        <x:v>metadata temporal</x:v>
      </x:c>
      <x:c r="C7" s="134" t="str">
        <x:v>date</x:v>
      </x:c>
      <x:c r="D7" s="134" t="str">
        <x:v>Fecha máxima de información disponible para features</x:v>
      </x:c>
      <x:c r="E7" s="134" t="str">
        <x:v>No</x:v>
      </x:c>
      <x:c r="F7" s="135" t="str">
        <x:v>Prevención de leakage</x:v>
      </x:c>
    </x:row>
    <x:row r="8" ht="34" customHeight="1">
      <x:c r="A8" s="133" t="str">
        <x:v>outcome_date</x:v>
      </x:c>
      <x:c r="B8" s="134" t="str">
        <x:v>metadata temporal</x:v>
      </x:c>
      <x:c r="C8" s="134" t="str">
        <x:v>date</x:v>
      </x:c>
      <x:c r="D8" s="134" t="str">
        <x:v>Fecha posterior en la que se observa el resultado</x:v>
      </x:c>
      <x:c r="E8" s="134" t="str">
        <x:v>No</x:v>
      </x:c>
      <x:c r="F8" s="135" t="str">
        <x:v>Target debe ser posterior al corte</x:v>
      </x:c>
    </x:row>
    <x:row r="9" ht="34" customHeight="1">
      <x:c r="A9" s="133" t="str">
        <x:v>grado</x:v>
      </x:c>
      <x:c r="B9" s="134" t="str">
        <x:v>metadata</x:v>
      </x:c>
      <x:c r="C9" s="134" t="str">
        <x:v>integer</x:v>
      </x:c>
      <x:c r="D9" s="134" t="str">
        <x:v>Grado del estudiante</x:v>
      </x:c>
      <x:c r="E9" s="134" t="str">
        <x:v>No en contrato actual</x:v>
      </x:c>
      <x:c r="F9" s="135" t="str">
        <x:v>Puede usarse para análisis estratificado</x:v>
      </x:c>
    </x:row>
    <x:row r="10" ht="34" customHeight="1">
      <x:c r="A10" s="133" t="str">
        <x:v>seccion_codigo</x:v>
      </x:c>
      <x:c r="B10" s="134" t="str">
        <x:v>metadata</x:v>
      </x:c>
      <x:c r="C10" s="134" t="str">
        <x:v>string</x:v>
      </x:c>
      <x:c r="D10" s="134" t="str">
        <x:v>Sección académica</x:v>
      </x:c>
      <x:c r="E10" s="134" t="str">
        <x:v>No</x:v>
      </x:c>
      <x:c r="F10" s="135" t="str">
        <x:v>No usar como predictor sin justificación</x:v>
      </x:c>
    </x:row>
    <x:row r="11" ht="34" customHeight="1">
      <x:c r="A11" s="133" t="str">
        <x:v>promedio_general</x:v>
      </x:c>
      <x:c r="B11" s="134" t="str">
        <x:v>feature</x:v>
      </x:c>
      <x:c r="C11" s="134" t="str">
        <x:v>decimal 0–20</x:v>
      </x:c>
      <x:c r="D11" s="134" t="str">
        <x:v>Promedio académico disponible al corte</x:v>
      </x:c>
      <x:c r="E11" s="134" t="str">
        <x:v>Sí</x:v>
      </x:c>
      <x:c r="F11" s="135" t="str">
        <x:v>Feature 1</x:v>
      </x:c>
    </x:row>
    <x:row r="12" ht="34" customHeight="1">
      <x:c r="A12" s="133" t="str">
        <x:v>cursos_desaprobados</x:v>
      </x:c>
      <x:c r="B12" s="134" t="str">
        <x:v>feature</x:v>
      </x:c>
      <x:c r="C12" s="134" t="str">
        <x:v>integer &gt;=0</x:v>
      </x:c>
      <x:c r="D12" s="134" t="str">
        <x:v>Cursos desaprobados disponibles al corte</x:v>
      </x:c>
      <x:c r="E12" s="134" t="str">
        <x:v>Sí</x:v>
      </x:c>
      <x:c r="F12" s="135" t="str">
        <x:v>Feature 2</x:v>
      </x:c>
    </x:row>
    <x:row r="13" ht="34" customHeight="1">
      <x:c r="A13" s="133" t="str">
        <x:v>asistencia_general</x:v>
      </x:c>
      <x:c r="B13" s="134" t="str">
        <x:v>feature</x:v>
      </x:c>
      <x:c r="C13" s="134" t="str">
        <x:v>decimal 0–100</x:v>
      </x:c>
      <x:c r="D13" s="134" t="str">
        <x:v>Porcentaje de asistencia disponible al corte</x:v>
      </x:c>
      <x:c r="E13" s="134" t="str">
        <x:v>Sí</x:v>
      </x:c>
      <x:c r="F13" s="135" t="str">
        <x:v>Feature 3</x:v>
      </x:c>
    </x:row>
    <x:row r="14" ht="34" customHeight="1">
      <x:c r="A14" s="133" t="str">
        <x:v>frecuencia_acceso_lms</x:v>
      </x:c>
      <x:c r="B14" s="134" t="str">
        <x:v>feature</x:v>
      </x:c>
      <x:c r="C14" s="134" t="str">
        <x:v>decimal &gt;=0</x:v>
      </x:c>
      <x:c r="D14" s="134" t="str">
        <x:v>Frecuencia de accesos LMS en ventana previa</x:v>
      </x:c>
      <x:c r="E14" s="134" t="str">
        <x:v>Sí</x:v>
      </x:c>
      <x:c r="F14" s="135" t="str">
        <x:v>Feature 4</x:v>
      </x:c>
    </x:row>
    <x:row r="15" ht="34" customHeight="1">
      <x:c r="A15" s="133" t="str">
        <x:v>tiempo_interaccion_lms</x:v>
      </x:c>
      <x:c r="B15" s="134" t="str">
        <x:v>feature</x:v>
      </x:c>
      <x:c r="C15" s="134" t="str">
        <x:v>decimal &gt;=0</x:v>
      </x:c>
      <x:c r="D15" s="134" t="str">
        <x:v>Horas de interacción LMS en ventana previa</x:v>
      </x:c>
      <x:c r="E15" s="134" t="str">
        <x:v>Sí</x:v>
      </x:c>
      <x:c r="F15" s="135" t="str">
        <x:v>Feature 5</x:v>
      </x:c>
    </x:row>
    <x:row r="16" ht="34" customHeight="1">
      <x:c r="A16" s="133" t="str">
        <x:v>actividades_realizadas</x:v>
      </x:c>
      <x:c r="B16" s="134" t="str">
        <x:v>feature</x:v>
      </x:c>
      <x:c r="C16" s="134" t="str">
        <x:v>integer &gt;=0</x:v>
      </x:c>
      <x:c r="D16" s="134" t="str">
        <x:v>Actividades realizadas/completadas en ventana previa</x:v>
      </x:c>
      <x:c r="E16" s="134" t="str">
        <x:v>Sí</x:v>
      </x:c>
      <x:c r="F16" s="135" t="str">
        <x:v>Feature 6</x:v>
      </x:c>
    </x:row>
    <x:row r="17" ht="34" customHeight="1">
      <x:c r="A17" s="133" t="str">
        <x:v>recursos_consultados</x:v>
      </x:c>
      <x:c r="B17" s="134" t="str">
        <x:v>feature</x:v>
      </x:c>
      <x:c r="C17" s="134" t="str">
        <x:v>integer &gt;=0</x:v>
      </x:c>
      <x:c r="D17" s="134" t="str">
        <x:v>Recursos distintos consultados en ventana previa</x:v>
      </x:c>
      <x:c r="E17" s="134" t="str">
        <x:v>Sí</x:v>
      </x:c>
      <x:c r="F17" s="135" t="str">
        <x:v>Feature 7</x:v>
      </x:c>
    </x:row>
    <x:row r="18" ht="34" customHeight="1">
      <x:c r="A18" s="133" t="str">
        <x:v>target_desercion</x:v>
      </x:c>
      <x:c r="B18" s="134" t="str">
        <x:v>target</x:v>
      </x:c>
      <x:c r="C18" s="134" t="str">
        <x:v>0/1</x:v>
      </x:c>
      <x:c r="D18" s="134" t="str">
        <x:v>Resultado futuro sintético: 0 permanece, 1 deserta</x:v>
      </x:c>
      <x:c r="E18" s="134" t="str">
        <x:v>Etiqueta</x:v>
      </x:c>
      <x:c r="F18" s="135" t="str">
        <x:v>Nunca predictor</x:v>
      </x:c>
    </x:row>
    <x:row r="19" ht="34" customHeight="1">
      <x:c r="A19" s="133" t="str">
        <x:v>target_label</x:v>
      </x:c>
      <x:c r="B19" s="134" t="str">
        <x:v>target display</x:v>
      </x:c>
      <x:c r="C19" s="134" t="str">
        <x:v>string</x:v>
      </x:c>
      <x:c r="D19" s="134" t="str">
        <x:v>permanece/deserta</x:v>
      </x:c>
      <x:c r="E19" s="134" t="str">
        <x:v>No</x:v>
      </x:c>
      <x:c r="F19" s="135" t="str">
        <x:v>Solo legibilidad</x:v>
      </x:c>
    </x:row>
    <x:row r="20" ht="34" customHeight="1">
      <x:c r="A20" s="133" t="str">
        <x:v>split</x:v>
      </x:c>
      <x:c r="B20" s="134" t="str">
        <x:v>metadata ML</x:v>
      </x:c>
      <x:c r="C20" s="134" t="str">
        <x:v>train/validation/holdout</x:v>
      </x:c>
      <x:c r="D20" s="134" t="str">
        <x:v>Partición por estudiante</x:v>
      </x:c>
      <x:c r="E20" s="134" t="str">
        <x:v>No</x:v>
      </x:c>
      <x:c r="F20" s="135" t="str">
        <x:v>Mismo estudiante no cruza splits</x:v>
      </x:c>
    </x:row>
    <x:row r="21" ht="34" customHeight="1">
      <x:c r="A21" s="133" t="str">
        <x:v>data_mode</x:v>
      </x:c>
      <x:c r="B21" s="134" t="str">
        <x:v>metadata</x:v>
      </x:c>
      <x:c r="C21" s="134" t="str">
        <x:v>synthetic_scientific</x:v>
      </x:c>
      <x:c r="D21" s="134" t="str">
        <x:v>Identifica origen sintético</x:v>
      </x:c>
      <x:c r="E21" s="134" t="str">
        <x:v>No</x:v>
      </x:c>
      <x:c r="F21" s="135" t="str">
        <x:v>Separar de real_institutional</x:v>
      </x:c>
    </x:row>
    <x:row r="22" ht="34" customHeight="1">
      <x:c r="A22" s="133" t="str">
        <x:v>dataset_version</x:v>
      </x:c>
      <x:c r="B22" s="134" t="str">
        <x:v>metadata</x:v>
      </x:c>
      <x:c r="C22" s="134" t="str">
        <x:v>string</x:v>
      </x:c>
      <x:c r="D22" s="134" t="str">
        <x:v>Versión reproducible del dataset</x:v>
      </x:c>
      <x:c r="E22" s="134" t="str">
        <x:v>No</x:v>
      </x:c>
      <x:c r="F22" s="135" t="str">
        <x:v>Trazabilidad</x:v>
      </x:c>
    </x:row>
    <x:row r="23" ht="34" customHeight="1">
      <x:c r="A23" s="133" t="str">
        <x:v>prob_generador</x:v>
      </x:c>
      <x:c r="B23" s="134" t="str">
        <x:v>auditoría</x:v>
      </x:c>
      <x:c r="C23" s="134" t="str">
        <x:v>0–1</x:v>
      </x:c>
      <x:c r="D23" s="134" t="str">
        <x:v>Probabilidad usada por el generador para simular outcome</x:v>
      </x:c>
      <x:c r="E23" s="134" t="str">
        <x:v>PROHIBIDO</x:v>
      </x:c>
      <x:c r="F23" s="135" t="str">
        <x:v>Solo ML_V6_Outcome</x:v>
      </x:c>
    </x:row>
    <x:row r="24" ht="34" customHeight="1">
      <x:c r="A24" s="136" t="str">
        <x:v>score_generador</x:v>
      </x:c>
      <x:c r="B24" s="137" t="str">
        <x:v>auditoría</x:v>
      </x:c>
      <x:c r="C24" s="137" t="str">
        <x:v>decimal</x:v>
      </x:c>
      <x:c r="D24" s="137" t="str">
        <x:v>Score latente del generador</x:v>
      </x:c>
      <x:c r="E24" s="137" t="str">
        <x:v>PROHIBIDO</x:v>
      </x:c>
      <x:c r="F24" s="138" t="str">
        <x:v>Solo ML_V6_Outcome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</x:cols>
  <x:sheetData>
    <x:row r="1">
      <x:c r="A1" s="99" t="str">
        <x:v>ML V6 — Auditoría de calidad y plausibilidad</x:v>
      </x:c>
      <x:c r="B1" s="99"/>
      <x:c r="C1" s="99"/>
      <x:c r="D1" s="99"/>
      <x:c r="E1" s="99"/>
      <x:c r="F1" s="99"/>
      <x:c r="G1" s="99"/>
    </x:row>
    <x:row r="2">
      <x:c r="A2" s="104" t="str">
        <x:v>Controles de estructura, prevalencia, separación por estudiante y solapamiento de perfiles. Una métrica alta del modelo NO convierte este dataset en evidencia científica real.</x:v>
      </x:c>
      <x:c r="B2" s="104"/>
      <x:c r="C2" s="104"/>
      <x:c r="D2" s="104"/>
      <x:c r="E2" s="104"/>
      <x:c r="F2" s="104"/>
      <x:c r="G2" s="104"/>
    </x:row>
    <x:row r="4">
      <x:c r="A4" s="155" t="str">
        <x:v>Control</x:v>
      </x:c>
      <x:c r="B4" s="155" t="str">
        <x:v>Valor</x:v>
      </x:c>
      <x:c r="D4" s="155" t="str">
        <x:v>Outcome</x:v>
      </x:c>
      <x:c r="E4" s="155" t="str">
        <x:v>Estudiantes</x:v>
      </x:c>
    </x:row>
    <x:row r="5">
      <x:c r="A5" t="str">
        <x:v>Estudiantes operativos V5</x:v>
      </x:c>
      <x:c r="B5" t="n">
        <x:f>COUNTA(Estudiantes250!A2:A251)</x:f>
        <x:v>250</x:v>
      </x:c>
      <x:c r="D5" t="str">
        <x:v>Permanece</x:v>
      </x:c>
      <x:c r="E5" t="n">
        <x:v>178</x:v>
      </x:c>
    </x:row>
    <x:row r="6">
      <x:c r="A6" t="str">
        <x:v>Elegibles ML V6</x:v>
      </x:c>
      <x:c r="B6" t="n">
        <x:f>COUNTIF(ML_V6_Outcome!D5:D254,"elegible_activo")</x:f>
        <x:v>225</x:v>
      </x:c>
      <x:c r="D6" t="str">
        <x:v>Deserta</x:v>
      </x:c>
      <x:c r="E6" t="n">
        <x:v>47</x:v>
      </x:c>
    </x:row>
    <x:row r="7">
      <x:c r="A7" t="str">
        <x:v>Excluidos pre-corte</x:v>
      </x:c>
      <x:c r="B7" t="n">
        <x:f>COUNTIF(ML_V6_Outcome!J5:J254,"excluded")</x:f>
        <x:v>25</x:v>
      </x:c>
      <x:c r="D7" t="str">
        <x:v>Excluido pre-corte</x:v>
      </x:c>
      <x:c r="E7" t="n">
        <x:v>25</x:v>
      </x:c>
    </x:row>
    <x:row r="8">
      <x:c r="A8" t="str">
        <x:v>Snapshots ML</x:v>
      </x:c>
      <x:c r="B8" t="n">
        <x:f>COUNTA(ML_V6_Dataset!A5:A454)</x:f>
        <x:v>450</x:v>
      </x:c>
    </x:row>
    <x:row r="9">
      <x:c r="A9" t="str">
        <x:v>Deserciones sintéticas</x:v>
      </x:c>
      <x:c r="B9" t="n">
        <x:f>COUNTIF(ML_V6_Outcome!F5:F254,1)</x:f>
        <x:v>47</x:v>
      </x:c>
    </x:row>
    <x:row r="10">
      <x:c r="A10" t="str">
        <x:v>Permanencias sintéticas</x:v>
      </x:c>
      <x:c r="B10" t="n">
        <x:f>COUNTIF(ML_V6_Outcome!F5:F254,0)</x:f>
        <x:v>178</x:v>
      </x:c>
    </x:row>
    <x:row r="11">
      <x:c r="A11" t="str">
        <x:v>Prevalencia sintética</x:v>
      </x:c>
      <x:c r="B11" s="156" t="n">
        <x:f>B9/(B9+B10)</x:f>
        <x:v>0.2088888888888889</x:v>
      </x:c>
    </x:row>
    <x:row r="12">
      <x:c r="A12" t="str">
        <x:v>Train students</x:v>
      </x:c>
      <x:c r="B12" t="n">
        <x:f>COUNTIF(ML_V6_Splits!D5:D229,"train")</x:f>
        <x:v>158</x:v>
      </x:c>
    </x:row>
    <x:row r="13">
      <x:c r="A13" t="str">
        <x:v>Validation students</x:v>
      </x:c>
      <x:c r="B13" t="n">
        <x:f>COUNTIF(ML_V6_Splits!D5:D229,"validation")</x:f>
        <x:v>34</x:v>
      </x:c>
    </x:row>
    <x:row r="14">
      <x:c r="A14" t="str">
        <x:v>Holdout students</x:v>
      </x:c>
      <x:c r="B14" t="n">
        <x:f>COUNTIF(ML_V6_Splits!D5:D229,"holdout")</x:f>
        <x:v>33</x:v>
      </x:c>
    </x:row>
    <x:row r="15">
      <x:c r="A15" t="str">
        <x:v>Features predictoras</x:v>
      </x:c>
      <x:c r="B15" t="n">
        <x:v>7</x:v>
      </x:c>
    </x:row>
    <x:row r="16">
      <x:c r="A16" t="str">
        <x:v>Desertores con promedio&gt;=15 y asistencia&gt;=90</x:v>
      </x:c>
      <x:c r="B16" t="n">
        <x:v>12</x:v>
      </x:c>
    </x:row>
    <x:row r="17">
      <x:c r="A17" t="str">
        <x:v>Continuadores con alguna señal débil</x:v>
      </x:c>
      <x:c r="B17" t="n">
        <x:v>16</x:v>
      </x:c>
    </x:row>
    <x:row r="20">
      <x:c r="A20" s="157" t="str">
        <x:v>Feature</x:v>
      </x:c>
      <x:c r="B20" s="157" t="str">
        <x:v>Media global T2</x:v>
      </x:c>
      <x:c r="C20" s="157" t="str">
        <x:v>SD global</x:v>
      </x:c>
      <x:c r="D20" s="157" t="str">
        <x:v>Media permanece</x:v>
      </x:c>
      <x:c r="E20" s="157" t="str">
        <x:v>Media deserta</x:v>
      </x:c>
      <x:c r="F20" s="157" t="str">
        <x:v>Mínimo</x:v>
      </x:c>
      <x:c r="G20" s="157" t="str">
        <x:v>Máximo</x:v>
      </x:c>
    </x:row>
    <x:row r="21">
      <x:c r="A21" s="74" t="str">
        <x:v>promedio_general</x:v>
      </x:c>
      <x:c r="B21" s="92" t="n">
        <x:v>15.042</x:v>
      </x:c>
      <x:c r="C21" s="92" t="n">
        <x:v>1.679</x:v>
      </x:c>
      <x:c r="D21" s="92" t="n">
        <x:v>15.213</x:v>
      </x:c>
      <x:c r="E21" s="92" t="n">
        <x:v>14.393</x:v>
      </x:c>
      <x:c r="F21" s="92" t="n">
        <x:v>10.19</x:v>
      </x:c>
      <x:c r="G21" s="75" t="n">
        <x:v>19.5</x:v>
      </x:c>
    </x:row>
    <x:row r="22">
      <x:c r="A22" s="76" t="str">
        <x:v>cursos_desaprobados</x:v>
      </x:c>
      <x:c r="B22" s="93" t="n">
        <x:v>0.027</x:v>
      </x:c>
      <x:c r="C22" s="93" t="n">
        <x:v>0.161</x:v>
      </x:c>
      <x:c r="D22" s="93" t="n">
        <x:v>0.011</x:v>
      </x:c>
      <x:c r="E22" s="93" t="n">
        <x:v>0.085</x:v>
      </x:c>
      <x:c r="F22" s="93" t="n">
        <x:v>0</x:v>
      </x:c>
      <x:c r="G22" s="77" t="n">
        <x:v>1</x:v>
      </x:c>
    </x:row>
    <x:row r="23">
      <x:c r="A23" s="76" t="str">
        <x:v>asistencia_general</x:v>
      </x:c>
      <x:c r="B23" s="93" t="n">
        <x:v>92.95</x:v>
      </x:c>
      <x:c r="C23" s="93" t="n">
        <x:v>4.362</x:v>
      </x:c>
      <x:c r="D23" s="93" t="n">
        <x:v>93.48</x:v>
      </x:c>
      <x:c r="E23" s="93" t="n">
        <x:v>90.941</x:v>
      </x:c>
      <x:c r="F23" s="93" t="n">
        <x:v>76.85</x:v>
      </x:c>
      <x:c r="G23" s="77" t="n">
        <x:v>99.5</x:v>
      </x:c>
    </x:row>
    <x:row r="24">
      <x:c r="A24" s="76" t="str">
        <x:v>frecuencia_acceso_lms</x:v>
      </x:c>
      <x:c r="B24" s="93" t="n">
        <x:v>7.687</x:v>
      </x:c>
      <x:c r="C24" s="93" t="n">
        <x:v>1.54</x:v>
      </x:c>
      <x:c r="D24" s="93" t="n">
        <x:v>7.83</x:v>
      </x:c>
      <x:c r="E24" s="93" t="n">
        <x:v>7.145</x:v>
      </x:c>
      <x:c r="F24" s="93" t="n">
        <x:v>3.68</x:v>
      </x:c>
      <x:c r="G24" s="77" t="n">
        <x:v>10.77</x:v>
      </x:c>
    </x:row>
    <x:row r="25">
      <x:c r="A25" s="76" t="str">
        <x:v>tiempo_interaccion_lms</x:v>
      </x:c>
      <x:c r="B25" s="93" t="n">
        <x:v>14.77</x:v>
      </x:c>
      <x:c r="C25" s="93" t="n">
        <x:v>3.255</x:v>
      </x:c>
      <x:c r="D25" s="93" t="n">
        <x:v>15.141</x:v>
      </x:c>
      <x:c r="E25" s="93" t="n">
        <x:v>13.367</x:v>
      </x:c>
      <x:c r="F25" s="93" t="n">
        <x:v>6.38</x:v>
      </x:c>
      <x:c r="G25" s="77" t="n">
        <x:v>21.56</x:v>
      </x:c>
    </x:row>
    <x:row r="26">
      <x:c r="A26" s="76" t="str">
        <x:v>actividades_realizadas</x:v>
      </x:c>
      <x:c r="B26" s="93" t="n">
        <x:v>14.52</x:v>
      </x:c>
      <x:c r="C26" s="93" t="n">
        <x:v>2.37</x:v>
      </x:c>
      <x:c r="D26" s="93" t="n">
        <x:v>14.764</x:v>
      </x:c>
      <x:c r="E26" s="93" t="n">
        <x:v>13.596</x:v>
      </x:c>
      <x:c r="F26" s="93" t="n">
        <x:v>9</x:v>
      </x:c>
      <x:c r="G26" s="77" t="n">
        <x:v>20</x:v>
      </x:c>
    </x:row>
    <x:row r="27">
      <x:c r="A27" s="78" t="str">
        <x:v>recursos_consultados</x:v>
      </x:c>
      <x:c r="B27" s="94" t="n">
        <x:v>11.133</x:v>
      </x:c>
      <x:c r="C27" s="94" t="n">
        <x:v>2.106</x:v>
      </x:c>
      <x:c r="D27" s="94" t="n">
        <x:v>11.303</x:v>
      </x:c>
      <x:c r="E27" s="94" t="n">
        <x:v>10.489</x:v>
      </x:c>
      <x:c r="F27" s="94" t="n">
        <x:v>5</x:v>
      </x:c>
      <x:c r="G27" s="79" t="n">
        <x:v>16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e43afa59875c4b8e"/>
</x:worksheet>
</file>